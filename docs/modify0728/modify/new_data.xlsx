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WTI原油期货" sheetId="7" r:id="rId7"/>
    <sheet name="黄金期货" sheetId="8" r:id="rId8"/>
    <sheet name="天然气期货" sheetId="9" r:id="rId9"/>
    <sheet name="港存及港价" sheetId="10" r:id="rId10"/>
  </sheets>
  <definedNames>
    <definedName name="_xlnm._FilterDatabase" localSheetId="0" hidden="1">Sheet1!$L$1:$L$882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<sst xmlns="http://schemas.openxmlformats.org/spreadsheetml/2006/main" count="3501" uniqueCount="2510">
  <si>
    <t>数据日期</t>
  </si>
  <si>
    <t>港口库存</t>
  </si>
  <si>
    <t>磷酸二铵主流价</t>
  </si>
  <si>
    <t>CCPI指数</t>
  </si>
  <si>
    <t>汇率</t>
  </si>
  <si>
    <t>美元指数DXY</t>
  </si>
  <si>
    <t>WTI原油期货</t>
  </si>
  <si>
    <t>天然气期货</t>
  </si>
  <si>
    <t>黄金期货</t>
  </si>
  <si>
    <t>镇江港颗粒硫磺价格</t>
  </si>
  <si>
    <t>硫磺价格涨跌幅</t>
  </si>
  <si>
    <t>异常事件</t>
  </si>
  <si>
    <t xml:space="preserve"> </t>
  </si>
  <si>
    <t>日期</t>
  </si>
  <si>
    <t>产品名称</t>
  </si>
  <si>
    <t>最低价</t>
  </si>
  <si>
    <t>最高价</t>
  </si>
  <si>
    <t>主流价</t>
  </si>
  <si>
    <t>单位</t>
  </si>
  <si>
    <t>硫磺</t>
  </si>
  <si>
    <t>元/吨</t>
  </si>
  <si>
    <t>收盘</t>
  </si>
  <si>
    <t>开盘</t>
  </si>
  <si>
    <t>高</t>
  </si>
  <si>
    <t>低</t>
  </si>
  <si>
    <t>交易量</t>
  </si>
  <si>
    <t>涨跌幅</t>
  </si>
  <si>
    <t>4.51K</t>
  </si>
  <si>
    <t>4.65K</t>
  </si>
  <si>
    <t>0.00K</t>
  </si>
  <si>
    <t>112.23K</t>
  </si>
  <si>
    <t>156.45K</t>
  </si>
  <si>
    <t>197.97K</t>
  </si>
  <si>
    <t>244.00K</t>
  </si>
  <si>
    <t>229.28K</t>
  </si>
  <si>
    <t>210.84K</t>
  </si>
  <si>
    <t>270.56K</t>
  </si>
  <si>
    <t>303.16K</t>
  </si>
  <si>
    <t>289.31K</t>
  </si>
  <si>
    <t>323.11K</t>
  </si>
  <si>
    <t>494.00K</t>
  </si>
  <si>
    <t>511.05K</t>
  </si>
  <si>
    <t>532.20K</t>
  </si>
  <si>
    <t>159.57K</t>
  </si>
  <si>
    <t>153.83K</t>
  </si>
  <si>
    <t>223.59K</t>
  </si>
  <si>
    <t>175.93K</t>
  </si>
  <si>
    <t>153.94K</t>
  </si>
  <si>
    <t>144.85K</t>
  </si>
  <si>
    <t>144.70K</t>
  </si>
  <si>
    <t>151.60K</t>
  </si>
  <si>
    <t>189.90K</t>
  </si>
  <si>
    <t>220.87K</t>
  </si>
  <si>
    <t>175.47K</t>
  </si>
  <si>
    <t>247.67K</t>
  </si>
  <si>
    <t>188.54K</t>
  </si>
  <si>
    <t>255.17K</t>
  </si>
  <si>
    <t>255.08K</t>
  </si>
  <si>
    <t>310.81K</t>
  </si>
  <si>
    <t>213.15K</t>
  </si>
  <si>
    <t>258.03K</t>
  </si>
  <si>
    <t>351.33K</t>
  </si>
  <si>
    <t>442.04K</t>
  </si>
  <si>
    <t>566.36K</t>
  </si>
  <si>
    <t>789.04K</t>
  </si>
  <si>
    <t>150.13K</t>
  </si>
  <si>
    <t>289.12K</t>
  </si>
  <si>
    <t>160.46K</t>
  </si>
  <si>
    <t>176.43K</t>
  </si>
  <si>
    <t>285.55K</t>
  </si>
  <si>
    <t>219.17K</t>
  </si>
  <si>
    <t>190.66K</t>
  </si>
  <si>
    <t>167.99K</t>
  </si>
  <si>
    <t>202.56K</t>
  </si>
  <si>
    <t>200.16K</t>
  </si>
  <si>
    <t>249.98K</t>
  </si>
  <si>
    <t>203.84K</t>
  </si>
  <si>
    <t>166.35K</t>
  </si>
  <si>
    <t>162.18K</t>
  </si>
  <si>
    <t>205.70K</t>
  </si>
  <si>
    <t>163.42K</t>
  </si>
  <si>
    <t>221.54K</t>
  </si>
  <si>
    <t>207.44K</t>
  </si>
  <si>
    <t>279.31K</t>
  </si>
  <si>
    <t>318.63K</t>
  </si>
  <si>
    <t>120.34K</t>
  </si>
  <si>
    <t>106.02K</t>
  </si>
  <si>
    <t>103.66K</t>
  </si>
  <si>
    <t>125.75K</t>
  </si>
  <si>
    <t>119.63K</t>
  </si>
  <si>
    <t>83.36K</t>
  </si>
  <si>
    <t>185.64K</t>
  </si>
  <si>
    <t>132.55K</t>
  </si>
  <si>
    <t>123.55K</t>
  </si>
  <si>
    <t>107.31K</t>
  </si>
  <si>
    <t>159.99K</t>
  </si>
  <si>
    <t>168.76K</t>
  </si>
  <si>
    <t>135.35K</t>
  </si>
  <si>
    <t>156.57K</t>
  </si>
  <si>
    <t>168.89K</t>
  </si>
  <si>
    <t>186.11K</t>
  </si>
  <si>
    <t>159.77K</t>
  </si>
  <si>
    <t>202.72K</t>
  </si>
  <si>
    <t>339.81K</t>
  </si>
  <si>
    <t>299.03K</t>
  </si>
  <si>
    <t>74.66K</t>
  </si>
  <si>
    <t>60.24K</t>
  </si>
  <si>
    <t>87.65K</t>
  </si>
  <si>
    <t>100.12K</t>
  </si>
  <si>
    <t>76.99K</t>
  </si>
  <si>
    <t>104.93K</t>
  </si>
  <si>
    <t>98.35K</t>
  </si>
  <si>
    <t>89.43K</t>
  </si>
  <si>
    <t>97.51K</t>
  </si>
  <si>
    <t>92.05K</t>
  </si>
  <si>
    <t>97.44K</t>
  </si>
  <si>
    <t>119.33K</t>
  </si>
  <si>
    <t>148.44K</t>
  </si>
  <si>
    <t>156.44K</t>
  </si>
  <si>
    <t>179.72K</t>
  </si>
  <si>
    <t>179.61K</t>
  </si>
  <si>
    <t>134.31K</t>
  </si>
  <si>
    <t>166.04K</t>
  </si>
  <si>
    <t>204.75K</t>
  </si>
  <si>
    <t>311.84K</t>
  </si>
  <si>
    <t>340.08K</t>
  </si>
  <si>
    <t>229.93K</t>
  </si>
  <si>
    <t>70.51K</t>
  </si>
  <si>
    <t>65.22K</t>
  </si>
  <si>
    <t>56.92K</t>
  </si>
  <si>
    <t>78.22K</t>
  </si>
  <si>
    <t>57.72K</t>
  </si>
  <si>
    <t>113.51K</t>
  </si>
  <si>
    <t>91.07K</t>
  </si>
  <si>
    <t>114.86K</t>
  </si>
  <si>
    <t>74.48K</t>
  </si>
  <si>
    <t>77.61K</t>
  </si>
  <si>
    <t>140.80K</t>
  </si>
  <si>
    <t>131.93K</t>
  </si>
  <si>
    <t>122.09K</t>
  </si>
  <si>
    <t>133.85K</t>
  </si>
  <si>
    <t>150.05K</t>
  </si>
  <si>
    <t>203.95K</t>
  </si>
  <si>
    <t>198.93K</t>
  </si>
  <si>
    <t>291.85K</t>
  </si>
  <si>
    <t>426.00K</t>
  </si>
  <si>
    <t>427.26K</t>
  </si>
  <si>
    <t>141.20K</t>
  </si>
  <si>
    <t>120.06K</t>
  </si>
  <si>
    <t>116.65K</t>
  </si>
  <si>
    <t>90.13K</t>
  </si>
  <si>
    <t>107.61K</t>
  </si>
  <si>
    <t>101.28K</t>
  </si>
  <si>
    <t>156.01K</t>
  </si>
  <si>
    <t>99.69K</t>
  </si>
  <si>
    <t>199.37K</t>
  </si>
  <si>
    <t>166.60K</t>
  </si>
  <si>
    <t>144.92K</t>
  </si>
  <si>
    <t>124.09K</t>
  </si>
  <si>
    <t>142.49K</t>
  </si>
  <si>
    <t>191.25K</t>
  </si>
  <si>
    <t>187.17K</t>
  </si>
  <si>
    <t>255.52K</t>
  </si>
  <si>
    <t>189.25K</t>
  </si>
  <si>
    <t>291.70K</t>
  </si>
  <si>
    <t>327.21K</t>
  </si>
  <si>
    <t>315.62K</t>
  </si>
  <si>
    <t>106.70K</t>
  </si>
  <si>
    <t>106.60K</t>
  </si>
  <si>
    <t>92.70K</t>
  </si>
  <si>
    <t>89.07K</t>
  </si>
  <si>
    <t>105.40K</t>
  </si>
  <si>
    <t>96.14K</t>
  </si>
  <si>
    <t>116.64K</t>
  </si>
  <si>
    <t>144.82K</t>
  </si>
  <si>
    <t>133.90K</t>
  </si>
  <si>
    <t>141.60K</t>
  </si>
  <si>
    <t>107.06K</t>
  </si>
  <si>
    <t>134.18K</t>
  </si>
  <si>
    <t>130.08K</t>
  </si>
  <si>
    <t>130.89K</t>
  </si>
  <si>
    <t>157.22K</t>
  </si>
  <si>
    <t>162.98K</t>
  </si>
  <si>
    <t>132.28K</t>
  </si>
  <si>
    <t>134.21K</t>
  </si>
  <si>
    <t>191.53K</t>
  </si>
  <si>
    <t>187.60K</t>
  </si>
  <si>
    <t>247.56K</t>
  </si>
  <si>
    <t>255.42K</t>
  </si>
  <si>
    <t>352.67K</t>
  </si>
  <si>
    <t>92.18K</t>
  </si>
  <si>
    <t>92.60K</t>
  </si>
  <si>
    <t>81.50K</t>
  </si>
  <si>
    <t>100.62K</t>
  </si>
  <si>
    <t>85.04K</t>
  </si>
  <si>
    <t>120.37K</t>
  </si>
  <si>
    <t>99.45K</t>
  </si>
  <si>
    <t>85.18K</t>
  </si>
  <si>
    <t>81.80K</t>
  </si>
  <si>
    <t>104.66K</t>
  </si>
  <si>
    <t>123.25K</t>
  </si>
  <si>
    <t>131.42K</t>
  </si>
  <si>
    <t>139.12K</t>
  </si>
  <si>
    <t>133.78K</t>
  </si>
  <si>
    <t>183.48K</t>
  </si>
  <si>
    <t>208.02K</t>
  </si>
  <si>
    <t>182.29K</t>
  </si>
  <si>
    <t>231.14K</t>
  </si>
  <si>
    <t>262.90K</t>
  </si>
  <si>
    <t>279.81K</t>
  </si>
  <si>
    <t>144.13K</t>
  </si>
  <si>
    <t>121.08K</t>
  </si>
  <si>
    <t>143.23K</t>
  </si>
  <si>
    <t>106.23K</t>
  </si>
  <si>
    <t>123.82K</t>
  </si>
  <si>
    <t>156.31K</t>
  </si>
  <si>
    <t>127.46K</t>
  </si>
  <si>
    <t>95.34K</t>
  </si>
  <si>
    <t>135.99K</t>
  </si>
  <si>
    <t>156.00K</t>
  </si>
  <si>
    <t>160.03K</t>
  </si>
  <si>
    <t>108.49K</t>
  </si>
  <si>
    <t>242.27K</t>
  </si>
  <si>
    <t>156.09K</t>
  </si>
  <si>
    <t>187.52K</t>
  </si>
  <si>
    <t>211.34K</t>
  </si>
  <si>
    <t>185.66K</t>
  </si>
  <si>
    <t>161.13K</t>
  </si>
  <si>
    <t>174.19K</t>
  </si>
  <si>
    <t>367.50K</t>
  </si>
  <si>
    <t>357.72K</t>
  </si>
  <si>
    <t>338.34K</t>
  </si>
  <si>
    <t>83.09K</t>
  </si>
  <si>
    <t>58.38K</t>
  </si>
  <si>
    <t>77.80K</t>
  </si>
  <si>
    <t>80.03K</t>
  </si>
  <si>
    <t>110.53K</t>
  </si>
  <si>
    <t>78.71K</t>
  </si>
  <si>
    <t>81.40K</t>
  </si>
  <si>
    <t>81.92K</t>
  </si>
  <si>
    <t>86.74K</t>
  </si>
  <si>
    <t>80.43K</t>
  </si>
  <si>
    <t>104.87K</t>
  </si>
  <si>
    <t>143.34K</t>
  </si>
  <si>
    <t>162.91K</t>
  </si>
  <si>
    <t>200.28K</t>
  </si>
  <si>
    <t>160.49K</t>
  </si>
  <si>
    <t>154.79K</t>
  </si>
  <si>
    <t>183.53K</t>
  </si>
  <si>
    <t>239.60K</t>
  </si>
  <si>
    <t>191.29K</t>
  </si>
  <si>
    <t>390.06K</t>
  </si>
  <si>
    <t>480.54K</t>
  </si>
  <si>
    <t>475.10K</t>
  </si>
  <si>
    <t>85.20K</t>
  </si>
  <si>
    <t>120.39K</t>
  </si>
  <si>
    <t>59.52K</t>
  </si>
  <si>
    <t>132.62K</t>
  </si>
  <si>
    <t>109.11K</t>
  </si>
  <si>
    <t>90.29K</t>
  </si>
  <si>
    <t>116.20K</t>
  </si>
  <si>
    <t>96.43K</t>
  </si>
  <si>
    <t>105.02K</t>
  </si>
  <si>
    <t>120.67K</t>
  </si>
  <si>
    <t>148.54K</t>
  </si>
  <si>
    <t>245.39K</t>
  </si>
  <si>
    <t>146.59K</t>
  </si>
  <si>
    <t>148.97K</t>
  </si>
  <si>
    <t>190.74K</t>
  </si>
  <si>
    <t>185.52K</t>
  </si>
  <si>
    <t>188.50K</t>
  </si>
  <si>
    <t>271.86K</t>
  </si>
  <si>
    <t>257.46K</t>
  </si>
  <si>
    <t>254.79K</t>
  </si>
  <si>
    <t>65.19K</t>
  </si>
  <si>
    <t>62.70K</t>
  </si>
  <si>
    <t>79.46K</t>
  </si>
  <si>
    <t>67.69K</t>
  </si>
  <si>
    <t>62.68K</t>
  </si>
  <si>
    <t>53.32K</t>
  </si>
  <si>
    <t>72.81K</t>
  </si>
  <si>
    <t>139.84K</t>
  </si>
  <si>
    <t>149.77K</t>
  </si>
  <si>
    <t>112.45K</t>
  </si>
  <si>
    <t>95.22K</t>
  </si>
  <si>
    <t>154.20K</t>
  </si>
  <si>
    <t>164.98K</t>
  </si>
  <si>
    <t>179.83K</t>
  </si>
  <si>
    <t>188.06K</t>
  </si>
  <si>
    <t>189.32K</t>
  </si>
  <si>
    <t>267.91K</t>
  </si>
  <si>
    <t>326.23K</t>
  </si>
  <si>
    <t>321.13K</t>
  </si>
  <si>
    <t>300.15K</t>
  </si>
  <si>
    <t>104.29K</t>
  </si>
  <si>
    <t>93.04K</t>
  </si>
  <si>
    <t>101.06K</t>
  </si>
  <si>
    <t>98.18K</t>
  </si>
  <si>
    <t>123.92K</t>
  </si>
  <si>
    <t>101.70K</t>
  </si>
  <si>
    <t>88.38K</t>
  </si>
  <si>
    <t>113.87K</t>
  </si>
  <si>
    <t>94.84K</t>
  </si>
  <si>
    <t>126.22K</t>
  </si>
  <si>
    <t>120.92K</t>
  </si>
  <si>
    <t>186.67K</t>
  </si>
  <si>
    <t>155.18K</t>
  </si>
  <si>
    <t>132.72K</t>
  </si>
  <si>
    <t>151.98K</t>
  </si>
  <si>
    <t>155.59K</t>
  </si>
  <si>
    <t>192.27K</t>
  </si>
  <si>
    <t>150.59K</t>
  </si>
  <si>
    <t>204.09K</t>
  </si>
  <si>
    <t>343.63K</t>
  </si>
  <si>
    <t>402.35K</t>
  </si>
  <si>
    <t>98.82K</t>
  </si>
  <si>
    <t>99.17K</t>
  </si>
  <si>
    <t>101.33K</t>
  </si>
  <si>
    <t>79.74K</t>
  </si>
  <si>
    <t>88.93K</t>
  </si>
  <si>
    <t>104.50K</t>
  </si>
  <si>
    <t>61.37K</t>
  </si>
  <si>
    <t>99.09K</t>
  </si>
  <si>
    <t>80.13K</t>
  </si>
  <si>
    <t>163.00K</t>
  </si>
  <si>
    <t>136.03K</t>
  </si>
  <si>
    <t>147.72K</t>
  </si>
  <si>
    <t>143.19K</t>
  </si>
  <si>
    <t>167.40K</t>
  </si>
  <si>
    <t>216.69K</t>
  </si>
  <si>
    <t>356.42K</t>
  </si>
  <si>
    <t>251.50K</t>
  </si>
  <si>
    <t>482.49K</t>
  </si>
  <si>
    <t>418.54K</t>
  </si>
  <si>
    <t>409.50K</t>
  </si>
  <si>
    <t>148.11K</t>
  </si>
  <si>
    <t>166.52K</t>
  </si>
  <si>
    <t>153.65K</t>
  </si>
  <si>
    <t>125.01K</t>
  </si>
  <si>
    <t>138.51K</t>
  </si>
  <si>
    <t>133.99K</t>
  </si>
  <si>
    <t>99.83K</t>
  </si>
  <si>
    <t>125.24K</t>
  </si>
  <si>
    <t>287.98K</t>
  </si>
  <si>
    <t>148.22K</t>
  </si>
  <si>
    <t>109.75K</t>
  </si>
  <si>
    <t>103.59K</t>
  </si>
  <si>
    <t>120.66K</t>
  </si>
  <si>
    <t>158.75K</t>
  </si>
  <si>
    <t>220.62K</t>
  </si>
  <si>
    <t>155.56K</t>
  </si>
  <si>
    <t>205.48K</t>
  </si>
  <si>
    <t>229.97K</t>
  </si>
  <si>
    <t>311.78K</t>
  </si>
  <si>
    <t>350.78K</t>
  </si>
  <si>
    <t>361.41K</t>
  </si>
  <si>
    <t>109.19K</t>
  </si>
  <si>
    <t>103.04K</t>
  </si>
  <si>
    <t>134.66K</t>
  </si>
  <si>
    <t>180.08K</t>
  </si>
  <si>
    <t>125.42K</t>
  </si>
  <si>
    <t>111.02K</t>
  </si>
  <si>
    <t>64.06K</t>
  </si>
  <si>
    <t>152.45K</t>
  </si>
  <si>
    <t>188.01K</t>
  </si>
  <si>
    <t>160.32K</t>
  </si>
  <si>
    <t>115.12K</t>
  </si>
  <si>
    <t>125.43K</t>
  </si>
  <si>
    <t>135.29K</t>
  </si>
  <si>
    <t>172.14K</t>
  </si>
  <si>
    <t>172.29K</t>
  </si>
  <si>
    <t>115.90K</t>
  </si>
  <si>
    <t>159.52K</t>
  </si>
  <si>
    <t>153.07K</t>
  </si>
  <si>
    <t>219.09K</t>
  </si>
  <si>
    <t>239.92K</t>
  </si>
  <si>
    <t>312.43K</t>
  </si>
  <si>
    <t>263.98K</t>
  </si>
  <si>
    <t>92.34K</t>
  </si>
  <si>
    <t>121.83K</t>
  </si>
  <si>
    <t>154.73K</t>
  </si>
  <si>
    <t>77.58K</t>
  </si>
  <si>
    <t>117.50K</t>
  </si>
  <si>
    <t>157.34K</t>
  </si>
  <si>
    <t>135.27K</t>
  </si>
  <si>
    <t>110.94K</t>
  </si>
  <si>
    <t>148.98K</t>
  </si>
  <si>
    <t>118.29K</t>
  </si>
  <si>
    <t>109.56K</t>
  </si>
  <si>
    <t>236.21K</t>
  </si>
  <si>
    <t>160.29K</t>
  </si>
  <si>
    <t>223.62K</t>
  </si>
  <si>
    <t>253.16K</t>
  </si>
  <si>
    <t>212.22K</t>
  </si>
  <si>
    <t>262.83K</t>
  </si>
  <si>
    <t>297.84K</t>
  </si>
  <si>
    <t>430.49K</t>
  </si>
  <si>
    <t>234.79K</t>
  </si>
  <si>
    <t>113.92K</t>
  </si>
  <si>
    <t>94.21K</t>
  </si>
  <si>
    <t>170.46K</t>
  </si>
  <si>
    <t>159.54K</t>
  </si>
  <si>
    <t>106.17K</t>
  </si>
  <si>
    <t>136.64K</t>
  </si>
  <si>
    <t>107.16K</t>
  </si>
  <si>
    <t>214.79K</t>
  </si>
  <si>
    <t>217.75K</t>
  </si>
  <si>
    <t>178.32K</t>
  </si>
  <si>
    <t>143.74K</t>
  </si>
  <si>
    <t>193.29K</t>
  </si>
  <si>
    <t>251.40K</t>
  </si>
  <si>
    <t>297.92K</t>
  </si>
  <si>
    <t>204.78K</t>
  </si>
  <si>
    <t>248.26K</t>
  </si>
  <si>
    <t>388.37K</t>
  </si>
  <si>
    <t>385.60K</t>
  </si>
  <si>
    <t>340.96K</t>
  </si>
  <si>
    <t>106.73K</t>
  </si>
  <si>
    <t>109.57K</t>
  </si>
  <si>
    <t>122.79K</t>
  </si>
  <si>
    <t>112.97K</t>
  </si>
  <si>
    <t>138.78K</t>
  </si>
  <si>
    <t>92.51K</t>
  </si>
  <si>
    <t>105.36K</t>
  </si>
  <si>
    <t>135.80K</t>
  </si>
  <si>
    <t>150.29K</t>
  </si>
  <si>
    <t>108.12K</t>
  </si>
  <si>
    <t>123.01K</t>
  </si>
  <si>
    <t>187.84K</t>
  </si>
  <si>
    <t>279.75K</t>
  </si>
  <si>
    <t>166.86K</t>
  </si>
  <si>
    <t>174.30K</t>
  </si>
  <si>
    <t>126.69K</t>
  </si>
  <si>
    <t>198.94K</t>
  </si>
  <si>
    <t>237.71K</t>
  </si>
  <si>
    <t>239.17K</t>
  </si>
  <si>
    <t>377.45K</t>
  </si>
  <si>
    <t>361.84K</t>
  </si>
  <si>
    <t>287.49K</t>
  </si>
  <si>
    <t>127.19K</t>
  </si>
  <si>
    <t>149.90K</t>
  </si>
  <si>
    <t>165.22K</t>
  </si>
  <si>
    <t>71.33K</t>
  </si>
  <si>
    <t>88.15K</t>
  </si>
  <si>
    <t>80.26K</t>
  </si>
  <si>
    <t>150.23K</t>
  </si>
  <si>
    <t>169.83K</t>
  </si>
  <si>
    <t>154.05K</t>
  </si>
  <si>
    <t>111.07K</t>
  </si>
  <si>
    <t>125.62K</t>
  </si>
  <si>
    <t>179.00K</t>
  </si>
  <si>
    <t>217.68K</t>
  </si>
  <si>
    <t>250.86K</t>
  </si>
  <si>
    <t>257.68K</t>
  </si>
  <si>
    <t>321.84K</t>
  </si>
  <si>
    <t>414.19K</t>
  </si>
  <si>
    <t>537.52K</t>
  </si>
  <si>
    <t>457.85K</t>
  </si>
  <si>
    <t>162.03K</t>
  </si>
  <si>
    <t>253.89K</t>
  </si>
  <si>
    <t>161.52K</t>
  </si>
  <si>
    <t>137.24K</t>
  </si>
  <si>
    <t>293.27K</t>
  </si>
  <si>
    <t>226.83K</t>
  </si>
  <si>
    <t>156.93K</t>
  </si>
  <si>
    <t>161.57K</t>
  </si>
  <si>
    <t>204.06K</t>
  </si>
  <si>
    <t>217.23K</t>
  </si>
  <si>
    <t>234.18K</t>
  </si>
  <si>
    <t>277.71K</t>
  </si>
  <si>
    <t>246.68K</t>
  </si>
  <si>
    <t>246.75K</t>
  </si>
  <si>
    <t>286.84K</t>
  </si>
  <si>
    <t>296.21K</t>
  </si>
  <si>
    <t>290.38K</t>
  </si>
  <si>
    <t>205.58K</t>
  </si>
  <si>
    <t>229.52K</t>
  </si>
  <si>
    <t>384.53K</t>
  </si>
  <si>
    <t>384.03K</t>
  </si>
  <si>
    <t>311.92K</t>
  </si>
  <si>
    <t>101.18K</t>
  </si>
  <si>
    <t>136.15K</t>
  </si>
  <si>
    <t>141.32K</t>
  </si>
  <si>
    <t>107.55K</t>
  </si>
  <si>
    <t>101.15K</t>
  </si>
  <si>
    <t>119.75K</t>
  </si>
  <si>
    <t>135.89K</t>
  </si>
  <si>
    <t>160.14K</t>
  </si>
  <si>
    <t>158.21K</t>
  </si>
  <si>
    <t>213.05K</t>
  </si>
  <si>
    <t>131.58K</t>
  </si>
  <si>
    <t>198.96K</t>
  </si>
  <si>
    <t>219.20K</t>
  </si>
  <si>
    <t>172.86K</t>
  </si>
  <si>
    <t>159.39K</t>
  </si>
  <si>
    <t>157.42K</t>
  </si>
  <si>
    <t>166.18K</t>
  </si>
  <si>
    <t>253.17K</t>
  </si>
  <si>
    <t>428.82K</t>
  </si>
  <si>
    <t>368.48K</t>
  </si>
  <si>
    <t>270.64K</t>
  </si>
  <si>
    <t>69.05K</t>
  </si>
  <si>
    <t>99.86K</t>
  </si>
  <si>
    <t>74.98K</t>
  </si>
  <si>
    <t>84.35K</t>
  </si>
  <si>
    <t>121.44K</t>
  </si>
  <si>
    <t>112.41K</t>
  </si>
  <si>
    <t>209.44K</t>
  </si>
  <si>
    <t>127.63K</t>
  </si>
  <si>
    <t>158.42K</t>
  </si>
  <si>
    <t>142.71K</t>
  </si>
  <si>
    <t>183.91K</t>
  </si>
  <si>
    <t>144.37K</t>
  </si>
  <si>
    <t>124.73K</t>
  </si>
  <si>
    <t>119.85K</t>
  </si>
  <si>
    <t>189.45K</t>
  </si>
  <si>
    <t>185.24K</t>
  </si>
  <si>
    <t>224.16K</t>
  </si>
  <si>
    <t>262.87K</t>
  </si>
  <si>
    <t>354.89K</t>
  </si>
  <si>
    <t>230.04K</t>
  </si>
  <si>
    <t>98.97K</t>
  </si>
  <si>
    <t>81.11K</t>
  </si>
  <si>
    <t>76.79K</t>
  </si>
  <si>
    <t>56.76K</t>
  </si>
  <si>
    <t>80.38K</t>
  </si>
  <si>
    <t>94.29K</t>
  </si>
  <si>
    <t>63.48K</t>
  </si>
  <si>
    <t>108.52K</t>
  </si>
  <si>
    <t>129.06K</t>
  </si>
  <si>
    <t>144.60K</t>
  </si>
  <si>
    <t>164.95K</t>
  </si>
  <si>
    <t>193.27K</t>
  </si>
  <si>
    <t>204.37K</t>
  </si>
  <si>
    <t>198.04K</t>
  </si>
  <si>
    <t>240.34K</t>
  </si>
  <si>
    <t>244.20K</t>
  </si>
  <si>
    <t>312.94K</t>
  </si>
  <si>
    <t>348.48K</t>
  </si>
  <si>
    <t>396.28K</t>
  </si>
  <si>
    <t>360.03K</t>
  </si>
  <si>
    <t>372.28K</t>
  </si>
  <si>
    <t>107.72K</t>
  </si>
  <si>
    <t>100.36K</t>
  </si>
  <si>
    <t>89.28K</t>
  </si>
  <si>
    <t>135.88K</t>
  </si>
  <si>
    <t>103.54K</t>
  </si>
  <si>
    <t>118.71K</t>
  </si>
  <si>
    <t>104.94K</t>
  </si>
  <si>
    <t>238.84K</t>
  </si>
  <si>
    <t>216.06K</t>
  </si>
  <si>
    <t>151.30K</t>
  </si>
  <si>
    <t>123.62K</t>
  </si>
  <si>
    <t>133.42K</t>
  </si>
  <si>
    <t>229.89K</t>
  </si>
  <si>
    <t>172.00K</t>
  </si>
  <si>
    <t>169.64K</t>
  </si>
  <si>
    <t>253.50K</t>
  </si>
  <si>
    <t>276.33K</t>
  </si>
  <si>
    <t>342.33K</t>
  </si>
  <si>
    <t>451.36K</t>
  </si>
  <si>
    <t>435.24K</t>
  </si>
  <si>
    <t>133.71K</t>
  </si>
  <si>
    <t>145.39K</t>
  </si>
  <si>
    <t>134.05K</t>
  </si>
  <si>
    <t>117.05K</t>
  </si>
  <si>
    <t>98.88K</t>
  </si>
  <si>
    <t>142.99K</t>
  </si>
  <si>
    <t>154.80K</t>
  </si>
  <si>
    <t>154.86K</t>
  </si>
  <si>
    <t>220.43K</t>
  </si>
  <si>
    <t>200.04K</t>
  </si>
  <si>
    <t>215.58K</t>
  </si>
  <si>
    <t>175.73K</t>
  </si>
  <si>
    <t>175.74K</t>
  </si>
  <si>
    <t>178.80K</t>
  </si>
  <si>
    <t>209.24K</t>
  </si>
  <si>
    <t>248.80K</t>
  </si>
  <si>
    <t>215.80K</t>
  </si>
  <si>
    <t>323.92K</t>
  </si>
  <si>
    <t>341.70K</t>
  </si>
  <si>
    <t>351.16K</t>
  </si>
  <si>
    <t>115.75K</t>
  </si>
  <si>
    <t>103.44K</t>
  </si>
  <si>
    <t>153.14K</t>
  </si>
  <si>
    <t>118.75K</t>
  </si>
  <si>
    <t>109.07K</t>
  </si>
  <si>
    <t>148.49K</t>
  </si>
  <si>
    <t>199.89K</t>
  </si>
  <si>
    <t>197.83K</t>
  </si>
  <si>
    <t>190.90K</t>
  </si>
  <si>
    <t>218.70K</t>
  </si>
  <si>
    <t>211.84K</t>
  </si>
  <si>
    <t>207.99K</t>
  </si>
  <si>
    <t>198.56K</t>
  </si>
  <si>
    <t>233.96K</t>
  </si>
  <si>
    <t>249.97K</t>
  </si>
  <si>
    <t>245.33K</t>
  </si>
  <si>
    <t>253.34K</t>
  </si>
  <si>
    <t>217.44K</t>
  </si>
  <si>
    <t>387.63K</t>
  </si>
  <si>
    <t>366.75K</t>
  </si>
  <si>
    <t>556.46K</t>
  </si>
  <si>
    <t>313.91K</t>
  </si>
  <si>
    <t>172.23K</t>
  </si>
  <si>
    <t>142.45K</t>
  </si>
  <si>
    <t>132.56K</t>
  </si>
  <si>
    <t>98.78K</t>
  </si>
  <si>
    <t>170.81K</t>
  </si>
  <si>
    <t>233.66K</t>
  </si>
  <si>
    <t>235.28K</t>
  </si>
  <si>
    <t>174.67K</t>
  </si>
  <si>
    <t>217.26K</t>
  </si>
  <si>
    <t>152.59K</t>
  </si>
  <si>
    <t>192.57K</t>
  </si>
  <si>
    <t>228.44K</t>
  </si>
  <si>
    <t>184.46K</t>
  </si>
  <si>
    <t>164.35K</t>
  </si>
  <si>
    <t>259.53K</t>
  </si>
  <si>
    <t>299.56K</t>
  </si>
  <si>
    <t>277.25K</t>
  </si>
  <si>
    <t>321.03K</t>
  </si>
  <si>
    <t>342.09K</t>
  </si>
  <si>
    <t>371.67K</t>
  </si>
  <si>
    <t>139.45K</t>
  </si>
  <si>
    <t>125.72K</t>
  </si>
  <si>
    <t>139.52K</t>
  </si>
  <si>
    <t>121.48K</t>
  </si>
  <si>
    <t>123.48K</t>
  </si>
  <si>
    <t>176.67K</t>
  </si>
  <si>
    <t>157.56K</t>
  </si>
  <si>
    <t>219.93K</t>
  </si>
  <si>
    <t>209.68K</t>
  </si>
  <si>
    <t>159.60K</t>
  </si>
  <si>
    <t>145.06K</t>
  </si>
  <si>
    <t>139.59K</t>
  </si>
  <si>
    <t>181.84K</t>
  </si>
  <si>
    <t>202.57K</t>
  </si>
  <si>
    <t>209.18K</t>
  </si>
  <si>
    <t>301.73K</t>
  </si>
  <si>
    <t>316.38K</t>
  </si>
  <si>
    <t>402.74K</t>
  </si>
  <si>
    <t>485.71K</t>
  </si>
  <si>
    <t>420.50K</t>
  </si>
  <si>
    <t>163.22K</t>
  </si>
  <si>
    <t>158.61K</t>
  </si>
  <si>
    <t>173.57K</t>
  </si>
  <si>
    <t>147.98K</t>
  </si>
  <si>
    <t>158.90K</t>
  </si>
  <si>
    <t>110.62K</t>
  </si>
  <si>
    <t>214.49K</t>
  </si>
  <si>
    <t>225.17K</t>
  </si>
  <si>
    <t>156.73K</t>
  </si>
  <si>
    <t>168.80K</t>
  </si>
  <si>
    <t>143.02K</t>
  </si>
  <si>
    <t>166.79K</t>
  </si>
  <si>
    <t>193.21K</t>
  </si>
  <si>
    <t>205.10K</t>
  </si>
  <si>
    <t>276.67K</t>
  </si>
  <si>
    <t>216.42K</t>
  </si>
  <si>
    <t>272.20K</t>
  </si>
  <si>
    <t>419.58K</t>
  </si>
  <si>
    <t>398.37K</t>
  </si>
  <si>
    <t>427.06K</t>
  </si>
  <si>
    <t>345.24K</t>
  </si>
  <si>
    <t>191.99K</t>
  </si>
  <si>
    <t>184.20K</t>
  </si>
  <si>
    <t>224.03K</t>
  </si>
  <si>
    <t>161.41K</t>
  </si>
  <si>
    <t>178.81K</t>
  </si>
  <si>
    <t>229.37K</t>
  </si>
  <si>
    <t>239.72K</t>
  </si>
  <si>
    <t>182.47K</t>
  </si>
  <si>
    <t>216.86K</t>
  </si>
  <si>
    <t>228.05K</t>
  </si>
  <si>
    <t>175.21K</t>
  </si>
  <si>
    <t>215.90K</t>
  </si>
  <si>
    <t>205.55K</t>
  </si>
  <si>
    <t>143.83K</t>
  </si>
  <si>
    <t>244.98K</t>
  </si>
  <si>
    <t>283.20K</t>
  </si>
  <si>
    <t>344.94K</t>
  </si>
  <si>
    <t>237.54K</t>
  </si>
  <si>
    <t>317.68K</t>
  </si>
  <si>
    <t>422.10K</t>
  </si>
  <si>
    <t>329.28K</t>
  </si>
  <si>
    <t>178.98K</t>
  </si>
  <si>
    <t>143.77K</t>
  </si>
  <si>
    <t>131.32K</t>
  </si>
  <si>
    <t>209.30K</t>
  </si>
  <si>
    <t>154.88K</t>
  </si>
  <si>
    <t>131.59K</t>
  </si>
  <si>
    <t>224.37K</t>
  </si>
  <si>
    <t>210.33K</t>
  </si>
  <si>
    <t>231.78K</t>
  </si>
  <si>
    <t>235.03K</t>
  </si>
  <si>
    <t>210.22K</t>
  </si>
  <si>
    <t>165.62K</t>
  </si>
  <si>
    <t>163.36K</t>
  </si>
  <si>
    <t>257.97K</t>
  </si>
  <si>
    <t>237.20K</t>
  </si>
  <si>
    <t>221.59K</t>
  </si>
  <si>
    <t>230.30K</t>
  </si>
  <si>
    <t>235.88K</t>
  </si>
  <si>
    <t>289.93K</t>
  </si>
  <si>
    <t>367.19K</t>
  </si>
  <si>
    <t>354.93K</t>
  </si>
  <si>
    <t>307.00K</t>
  </si>
  <si>
    <t>185.35K</t>
  </si>
  <si>
    <t>167.02K</t>
  </si>
  <si>
    <t>272.17K</t>
  </si>
  <si>
    <t>274.69K</t>
  </si>
  <si>
    <t>169.90K</t>
  </si>
  <si>
    <t>189.29K</t>
  </si>
  <si>
    <t>353.03K</t>
  </si>
  <si>
    <t>241.14K</t>
  </si>
  <si>
    <t>275.08K</t>
  </si>
  <si>
    <t>262.04K</t>
  </si>
  <si>
    <t>257.21K</t>
  </si>
  <si>
    <t>329.53K</t>
  </si>
  <si>
    <t>228.02K</t>
  </si>
  <si>
    <t>206.39K</t>
  </si>
  <si>
    <t>217.34K</t>
  </si>
  <si>
    <t>174.47K</t>
  </si>
  <si>
    <t>244.86K</t>
  </si>
  <si>
    <t>181.55K</t>
  </si>
  <si>
    <t>228.84K</t>
  </si>
  <si>
    <t>335.56K</t>
  </si>
  <si>
    <t>302.75K</t>
  </si>
  <si>
    <t>330.46K</t>
  </si>
  <si>
    <t>119.31K</t>
  </si>
  <si>
    <t>83.73K</t>
  </si>
  <si>
    <t>99.41K</t>
  </si>
  <si>
    <t>141.39K</t>
  </si>
  <si>
    <t>93.13K</t>
  </si>
  <si>
    <t>92.73K</t>
  </si>
  <si>
    <t>109.20K</t>
  </si>
  <si>
    <t>110.38K</t>
  </si>
  <si>
    <t>108.26K</t>
  </si>
  <si>
    <t>108.65K</t>
  </si>
  <si>
    <t>158.53K</t>
  </si>
  <si>
    <t>187.30K</t>
  </si>
  <si>
    <t>211.74K</t>
  </si>
  <si>
    <t>215.31K</t>
  </si>
  <si>
    <t>181.18K</t>
  </si>
  <si>
    <t>254.21K</t>
  </si>
  <si>
    <t>176.09K</t>
  </si>
  <si>
    <t>200.77K</t>
  </si>
  <si>
    <t>300.55K</t>
  </si>
  <si>
    <t>349.70K</t>
  </si>
  <si>
    <t>235.64K</t>
  </si>
  <si>
    <t>131.44K</t>
  </si>
  <si>
    <t>209.42K</t>
  </si>
  <si>
    <t>146.70K</t>
  </si>
  <si>
    <t>98.59K</t>
  </si>
  <si>
    <t>87.85K</t>
  </si>
  <si>
    <t>106.39K</t>
  </si>
  <si>
    <t>95.00K</t>
  </si>
  <si>
    <t>134.42K</t>
  </si>
  <si>
    <t>141.67K</t>
  </si>
  <si>
    <t>129.14K</t>
  </si>
  <si>
    <t>207.12K</t>
  </si>
  <si>
    <t>176.71K</t>
  </si>
  <si>
    <t>157.46K</t>
  </si>
  <si>
    <t>231.68K</t>
  </si>
  <si>
    <t>231.02K</t>
  </si>
  <si>
    <t>201.26K</t>
  </si>
  <si>
    <t>210.75K</t>
  </si>
  <si>
    <t>280.90K</t>
  </si>
  <si>
    <t>326.61K</t>
  </si>
  <si>
    <t>291.66K</t>
  </si>
  <si>
    <t>114.62K</t>
  </si>
  <si>
    <t>90.95K</t>
  </si>
  <si>
    <t>40.39K</t>
  </si>
  <si>
    <t>69.64K</t>
  </si>
  <si>
    <t>79.13K</t>
  </si>
  <si>
    <t>93.10K</t>
  </si>
  <si>
    <t>63.63K</t>
  </si>
  <si>
    <t>182.49K</t>
  </si>
  <si>
    <t>220.66K</t>
  </si>
  <si>
    <t>221.84K</t>
  </si>
  <si>
    <t>188.74K</t>
  </si>
  <si>
    <t>261.48K</t>
  </si>
  <si>
    <t>162.00K</t>
  </si>
  <si>
    <t>448.29K</t>
  </si>
  <si>
    <t>493.44K</t>
  </si>
  <si>
    <t>338.20K</t>
  </si>
  <si>
    <t>355.67K</t>
  </si>
  <si>
    <t>159.95K</t>
  </si>
  <si>
    <t>28.41K</t>
  </si>
  <si>
    <t>315.33K</t>
  </si>
  <si>
    <t>350.69K</t>
  </si>
  <si>
    <t>319.68K</t>
  </si>
  <si>
    <t>334.42K</t>
  </si>
  <si>
    <t>326.08K</t>
  </si>
  <si>
    <t>312.73K</t>
  </si>
  <si>
    <t>336.48K</t>
  </si>
  <si>
    <t>376.34K</t>
  </si>
  <si>
    <t>517.85K</t>
  </si>
  <si>
    <t>452.96K</t>
  </si>
  <si>
    <t>289.90K</t>
  </si>
  <si>
    <t>299.04K</t>
  </si>
  <si>
    <t>273.77K</t>
  </si>
  <si>
    <t>160.44K</t>
  </si>
  <si>
    <t>195.49K</t>
  </si>
  <si>
    <t>221.77K</t>
  </si>
  <si>
    <t>220.02K</t>
  </si>
  <si>
    <t>213.47K</t>
  </si>
  <si>
    <t>130.94K</t>
  </si>
  <si>
    <t>69.01K</t>
  </si>
  <si>
    <t>26.71K</t>
  </si>
  <si>
    <t>268.47K</t>
  </si>
  <si>
    <t>205.47K</t>
  </si>
  <si>
    <t>267.31K</t>
  </si>
  <si>
    <t>255.60K</t>
  </si>
  <si>
    <t>265.93K</t>
  </si>
  <si>
    <t>250.07K</t>
  </si>
  <si>
    <t>332.75K</t>
  </si>
  <si>
    <t>386.75K</t>
  </si>
  <si>
    <t>382.49K</t>
  </si>
  <si>
    <t>341.63K</t>
  </si>
  <si>
    <t>329.71K</t>
  </si>
  <si>
    <t>173.46K</t>
  </si>
  <si>
    <t>134.71K</t>
  </si>
  <si>
    <t>175.05K</t>
  </si>
  <si>
    <t>212.01K</t>
  </si>
  <si>
    <t>161.84K</t>
  </si>
  <si>
    <t>210.19K</t>
  </si>
  <si>
    <t>110.34K</t>
  </si>
  <si>
    <t>73.08K</t>
  </si>
  <si>
    <t>25.12K</t>
  </si>
  <si>
    <t>247.02K</t>
  </si>
  <si>
    <t>258.41K</t>
  </si>
  <si>
    <t>262.41K</t>
  </si>
  <si>
    <t>211.83K</t>
  </si>
  <si>
    <t>246.65K</t>
  </si>
  <si>
    <t>313.09K</t>
  </si>
  <si>
    <t>272.83K</t>
  </si>
  <si>
    <t>286.50K</t>
  </si>
  <si>
    <t>459.24K</t>
  </si>
  <si>
    <t>559.64K</t>
  </si>
  <si>
    <t>597.62K</t>
  </si>
  <si>
    <t>557.66K</t>
  </si>
  <si>
    <t>592.25K</t>
  </si>
  <si>
    <t>391.83K</t>
  </si>
  <si>
    <t>306.23K</t>
  </si>
  <si>
    <t>224.09K</t>
  </si>
  <si>
    <t>206.48K</t>
  </si>
  <si>
    <t>213.19K</t>
  </si>
  <si>
    <t>111.48K</t>
  </si>
  <si>
    <t>82.67K</t>
  </si>
  <si>
    <t>34.95K</t>
  </si>
  <si>
    <t>397.84K</t>
  </si>
  <si>
    <t>264.91K</t>
  </si>
  <si>
    <t>283.76K</t>
  </si>
  <si>
    <t>276.12K</t>
  </si>
  <si>
    <t>312.37K</t>
  </si>
  <si>
    <t>419.55K</t>
  </si>
  <si>
    <t>364.22K</t>
  </si>
  <si>
    <t>322.10K</t>
  </si>
  <si>
    <t>308.39K</t>
  </si>
  <si>
    <t>343.89K</t>
  </si>
  <si>
    <t>295.24K</t>
  </si>
  <si>
    <t>281.00K</t>
  </si>
  <si>
    <t>239.64K</t>
  </si>
  <si>
    <t>243.29K</t>
  </si>
  <si>
    <t>203.23K</t>
  </si>
  <si>
    <t>264.08K</t>
  </si>
  <si>
    <t>250.32K</t>
  </si>
  <si>
    <t>95.57K</t>
  </si>
  <si>
    <t>25.62K</t>
  </si>
  <si>
    <t>302.70K</t>
  </si>
  <si>
    <t>258.55K</t>
  </si>
  <si>
    <t>273.39K</t>
  </si>
  <si>
    <t>49.02K</t>
  </si>
  <si>
    <t>291.32K</t>
  </si>
  <si>
    <t>260.37K</t>
  </si>
  <si>
    <t>299.86K</t>
  </si>
  <si>
    <t>384.93K</t>
  </si>
  <si>
    <t>403.58K</t>
  </si>
  <si>
    <t>291.26K</t>
  </si>
  <si>
    <t>232.42K</t>
  </si>
  <si>
    <t>310.13K</t>
  </si>
  <si>
    <t>137.42K</t>
  </si>
  <si>
    <t>207.74K</t>
  </si>
  <si>
    <t>260.69K</t>
  </si>
  <si>
    <t>297.70K</t>
  </si>
  <si>
    <t>715.81K</t>
  </si>
  <si>
    <t>367.31K</t>
  </si>
  <si>
    <t>154.26K</t>
  </si>
  <si>
    <t>524.54K</t>
  </si>
  <si>
    <t>250.83K</t>
  </si>
  <si>
    <t>34.05K</t>
  </si>
  <si>
    <t>728.87K</t>
  </si>
  <si>
    <t>541.48K</t>
  </si>
  <si>
    <t>278.50K</t>
  </si>
  <si>
    <t>233.77K</t>
  </si>
  <si>
    <t>236.28K</t>
  </si>
  <si>
    <t>193.16K</t>
  </si>
  <si>
    <t>265.20K</t>
  </si>
  <si>
    <t>220.44K</t>
  </si>
  <si>
    <t>56.22K</t>
  </si>
  <si>
    <t>332.95K</t>
  </si>
  <si>
    <t>219.88K</t>
  </si>
  <si>
    <t>223.95K</t>
  </si>
  <si>
    <t>258.65K</t>
  </si>
  <si>
    <t>226.30K</t>
  </si>
  <si>
    <t>229.76K</t>
  </si>
  <si>
    <t>236.06K</t>
  </si>
  <si>
    <t>248.35K</t>
  </si>
  <si>
    <t>188.80K</t>
  </si>
  <si>
    <t>107.63K</t>
  </si>
  <si>
    <t>81.19K</t>
  </si>
  <si>
    <t>18.61K</t>
  </si>
  <si>
    <t>251.83K</t>
  </si>
  <si>
    <t>281.21K</t>
  </si>
  <si>
    <t>234.28K</t>
  </si>
  <si>
    <t>329.11K</t>
  </si>
  <si>
    <t>345.34K</t>
  </si>
  <si>
    <t>247.03K</t>
  </si>
  <si>
    <t>355.82K</t>
  </si>
  <si>
    <t>277.38K</t>
  </si>
  <si>
    <t>279.03K</t>
  </si>
  <si>
    <t>353.83K</t>
  </si>
  <si>
    <t>300.52K</t>
  </si>
  <si>
    <t>322.94K</t>
  </si>
  <si>
    <t>146.96K</t>
  </si>
  <si>
    <t>205.01K</t>
  </si>
  <si>
    <t>211.24K</t>
  </si>
  <si>
    <t>251.65K</t>
  </si>
  <si>
    <t>197.39K</t>
  </si>
  <si>
    <t>95.11K</t>
  </si>
  <si>
    <t>99.48K</t>
  </si>
  <si>
    <t>27.16K</t>
  </si>
  <si>
    <t>250.17K</t>
  </si>
  <si>
    <t>223.17K</t>
  </si>
  <si>
    <t>185.27K</t>
  </si>
  <si>
    <t>199.10K</t>
  </si>
  <si>
    <t>193.48K</t>
  </si>
  <si>
    <t>208.93K</t>
  </si>
  <si>
    <t>183.26K</t>
  </si>
  <si>
    <t>60.13K</t>
  </si>
  <si>
    <t>320.22K</t>
  </si>
  <si>
    <t>298.74K</t>
  </si>
  <si>
    <t>251.69K</t>
  </si>
  <si>
    <t>294.54K</t>
  </si>
  <si>
    <t>6.62K</t>
  </si>
  <si>
    <t>237.29K</t>
  </si>
  <si>
    <t>268.53K</t>
  </si>
  <si>
    <t>0.77K</t>
  </si>
  <si>
    <t>94.12K</t>
  </si>
  <si>
    <t>168.31K</t>
  </si>
  <si>
    <t>167.71K</t>
  </si>
  <si>
    <t>173.34K</t>
  </si>
  <si>
    <t>238.64K</t>
  </si>
  <si>
    <t>238.93K</t>
  </si>
  <si>
    <t>173.04K</t>
  </si>
  <si>
    <t>184.15K</t>
  </si>
  <si>
    <t>192.98K</t>
  </si>
  <si>
    <t>215.52K</t>
  </si>
  <si>
    <t>174.94K</t>
  </si>
  <si>
    <t>362.94K</t>
  </si>
  <si>
    <t>318.49K</t>
  </si>
  <si>
    <t>233.86K</t>
  </si>
  <si>
    <t>225.25K</t>
  </si>
  <si>
    <t>244.33K</t>
  </si>
  <si>
    <t>197.80K</t>
  </si>
  <si>
    <t>270.03K</t>
  </si>
  <si>
    <t>196.04K</t>
  </si>
  <si>
    <t>1.30K</t>
  </si>
  <si>
    <t>1.37K</t>
  </si>
  <si>
    <t>2.54K</t>
  </si>
  <si>
    <t>1.22K</t>
  </si>
  <si>
    <t>1.18K</t>
  </si>
  <si>
    <t>1.62K</t>
  </si>
  <si>
    <t>1.41K</t>
  </si>
  <si>
    <t>0.93K</t>
  </si>
  <si>
    <t>0.88K</t>
  </si>
  <si>
    <t>0.79K</t>
  </si>
  <si>
    <t>0.95K</t>
  </si>
  <si>
    <t>0.86K</t>
  </si>
  <si>
    <t>0.43K</t>
  </si>
  <si>
    <t>0.96K</t>
  </si>
  <si>
    <t>0.64K</t>
  </si>
  <si>
    <t>334.59K</t>
  </si>
  <si>
    <t>2.19K</t>
  </si>
  <si>
    <t>1.98K</t>
  </si>
  <si>
    <t>2.71K</t>
  </si>
  <si>
    <t>229.78K</t>
  </si>
  <si>
    <t>249.27K</t>
  </si>
  <si>
    <t>224.00K</t>
  </si>
  <si>
    <t>227.98K</t>
  </si>
  <si>
    <t>180.21K</t>
  </si>
  <si>
    <t>241.53K</t>
  </si>
  <si>
    <t>372.19K</t>
  </si>
  <si>
    <t>447.65K</t>
  </si>
  <si>
    <t>360.35K</t>
  </si>
  <si>
    <t>303.27K</t>
  </si>
  <si>
    <t>262.09K</t>
  </si>
  <si>
    <t>162.20K</t>
  </si>
  <si>
    <t>220.37K</t>
  </si>
  <si>
    <t>195.46K</t>
  </si>
  <si>
    <t>149.83K</t>
  </si>
  <si>
    <t>150.88K</t>
  </si>
  <si>
    <t>146.41K</t>
  </si>
  <si>
    <t>153.28K</t>
  </si>
  <si>
    <t>153.31K</t>
  </si>
  <si>
    <t>181.20K</t>
  </si>
  <si>
    <t>147.90K</t>
  </si>
  <si>
    <t>181.37K</t>
  </si>
  <si>
    <t>128.05K</t>
  </si>
  <si>
    <t>2.38K</t>
  </si>
  <si>
    <t>1.46K</t>
  </si>
  <si>
    <t>1.09K</t>
  </si>
  <si>
    <t>2.01K</t>
  </si>
  <si>
    <t>1.19K</t>
  </si>
  <si>
    <t>1.21K</t>
  </si>
  <si>
    <t>0.40K</t>
  </si>
  <si>
    <t>1.00K</t>
  </si>
  <si>
    <t>0.53K</t>
  </si>
  <si>
    <t>0.57K</t>
  </si>
  <si>
    <t>0.51K</t>
  </si>
  <si>
    <t>0.78K</t>
  </si>
  <si>
    <t>0.63K</t>
  </si>
  <si>
    <t>0.47K</t>
  </si>
  <si>
    <t>0.67K</t>
  </si>
  <si>
    <t>0.46K</t>
  </si>
  <si>
    <t>1.79K</t>
  </si>
  <si>
    <t>170.91K</t>
  </si>
  <si>
    <t>177.14K</t>
  </si>
  <si>
    <t>193.83K</t>
  </si>
  <si>
    <t>167.43K</t>
  </si>
  <si>
    <t>161.48K</t>
  </si>
  <si>
    <t>218.39K</t>
  </si>
  <si>
    <t>194.28K</t>
  </si>
  <si>
    <t>218.82K</t>
  </si>
  <si>
    <t>260.81K</t>
  </si>
  <si>
    <t>243.56K</t>
  </si>
  <si>
    <t>255.61K</t>
  </si>
  <si>
    <t>179.48K</t>
  </si>
  <si>
    <t>159.49K</t>
  </si>
  <si>
    <t>137.29K</t>
  </si>
  <si>
    <t>150.35K</t>
  </si>
  <si>
    <t>175.24K</t>
  </si>
  <si>
    <t>143.05K</t>
  </si>
  <si>
    <t>163.27K</t>
  </si>
  <si>
    <t>174.76K</t>
  </si>
  <si>
    <t>182.82K</t>
  </si>
  <si>
    <t>123.36K</t>
  </si>
  <si>
    <t>1.10K</t>
  </si>
  <si>
    <t>201.80K</t>
  </si>
  <si>
    <t>1.81K</t>
  </si>
  <si>
    <t>1.23K</t>
  </si>
  <si>
    <t>0.70K</t>
  </si>
  <si>
    <t>0.31K</t>
  </si>
  <si>
    <t>0.62K</t>
  </si>
  <si>
    <t>0.17K</t>
  </si>
  <si>
    <t>0.34K</t>
  </si>
  <si>
    <t>1.15K</t>
  </si>
  <si>
    <t>0.73K</t>
  </si>
  <si>
    <t>1.03K</t>
  </si>
  <si>
    <t>0.98K</t>
  </si>
  <si>
    <t>0.48K</t>
  </si>
  <si>
    <t>176.30K</t>
  </si>
  <si>
    <t>0.42K</t>
  </si>
  <si>
    <t>0.23K</t>
  </si>
  <si>
    <t>0.58K</t>
  </si>
  <si>
    <t>0.39K</t>
  </si>
  <si>
    <t>155.54K</t>
  </si>
  <si>
    <t>208.90K</t>
  </si>
  <si>
    <t>249.49K</t>
  </si>
  <si>
    <t>310.37K</t>
  </si>
  <si>
    <t>258.82K</t>
  </si>
  <si>
    <t>151.26K</t>
  </si>
  <si>
    <t>189.18K</t>
  </si>
  <si>
    <t>171.90K</t>
  </si>
  <si>
    <t>266.35K</t>
  </si>
  <si>
    <t>176.80K</t>
  </si>
  <si>
    <t>157.54K</t>
  </si>
  <si>
    <t>131.77K</t>
  </si>
  <si>
    <t>248.88K</t>
  </si>
  <si>
    <t>200.62K</t>
  </si>
  <si>
    <t>160.72K</t>
  </si>
  <si>
    <t>147.37K</t>
  </si>
  <si>
    <t>144.87K</t>
  </si>
  <si>
    <t>1.47K</t>
  </si>
  <si>
    <t>1.07K</t>
  </si>
  <si>
    <t>2.47K</t>
  </si>
  <si>
    <t>1.82K</t>
  </si>
  <si>
    <t>1.65K</t>
  </si>
  <si>
    <t>2.04K</t>
  </si>
  <si>
    <t>1.69K</t>
  </si>
  <si>
    <t>1.60K</t>
  </si>
  <si>
    <t>1.92K</t>
  </si>
  <si>
    <t>0.66K</t>
  </si>
  <si>
    <t>0.71K</t>
  </si>
  <si>
    <t>0.68K</t>
  </si>
  <si>
    <t>1.57K</t>
  </si>
  <si>
    <t>0.97K</t>
  </si>
  <si>
    <t>1.05K</t>
  </si>
  <si>
    <t>6.95K</t>
  </si>
  <si>
    <t>8.91K</t>
  </si>
  <si>
    <t>11.25K</t>
  </si>
  <si>
    <t>8.55K</t>
  </si>
  <si>
    <t>206.27K</t>
  </si>
  <si>
    <t>7.57K</t>
  </si>
  <si>
    <t>7.51K</t>
  </si>
  <si>
    <t>5.09K</t>
  </si>
  <si>
    <t>8.17K</t>
  </si>
  <si>
    <t>5.71K</t>
  </si>
  <si>
    <t>11.55K</t>
  </si>
  <si>
    <t>7.08K</t>
  </si>
  <si>
    <t>12.32K</t>
  </si>
  <si>
    <t>10.86K</t>
  </si>
  <si>
    <t>6.29K</t>
  </si>
  <si>
    <t>7.07K</t>
  </si>
  <si>
    <t>10.10K</t>
  </si>
  <si>
    <t>6.42K</t>
  </si>
  <si>
    <t>17.01K</t>
  </si>
  <si>
    <t>14.96K</t>
  </si>
  <si>
    <t>15.91K</t>
  </si>
  <si>
    <t>18.31K</t>
  </si>
  <si>
    <t>2.39K</t>
  </si>
  <si>
    <t>0.81K</t>
  </si>
  <si>
    <t>1.04K</t>
  </si>
  <si>
    <t>0.26K</t>
  </si>
  <si>
    <t>0.49K</t>
  </si>
  <si>
    <t>0.74K</t>
  </si>
  <si>
    <t>0.32K</t>
  </si>
  <si>
    <t>0.60K</t>
  </si>
  <si>
    <t>0.72K</t>
  </si>
  <si>
    <t>0.30K</t>
  </si>
  <si>
    <t>0.50K</t>
  </si>
  <si>
    <t>0.15K</t>
  </si>
  <si>
    <t>0.59K</t>
  </si>
  <si>
    <t>2.30K</t>
  </si>
  <si>
    <t>196.36K</t>
  </si>
  <si>
    <t>128.41K</t>
  </si>
  <si>
    <t>197.98K</t>
  </si>
  <si>
    <t>220.93K</t>
  </si>
  <si>
    <t>254.70K</t>
  </si>
  <si>
    <t>293.52K</t>
  </si>
  <si>
    <t>187.59K</t>
  </si>
  <si>
    <t>297.62K</t>
  </si>
  <si>
    <t>239.65K</t>
  </si>
  <si>
    <t>305.72K</t>
  </si>
  <si>
    <t>227.04K</t>
  </si>
  <si>
    <t>191.35K</t>
  </si>
  <si>
    <t>283.02K</t>
  </si>
  <si>
    <t>200.76K</t>
  </si>
  <si>
    <t>169.10K</t>
  </si>
  <si>
    <t>137.33K</t>
  </si>
  <si>
    <t>166.08K</t>
  </si>
  <si>
    <t>153.09K</t>
  </si>
  <si>
    <t>167.77K</t>
  </si>
  <si>
    <t>134.30K</t>
  </si>
  <si>
    <t>132.77K</t>
  </si>
  <si>
    <t>1.59K</t>
  </si>
  <si>
    <t>1.56K</t>
  </si>
  <si>
    <t>1.27K</t>
  </si>
  <si>
    <t>1.17K</t>
  </si>
  <si>
    <t>1.34K</t>
  </si>
  <si>
    <t>0.55K</t>
  </si>
  <si>
    <t>0.84K</t>
  </si>
  <si>
    <t>0.56K</t>
  </si>
  <si>
    <t>0.28K</t>
  </si>
  <si>
    <t>0.69K</t>
  </si>
  <si>
    <t>0.21K</t>
  </si>
  <si>
    <t>0.16K</t>
  </si>
  <si>
    <t>0.41K</t>
  </si>
  <si>
    <t>0.24K</t>
  </si>
  <si>
    <t>0.22K</t>
  </si>
  <si>
    <t>105.99K</t>
  </si>
  <si>
    <t>107.50K</t>
  </si>
  <si>
    <t>212.27K</t>
  </si>
  <si>
    <t>198.35K</t>
  </si>
  <si>
    <t>188.60K</t>
  </si>
  <si>
    <t>215.37K</t>
  </si>
  <si>
    <t>204.55K</t>
  </si>
  <si>
    <t>170.51K</t>
  </si>
  <si>
    <t>222.25K</t>
  </si>
  <si>
    <t>265.17K</t>
  </si>
  <si>
    <t>247.88K</t>
  </si>
  <si>
    <t>268.37K</t>
  </si>
  <si>
    <t>218.97K</t>
  </si>
  <si>
    <t>214.25K</t>
  </si>
  <si>
    <t>165.27K</t>
  </si>
  <si>
    <t>190.09K</t>
  </si>
  <si>
    <t>201.71K</t>
  </si>
  <si>
    <t>190.30K</t>
  </si>
  <si>
    <t>223.26K</t>
  </si>
  <si>
    <t>150.90K</t>
  </si>
  <si>
    <t>2.80K</t>
  </si>
  <si>
    <t>1.87K</t>
  </si>
  <si>
    <t>2.60K</t>
  </si>
  <si>
    <t>1.45K</t>
  </si>
  <si>
    <t>0.85K</t>
  </si>
  <si>
    <t>0.83K</t>
  </si>
  <si>
    <t>0.65K</t>
  </si>
  <si>
    <t>210.17K</t>
  </si>
  <si>
    <t>0.91K</t>
  </si>
  <si>
    <t>130.43K</t>
  </si>
  <si>
    <t>184.51K</t>
  </si>
  <si>
    <t>182.58K</t>
  </si>
  <si>
    <t>139.76K</t>
  </si>
  <si>
    <t>158.96K</t>
  </si>
  <si>
    <t>136.22K</t>
  </si>
  <si>
    <t>248.23K</t>
  </si>
  <si>
    <t>208.29K</t>
  </si>
  <si>
    <t>228.47K</t>
  </si>
  <si>
    <t>345.81K</t>
  </si>
  <si>
    <t>452.33K</t>
  </si>
  <si>
    <t>261.28K</t>
  </si>
  <si>
    <t>385.45K</t>
  </si>
  <si>
    <t>248.08K</t>
  </si>
  <si>
    <t>351.09K</t>
  </si>
  <si>
    <t>338.02K</t>
  </si>
  <si>
    <t>248.93K</t>
  </si>
  <si>
    <t>245.03K</t>
  </si>
  <si>
    <t>262.25K</t>
  </si>
  <si>
    <t>285.44K</t>
  </si>
  <si>
    <t>206.63K</t>
  </si>
  <si>
    <t>183.58K</t>
  </si>
  <si>
    <t>88.56K</t>
  </si>
  <si>
    <t>0.75K</t>
  </si>
  <si>
    <t>0.76K</t>
  </si>
  <si>
    <t>1.20K</t>
  </si>
  <si>
    <t>1.48K</t>
  </si>
  <si>
    <t>0.92K</t>
  </si>
  <si>
    <t>0.54K</t>
  </si>
  <si>
    <t>203.90K</t>
  </si>
  <si>
    <t>172.45K</t>
  </si>
  <si>
    <t>173.02K</t>
  </si>
  <si>
    <t>245.64K</t>
  </si>
  <si>
    <t>229.67K</t>
  </si>
  <si>
    <t>311.00K</t>
  </si>
  <si>
    <t>283.30K</t>
  </si>
  <si>
    <t>182.21K</t>
  </si>
  <si>
    <t>199.70K</t>
  </si>
  <si>
    <t>296.98K</t>
  </si>
  <si>
    <t>220.50K</t>
  </si>
  <si>
    <t>163.25K</t>
  </si>
  <si>
    <t>229.94K</t>
  </si>
  <si>
    <t>206.55K</t>
  </si>
  <si>
    <t>227.73K</t>
  </si>
  <si>
    <t>234.60K</t>
  </si>
  <si>
    <t>165.77K</t>
  </si>
  <si>
    <t>214.36K</t>
  </si>
  <si>
    <t>253.88K</t>
  </si>
  <si>
    <t>264.37K</t>
  </si>
  <si>
    <t>3.55K</t>
  </si>
  <si>
    <t>1.13K</t>
  </si>
  <si>
    <t>1.02K</t>
  </si>
  <si>
    <t>1.70K</t>
  </si>
  <si>
    <t>0.82K</t>
  </si>
  <si>
    <t>1.14K</t>
  </si>
  <si>
    <t>0.44K</t>
  </si>
  <si>
    <t>250.14K</t>
  </si>
  <si>
    <t>0.37K</t>
  </si>
  <si>
    <t>205.25K</t>
  </si>
  <si>
    <t>180.69K</t>
  </si>
  <si>
    <t>152.96K</t>
  </si>
  <si>
    <t>245.93K</t>
  </si>
  <si>
    <t>231.51K</t>
  </si>
  <si>
    <t>214.27K</t>
  </si>
  <si>
    <t>208.09K</t>
  </si>
  <si>
    <t>189.37K</t>
  </si>
  <si>
    <t>270.87K</t>
  </si>
  <si>
    <t>241.22K</t>
  </si>
  <si>
    <t>209.31K</t>
  </si>
  <si>
    <t>165.83K</t>
  </si>
  <si>
    <t>264.09K</t>
  </si>
  <si>
    <t>159.41K</t>
  </si>
  <si>
    <t>189.93K</t>
  </si>
  <si>
    <t>156.54K</t>
  </si>
  <si>
    <t>197.21K</t>
  </si>
  <si>
    <t>188.85K</t>
  </si>
  <si>
    <t>208.11K</t>
  </si>
  <si>
    <t>194.25K</t>
  </si>
  <si>
    <t>3.24K</t>
  </si>
  <si>
    <t>1.55K</t>
  </si>
  <si>
    <t>1.39K</t>
  </si>
  <si>
    <t>0.61K</t>
  </si>
  <si>
    <t>1.29K</t>
  </si>
  <si>
    <t>1.67K</t>
  </si>
  <si>
    <t>6.33K</t>
  </si>
  <si>
    <t>4.06K</t>
  </si>
  <si>
    <t>6.26K</t>
  </si>
  <si>
    <t>192.79K</t>
  </si>
  <si>
    <t>7.21K</t>
  </si>
  <si>
    <t>5.41K</t>
  </si>
  <si>
    <t>3.09K</t>
  </si>
  <si>
    <t>4.77K</t>
  </si>
  <si>
    <t>4.87K</t>
  </si>
  <si>
    <t>5.99K</t>
  </si>
  <si>
    <t>4.75K</t>
  </si>
  <si>
    <t>3.19K</t>
  </si>
  <si>
    <t>2.81K</t>
  </si>
  <si>
    <t>6.22K</t>
  </si>
  <si>
    <t>5.62K</t>
  </si>
  <si>
    <t>3.30K</t>
  </si>
  <si>
    <t>7.99K</t>
  </si>
  <si>
    <t>12.74K</t>
  </si>
  <si>
    <t>12.25K</t>
  </si>
  <si>
    <t>0.90K</t>
  </si>
  <si>
    <t>0.36K</t>
  </si>
  <si>
    <t>0.89K</t>
  </si>
  <si>
    <t>0.33K</t>
  </si>
  <si>
    <t>0.45K</t>
  </si>
  <si>
    <t>0.20K</t>
  </si>
  <si>
    <t>181.34K</t>
  </si>
  <si>
    <t>214.78K</t>
  </si>
  <si>
    <t>197.63K</t>
  </si>
  <si>
    <t>158.65K</t>
  </si>
  <si>
    <t>222.19K</t>
  </si>
  <si>
    <t>146.28K</t>
  </si>
  <si>
    <t>218.95K</t>
  </si>
  <si>
    <t>189.36K</t>
  </si>
  <si>
    <t>214.08K</t>
  </si>
  <si>
    <t>229.64K</t>
  </si>
  <si>
    <t>183.70K</t>
  </si>
  <si>
    <t>180.74K</t>
  </si>
  <si>
    <t>142.92K</t>
  </si>
  <si>
    <t>186.81K</t>
  </si>
  <si>
    <t>133.12K</t>
  </si>
  <si>
    <t>177.89K</t>
  </si>
  <si>
    <t>230.02K</t>
  </si>
  <si>
    <t>214.88K</t>
  </si>
  <si>
    <t>251.25K</t>
  </si>
  <si>
    <t>1.91K</t>
  </si>
  <si>
    <t>2.70K</t>
  </si>
  <si>
    <t>1.42K</t>
  </si>
  <si>
    <t>2.22K</t>
  </si>
  <si>
    <t>0.25K</t>
  </si>
  <si>
    <t>0.29K</t>
  </si>
  <si>
    <t>129.54K</t>
  </si>
  <si>
    <t>105.72K</t>
  </si>
  <si>
    <t>221.68K</t>
  </si>
  <si>
    <t>130.26K</t>
  </si>
  <si>
    <t>214.68K</t>
  </si>
  <si>
    <t>220.99K</t>
  </si>
  <si>
    <t>218.75K</t>
  </si>
  <si>
    <t>301.34K</t>
  </si>
  <si>
    <t>272.35K</t>
  </si>
  <si>
    <t>285.25K</t>
  </si>
  <si>
    <t>254.29K</t>
  </si>
  <si>
    <t>171.93K</t>
  </si>
  <si>
    <t>172.81K</t>
  </si>
  <si>
    <t>152.76K</t>
  </si>
  <si>
    <t>156.70K</t>
  </si>
  <si>
    <t>234.46K</t>
  </si>
  <si>
    <t>196.67K</t>
  </si>
  <si>
    <t>119.59K</t>
  </si>
  <si>
    <t>150.71K</t>
  </si>
  <si>
    <t>1.12K</t>
  </si>
  <si>
    <t>1.43K</t>
  </si>
  <si>
    <t>1.35K</t>
  </si>
  <si>
    <t>3.02K</t>
  </si>
  <si>
    <t>1.63K</t>
  </si>
  <si>
    <t>0.80K</t>
  </si>
  <si>
    <t>202.43K</t>
  </si>
  <si>
    <t>1.11K</t>
  </si>
  <si>
    <t>1.66K</t>
  </si>
  <si>
    <t>137.08K</t>
  </si>
  <si>
    <t>227.07K</t>
  </si>
  <si>
    <t>330.59K</t>
  </si>
  <si>
    <t>328.25K</t>
  </si>
  <si>
    <t>283.15K</t>
  </si>
  <si>
    <t>319.76K</t>
  </si>
  <si>
    <t>267.80K</t>
  </si>
  <si>
    <t>389.68K</t>
  </si>
  <si>
    <t>242.42K</t>
  </si>
  <si>
    <t>316.25K</t>
  </si>
  <si>
    <t>232.27K</t>
  </si>
  <si>
    <t>207.23K</t>
  </si>
  <si>
    <t>187.85K</t>
  </si>
  <si>
    <t>211.86K</t>
  </si>
  <si>
    <t>178.16K</t>
  </si>
  <si>
    <t>233.57K</t>
  </si>
  <si>
    <t>391.75K</t>
  </si>
  <si>
    <t>205.81K</t>
  </si>
  <si>
    <t>211.61K</t>
  </si>
  <si>
    <t>202.37K</t>
  </si>
  <si>
    <t>0.99K</t>
  </si>
  <si>
    <t>1.31K</t>
  </si>
  <si>
    <t>2.20K</t>
  </si>
  <si>
    <t>2.55K</t>
  </si>
  <si>
    <t>1.61K</t>
  </si>
  <si>
    <t>187.31K</t>
  </si>
  <si>
    <t>229.06K</t>
  </si>
  <si>
    <t>227.38K</t>
  </si>
  <si>
    <t>193.66K</t>
  </si>
  <si>
    <t>231.40K</t>
  </si>
  <si>
    <t>191.90K</t>
  </si>
  <si>
    <t>204.62K</t>
  </si>
  <si>
    <t>214.69K</t>
  </si>
  <si>
    <t>249.09K</t>
  </si>
  <si>
    <t>275.24K</t>
  </si>
  <si>
    <t>243.08K</t>
  </si>
  <si>
    <t>192.08K</t>
  </si>
  <si>
    <t>249.84K</t>
  </si>
  <si>
    <t>191.03K</t>
  </si>
  <si>
    <t>218.55K</t>
  </si>
  <si>
    <t>281.43K</t>
  </si>
  <si>
    <t>229.42K</t>
  </si>
  <si>
    <t>253.85K</t>
  </si>
  <si>
    <t>273.66K</t>
  </si>
  <si>
    <t>178.34K</t>
  </si>
  <si>
    <t>105.47K</t>
  </si>
  <si>
    <t>316.22K</t>
  </si>
  <si>
    <t>119.32K</t>
  </si>
  <si>
    <t>2.72K</t>
  </si>
  <si>
    <t>1.40K</t>
  </si>
  <si>
    <t>1.26K</t>
  </si>
  <si>
    <t>140.23K</t>
  </si>
  <si>
    <t>135.38K</t>
  </si>
  <si>
    <t>142.60K</t>
  </si>
  <si>
    <t>153.71K</t>
  </si>
  <si>
    <t>193.64K</t>
  </si>
  <si>
    <t>293.25K</t>
  </si>
  <si>
    <t>240.78K</t>
  </si>
  <si>
    <t>252.49K</t>
  </si>
  <si>
    <t>163.90K</t>
  </si>
  <si>
    <t>303.52K</t>
  </si>
  <si>
    <t>193.54K</t>
  </si>
  <si>
    <t>246.09K</t>
  </si>
  <si>
    <t>259.54K</t>
  </si>
  <si>
    <t>192.77K</t>
  </si>
  <si>
    <t>254.41K</t>
  </si>
  <si>
    <t>197.56K</t>
  </si>
  <si>
    <t>171.19K</t>
  </si>
  <si>
    <t>245.88K</t>
  </si>
  <si>
    <t>294.90K</t>
  </si>
  <si>
    <t>154.52K</t>
  </si>
  <si>
    <t>126.41K</t>
  </si>
  <si>
    <t>3.57K</t>
  </si>
  <si>
    <t>1.32K</t>
  </si>
  <si>
    <t>2.46K</t>
  </si>
  <si>
    <t>2.35K</t>
  </si>
  <si>
    <t>10.79K</t>
  </si>
  <si>
    <t>6.48K</t>
  </si>
  <si>
    <t>10.28K</t>
  </si>
  <si>
    <t>5.94K</t>
  </si>
  <si>
    <t>6.72K</t>
  </si>
  <si>
    <t>6.27K</t>
  </si>
  <si>
    <t>4.64K</t>
  </si>
  <si>
    <t>5.90K</t>
  </si>
  <si>
    <t>4.91K</t>
  </si>
  <si>
    <t>9.29K</t>
  </si>
  <si>
    <t>10.05K</t>
  </si>
  <si>
    <t>4.57K</t>
  </si>
  <si>
    <t>10.66K</t>
  </si>
  <si>
    <t>8.60K</t>
  </si>
  <si>
    <t>9.30K</t>
  </si>
  <si>
    <t>8.70K</t>
  </si>
  <si>
    <t>13.09K</t>
  </si>
  <si>
    <t>21.76K</t>
  </si>
  <si>
    <t>17.22K</t>
  </si>
  <si>
    <t>0.38K</t>
  </si>
  <si>
    <t>0.27K</t>
  </si>
  <si>
    <t>191.55K</t>
  </si>
  <si>
    <t>242.57K</t>
  </si>
  <si>
    <t>180.66K</t>
  </si>
  <si>
    <t>145.25K</t>
  </si>
  <si>
    <t>151.43K</t>
  </si>
  <si>
    <t>361.31K</t>
  </si>
  <si>
    <t>292.92K</t>
  </si>
  <si>
    <t>233.11K</t>
  </si>
  <si>
    <t>281.92K</t>
  </si>
  <si>
    <t>282.77K</t>
  </si>
  <si>
    <t>262.75K</t>
  </si>
  <si>
    <t>266.16K</t>
  </si>
  <si>
    <t>179.89K</t>
  </si>
  <si>
    <t>195.29K</t>
  </si>
  <si>
    <t>202.24K</t>
  </si>
  <si>
    <t>182.01K</t>
  </si>
  <si>
    <t>186.30K</t>
  </si>
  <si>
    <t>220.55K</t>
  </si>
  <si>
    <t>305.34K</t>
  </si>
  <si>
    <t>177.86K</t>
  </si>
  <si>
    <t>2.27K</t>
  </si>
  <si>
    <t>3.82K</t>
  </si>
  <si>
    <t>110.92K</t>
  </si>
  <si>
    <t>86.29K</t>
  </si>
  <si>
    <t>144.52K</t>
  </si>
  <si>
    <t>121.17K</t>
  </si>
  <si>
    <t>169.92K</t>
  </si>
  <si>
    <t>161.62K</t>
  </si>
  <si>
    <t>197.37K</t>
  </si>
  <si>
    <t>156.65K</t>
  </si>
  <si>
    <t>298.41K</t>
  </si>
  <si>
    <t>211.09K</t>
  </si>
  <si>
    <t>179.41K</t>
  </si>
  <si>
    <t>193.72K</t>
  </si>
  <si>
    <t>186.54K</t>
  </si>
  <si>
    <t>156.87K</t>
  </si>
  <si>
    <t>56.80K</t>
  </si>
  <si>
    <t>39.59K</t>
  </si>
  <si>
    <t>1.83K</t>
  </si>
  <si>
    <t>3.94K</t>
  </si>
  <si>
    <t>3.42K</t>
  </si>
  <si>
    <t>3.98K</t>
  </si>
  <si>
    <t>188.34K</t>
  </si>
  <si>
    <t>165.68K</t>
  </si>
  <si>
    <t>145.86K</t>
  </si>
  <si>
    <t>167.38K</t>
  </si>
  <si>
    <t>167.70K</t>
  </si>
  <si>
    <t>192.55K</t>
  </si>
  <si>
    <t>167.23K</t>
  </si>
  <si>
    <t>218.48K</t>
  </si>
  <si>
    <t>204.63K</t>
  </si>
  <si>
    <t>169.50K</t>
  </si>
  <si>
    <t>228.08K</t>
  </si>
  <si>
    <t>218.76K</t>
  </si>
  <si>
    <t>159.34K</t>
  </si>
  <si>
    <t>172.20K</t>
  </si>
  <si>
    <t>163.69K</t>
  </si>
  <si>
    <t>2.00K</t>
  </si>
  <si>
    <t>5.59K</t>
  </si>
  <si>
    <t>2.05K</t>
  </si>
  <si>
    <t>207.65K</t>
  </si>
  <si>
    <t>210.56K</t>
  </si>
  <si>
    <t>177.02K</t>
  </si>
  <si>
    <t>188.52K</t>
  </si>
  <si>
    <t>183.02K</t>
  </si>
  <si>
    <t>166.36K</t>
  </si>
  <si>
    <t>237.58K</t>
  </si>
  <si>
    <t>221.61K</t>
  </si>
  <si>
    <t>194.12K</t>
  </si>
  <si>
    <t>209.82K</t>
  </si>
  <si>
    <t>256.56K</t>
  </si>
  <si>
    <t>181.49K</t>
  </si>
  <si>
    <t>17.36K</t>
  </si>
  <si>
    <t>28.60K</t>
  </si>
  <si>
    <t>19.96K</t>
  </si>
  <si>
    <t>28.81K</t>
  </si>
  <si>
    <t>46.90K</t>
  </si>
  <si>
    <t>96.48K</t>
  </si>
  <si>
    <t>1.68K</t>
  </si>
  <si>
    <t>2.86K</t>
  </si>
  <si>
    <t>210.49K</t>
  </si>
  <si>
    <t>228.39K</t>
  </si>
  <si>
    <t>197.31K</t>
  </si>
  <si>
    <t>223.12K</t>
  </si>
  <si>
    <t>382.86K</t>
  </si>
  <si>
    <t>341.15K</t>
  </si>
  <si>
    <t>328.52K</t>
  </si>
  <si>
    <t>197.58K</t>
  </si>
  <si>
    <t>298.33K</t>
  </si>
  <si>
    <t>234.97K</t>
  </si>
  <si>
    <t>247.32K</t>
  </si>
  <si>
    <t>189.62K</t>
  </si>
  <si>
    <t>123.47K</t>
  </si>
  <si>
    <t>258.38K</t>
  </si>
  <si>
    <t>242.07K</t>
  </si>
  <si>
    <t>243.46K</t>
  </si>
  <si>
    <t>423.08K</t>
  </si>
  <si>
    <t>377.41K</t>
  </si>
  <si>
    <t>241.25K</t>
  </si>
  <si>
    <t>170.15K</t>
  </si>
  <si>
    <t>207.72K</t>
  </si>
  <si>
    <t>210.99K</t>
  </si>
  <si>
    <t>184.90K</t>
  </si>
  <si>
    <t>268.10K</t>
  </si>
  <si>
    <t>304.24K</t>
  </si>
  <si>
    <t>327.13K</t>
  </si>
  <si>
    <t>232.46K</t>
  </si>
  <si>
    <t>308.53K</t>
  </si>
  <si>
    <t>214.42K</t>
  </si>
  <si>
    <t>233.93K</t>
  </si>
  <si>
    <t>253.06K</t>
  </si>
  <si>
    <t>245.49K</t>
  </si>
  <si>
    <t>21.05K</t>
  </si>
  <si>
    <t>30.44K</t>
  </si>
  <si>
    <t>50.60K</t>
  </si>
  <si>
    <t>52.14K</t>
  </si>
  <si>
    <t>71.08K</t>
  </si>
  <si>
    <t>65.79K</t>
  </si>
  <si>
    <t>29.79K</t>
  </si>
  <si>
    <t>4.19K</t>
  </si>
  <si>
    <t>2.76K</t>
  </si>
  <si>
    <t>227.94K</t>
  </si>
  <si>
    <t>184.77K</t>
  </si>
  <si>
    <t>181.00K</t>
  </si>
  <si>
    <t>168.22K</t>
  </si>
  <si>
    <t>167.22K</t>
  </si>
  <si>
    <t>224.86K</t>
  </si>
  <si>
    <t>185.37K</t>
  </si>
  <si>
    <t>142.01K</t>
  </si>
  <si>
    <t>201.53K</t>
  </si>
  <si>
    <t>230.17K</t>
  </si>
  <si>
    <t>270.63K</t>
  </si>
  <si>
    <t>192.51K</t>
  </si>
  <si>
    <t>209.08K</t>
  </si>
  <si>
    <t>178.28K</t>
  </si>
  <si>
    <t>136.01K</t>
  </si>
  <si>
    <t>280.83K</t>
  </si>
  <si>
    <t>3.29K</t>
  </si>
  <si>
    <t>2.45K</t>
  </si>
  <si>
    <t>0.94K</t>
  </si>
  <si>
    <t>2.06K</t>
  </si>
  <si>
    <t>218.87K</t>
  </si>
  <si>
    <t>144.20K</t>
  </si>
  <si>
    <t>168.85K</t>
  </si>
  <si>
    <t>132.19K</t>
  </si>
  <si>
    <t>153.23K</t>
  </si>
  <si>
    <t>59.92K</t>
  </si>
  <si>
    <t>235.76K</t>
  </si>
  <si>
    <t>218.03K</t>
  </si>
  <si>
    <t>167.97K</t>
  </si>
  <si>
    <t>168.19K</t>
  </si>
  <si>
    <t>216.88K</t>
  </si>
  <si>
    <t>195.34K</t>
  </si>
  <si>
    <t>179.88K</t>
  </si>
  <si>
    <t>235.16K</t>
  </si>
  <si>
    <t>161.74K</t>
  </si>
  <si>
    <t>115.41K</t>
  </si>
  <si>
    <t>39.03K</t>
  </si>
  <si>
    <t>55.30K</t>
  </si>
  <si>
    <t>68.68K</t>
  </si>
  <si>
    <t>61.91K</t>
  </si>
  <si>
    <t>55.80K</t>
  </si>
  <si>
    <t>0.11K</t>
  </si>
  <si>
    <t>203.09K</t>
  </si>
  <si>
    <t>158.03K</t>
  </si>
  <si>
    <t>229.95K</t>
  </si>
  <si>
    <t>138.23K</t>
  </si>
  <si>
    <t>154.16K</t>
  </si>
  <si>
    <t>151.58K</t>
  </si>
  <si>
    <t>321.35K</t>
  </si>
  <si>
    <t>224.51K</t>
  </si>
  <si>
    <t>193.82K</t>
  </si>
  <si>
    <t>135.85K</t>
  </si>
  <si>
    <t>165.70K</t>
  </si>
  <si>
    <t>118.49K</t>
  </si>
  <si>
    <t>119.14K</t>
  </si>
  <si>
    <t>133.50K</t>
  </si>
  <si>
    <t>135.52K</t>
  </si>
  <si>
    <t>123.50K</t>
  </si>
  <si>
    <t>186.04K</t>
  </si>
  <si>
    <t>0.09K</t>
  </si>
  <si>
    <t>156.60K</t>
  </si>
  <si>
    <t>188.55K</t>
  </si>
  <si>
    <t>127.09K</t>
  </si>
  <si>
    <t>374.14K</t>
  </si>
  <si>
    <t>220.79K</t>
  </si>
  <si>
    <t>232.58K</t>
  </si>
  <si>
    <t>237.65K</t>
  </si>
  <si>
    <t>20.42K</t>
  </si>
  <si>
    <t>227.64K</t>
  </si>
  <si>
    <t>262.66K</t>
  </si>
  <si>
    <t>5.08K</t>
  </si>
  <si>
    <t>157.03K</t>
  </si>
  <si>
    <t>52.87K</t>
  </si>
  <si>
    <t>56.26K</t>
  </si>
  <si>
    <t>48.91K</t>
  </si>
  <si>
    <t>45.46K</t>
  </si>
  <si>
    <t>66.76K</t>
  </si>
  <si>
    <t>89.08K</t>
  </si>
  <si>
    <t>76.68K</t>
  </si>
  <si>
    <t>125.21K</t>
  </si>
  <si>
    <t>115.34K</t>
  </si>
  <si>
    <t>67.72K</t>
  </si>
  <si>
    <t>77.07K</t>
  </si>
  <si>
    <t>84.60K</t>
  </si>
  <si>
    <t>75.32K</t>
  </si>
  <si>
    <t>90.92K</t>
  </si>
  <si>
    <t>91.17K</t>
  </si>
  <si>
    <t>158.50K</t>
  </si>
  <si>
    <t>193.25K</t>
  </si>
  <si>
    <t>137.04K</t>
  </si>
  <si>
    <t>81.26K</t>
  </si>
  <si>
    <t>66.06K</t>
  </si>
  <si>
    <t>164.67K</t>
  </si>
  <si>
    <t>82.15K</t>
  </si>
  <si>
    <t>85.89K</t>
  </si>
  <si>
    <t>96.42K</t>
  </si>
  <si>
    <t>76.34K</t>
  </si>
  <si>
    <t>78.05K</t>
  </si>
  <si>
    <t>76.76K</t>
  </si>
  <si>
    <t>101.61K</t>
  </si>
  <si>
    <t>71.38K</t>
  </si>
  <si>
    <t>83.26K</t>
  </si>
  <si>
    <t>103.91K</t>
  </si>
  <si>
    <t>92.86K</t>
  </si>
  <si>
    <t>98.02K</t>
  </si>
  <si>
    <t>141.92K</t>
  </si>
  <si>
    <t>136.53K</t>
  </si>
  <si>
    <t>184.11K</t>
  </si>
  <si>
    <t>48.17K</t>
  </si>
  <si>
    <t>51.67K</t>
  </si>
  <si>
    <t>61.82K</t>
  </si>
  <si>
    <t>80.45K</t>
  </si>
  <si>
    <t>86.53K</t>
  </si>
  <si>
    <t>59.64K</t>
  </si>
  <si>
    <t>71.58K</t>
  </si>
  <si>
    <t>87.82K</t>
  </si>
  <si>
    <t>52.78K</t>
  </si>
  <si>
    <t>54.15K</t>
  </si>
  <si>
    <t>51.22K</t>
  </si>
  <si>
    <t>40.01K</t>
  </si>
  <si>
    <t>55.85K</t>
  </si>
  <si>
    <t>58.60K</t>
  </si>
  <si>
    <t>60.97K</t>
  </si>
  <si>
    <t>46.84K</t>
  </si>
  <si>
    <t>46.28K</t>
  </si>
  <si>
    <t>86.52K</t>
  </si>
  <si>
    <t>63.05K</t>
  </si>
  <si>
    <t>99.25K</t>
  </si>
  <si>
    <t>84.02K</t>
  </si>
  <si>
    <t>105.61K</t>
  </si>
  <si>
    <t>111.30K</t>
  </si>
  <si>
    <t>39.61K</t>
  </si>
  <si>
    <t>47.66K</t>
  </si>
  <si>
    <t>54.25K</t>
  </si>
  <si>
    <t>60.08K</t>
  </si>
  <si>
    <t>53.63K</t>
  </si>
  <si>
    <t>56.57K</t>
  </si>
  <si>
    <t>62.49K</t>
  </si>
  <si>
    <t>60.00K</t>
  </si>
  <si>
    <t>76.04K</t>
  </si>
  <si>
    <t>74.25K</t>
  </si>
  <si>
    <t>85.25K</t>
  </si>
  <si>
    <t>94.94K</t>
  </si>
  <si>
    <t>98.50K</t>
  </si>
  <si>
    <t>78.26K</t>
  </si>
  <si>
    <t>76.73K</t>
  </si>
  <si>
    <t>95.25K</t>
  </si>
  <si>
    <t>114.27K</t>
  </si>
  <si>
    <t>135.73K</t>
  </si>
  <si>
    <t>155.33K</t>
  </si>
  <si>
    <t>68.51K</t>
  </si>
  <si>
    <t>52.95K</t>
  </si>
  <si>
    <t>73.58K</t>
  </si>
  <si>
    <t>83.05K</t>
  </si>
  <si>
    <t>53.02K</t>
  </si>
  <si>
    <t>81.13K</t>
  </si>
  <si>
    <t>120.27K</t>
  </si>
  <si>
    <t>90.33K</t>
  </si>
  <si>
    <t>62.46K</t>
  </si>
  <si>
    <t>57.74K</t>
  </si>
  <si>
    <t>56.71K</t>
  </si>
  <si>
    <t>40.67K</t>
  </si>
  <si>
    <t>44.44K</t>
  </si>
  <si>
    <t>69.13K</t>
  </si>
  <si>
    <t>49.77K</t>
  </si>
  <si>
    <t>87.27K</t>
  </si>
  <si>
    <t>89.42K</t>
  </si>
  <si>
    <t>132.24K</t>
  </si>
  <si>
    <t>22.81K</t>
  </si>
  <si>
    <t>34.63K</t>
  </si>
  <si>
    <t>29.20K</t>
  </si>
  <si>
    <t>29.36K</t>
  </si>
  <si>
    <t>22.80K</t>
  </si>
  <si>
    <t>32.88K</t>
  </si>
  <si>
    <t>68.45K</t>
  </si>
  <si>
    <t>116.44K</t>
  </si>
  <si>
    <t>104.72K</t>
  </si>
  <si>
    <t>61.07K</t>
  </si>
  <si>
    <t>71.30K</t>
  </si>
  <si>
    <t>137.51K</t>
  </si>
  <si>
    <t>53.88K</t>
  </si>
  <si>
    <t>55.12K</t>
  </si>
  <si>
    <t>56.89K</t>
  </si>
  <si>
    <t>67.30K</t>
  </si>
  <si>
    <t>54.83K</t>
  </si>
  <si>
    <t>84.61K</t>
  </si>
  <si>
    <t>101.37K</t>
  </si>
  <si>
    <t>90.79K</t>
  </si>
  <si>
    <t>34.69K</t>
  </si>
  <si>
    <t>74.70K</t>
  </si>
  <si>
    <t>49.27K</t>
  </si>
  <si>
    <t>44.02K</t>
  </si>
  <si>
    <t>28.36K</t>
  </si>
  <si>
    <t>47.17K</t>
  </si>
  <si>
    <t>61.70K</t>
  </si>
  <si>
    <t>70.94K</t>
  </si>
  <si>
    <t>73.23K</t>
  </si>
  <si>
    <t>67.36K</t>
  </si>
  <si>
    <t>69.08K</t>
  </si>
  <si>
    <t>49.32K</t>
  </si>
  <si>
    <t>52.89K</t>
  </si>
  <si>
    <t>58.01K</t>
  </si>
  <si>
    <t>75.27K</t>
  </si>
  <si>
    <t>84.55K</t>
  </si>
  <si>
    <t>86.58K</t>
  </si>
  <si>
    <t>79.05K</t>
  </si>
  <si>
    <t>146.56K</t>
  </si>
  <si>
    <t>105.22K</t>
  </si>
  <si>
    <t>27.79K</t>
  </si>
  <si>
    <t>25.60K</t>
  </si>
  <si>
    <t>34.29K</t>
  </si>
  <si>
    <t>36.47K</t>
  </si>
  <si>
    <t>41.58K</t>
  </si>
  <si>
    <t>28.70K</t>
  </si>
  <si>
    <t>55.05K</t>
  </si>
  <si>
    <t>49.58K</t>
  </si>
  <si>
    <t>40.53K</t>
  </si>
  <si>
    <t>45.99K</t>
  </si>
  <si>
    <t>67.20K</t>
  </si>
  <si>
    <t>34.10K</t>
  </si>
  <si>
    <t>30.13K</t>
  </si>
  <si>
    <t>53.22K</t>
  </si>
  <si>
    <t>45.92K</t>
  </si>
  <si>
    <t>55.45K</t>
  </si>
  <si>
    <t>41.66K</t>
  </si>
  <si>
    <t>60.48K</t>
  </si>
  <si>
    <t>72.19K</t>
  </si>
  <si>
    <t>56.51K</t>
  </si>
  <si>
    <t>83.80K</t>
  </si>
  <si>
    <t>27.72K</t>
  </si>
  <si>
    <t>27.11K</t>
  </si>
  <si>
    <t>42.44K</t>
  </si>
  <si>
    <t>35.02K</t>
  </si>
  <si>
    <t>59.72K</t>
  </si>
  <si>
    <t>47.90K</t>
  </si>
  <si>
    <t>61.12K</t>
  </si>
  <si>
    <t>50.67K</t>
  </si>
  <si>
    <t>61.49K</t>
  </si>
  <si>
    <t>52.48K</t>
  </si>
  <si>
    <t>73.71K</t>
  </si>
  <si>
    <t>63.98K</t>
  </si>
  <si>
    <t>54.36K</t>
  </si>
  <si>
    <t>46.34K</t>
  </si>
  <si>
    <t>42.91K</t>
  </si>
  <si>
    <t>60.25K</t>
  </si>
  <si>
    <t>94.31K</t>
  </si>
  <si>
    <t>123.60K</t>
  </si>
  <si>
    <t>81.08K</t>
  </si>
  <si>
    <t>130.92K</t>
  </si>
  <si>
    <t>98.40K</t>
  </si>
  <si>
    <t>23.25K</t>
  </si>
  <si>
    <t>36.28K</t>
  </si>
  <si>
    <t>35.21K</t>
  </si>
  <si>
    <t>42.93K</t>
  </si>
  <si>
    <t>23.97K</t>
  </si>
  <si>
    <t>40.55K</t>
  </si>
  <si>
    <t>45.82K</t>
  </si>
  <si>
    <t>51.33K</t>
  </si>
  <si>
    <t>44.66K</t>
  </si>
  <si>
    <t>50.20K</t>
  </si>
  <si>
    <t>61.88K</t>
  </si>
  <si>
    <t>54.80K</t>
  </si>
  <si>
    <t>70.12K</t>
  </si>
  <si>
    <t>53.28K</t>
  </si>
  <si>
    <t>55.18K</t>
  </si>
  <si>
    <t>64.63K</t>
  </si>
  <si>
    <t>82.76K</t>
  </si>
  <si>
    <t>87.25K</t>
  </si>
  <si>
    <t>112.87K</t>
  </si>
  <si>
    <t>125.69K</t>
  </si>
  <si>
    <t>118.81K</t>
  </si>
  <si>
    <t>35.77K</t>
  </si>
  <si>
    <t>64.95K</t>
  </si>
  <si>
    <t>67.23K</t>
  </si>
  <si>
    <t>42.31K</t>
  </si>
  <si>
    <t>37.80K</t>
  </si>
  <si>
    <t>51.46K</t>
  </si>
  <si>
    <t>92.52K</t>
  </si>
  <si>
    <t>89.02K</t>
  </si>
  <si>
    <t>84.86K</t>
  </si>
  <si>
    <t>57.65K</t>
  </si>
  <si>
    <t>60.95K</t>
  </si>
  <si>
    <t>55.52K</t>
  </si>
  <si>
    <t>42.66K</t>
  </si>
  <si>
    <t>68.55K</t>
  </si>
  <si>
    <t>72.24K</t>
  </si>
  <si>
    <t>58.64K</t>
  </si>
  <si>
    <t>84.47K</t>
  </si>
  <si>
    <t>107.98K</t>
  </si>
  <si>
    <t>154.60K</t>
  </si>
  <si>
    <t>97.87K</t>
  </si>
  <si>
    <t>105.91K</t>
  </si>
  <si>
    <t>38.40K</t>
  </si>
  <si>
    <t>28.55K</t>
  </si>
  <si>
    <t>29.96K</t>
  </si>
  <si>
    <t>48.48K</t>
  </si>
  <si>
    <t>42.69K</t>
  </si>
  <si>
    <t>67.44K</t>
  </si>
  <si>
    <t>49.95K</t>
  </si>
  <si>
    <t>48.19K</t>
  </si>
  <si>
    <t>55.83K</t>
  </si>
  <si>
    <t>52.19K</t>
  </si>
  <si>
    <t>63.69K</t>
  </si>
  <si>
    <t>48.45K</t>
  </si>
  <si>
    <t>65.66K</t>
  </si>
  <si>
    <t>77.84K</t>
  </si>
  <si>
    <t>82.27K</t>
  </si>
  <si>
    <t>87.38K</t>
  </si>
  <si>
    <t>85.03K</t>
  </si>
  <si>
    <t>115.02K</t>
  </si>
  <si>
    <t>40.40K</t>
  </si>
  <si>
    <t>37.81K</t>
  </si>
  <si>
    <t>66.04K</t>
  </si>
  <si>
    <t>70.02K</t>
  </si>
  <si>
    <t>67.70K</t>
  </si>
  <si>
    <t>95.69K</t>
  </si>
  <si>
    <t>74.99K</t>
  </si>
  <si>
    <t>93.60K</t>
  </si>
  <si>
    <t>79.52K</t>
  </si>
  <si>
    <t>83.11K</t>
  </si>
  <si>
    <t>97.11K</t>
  </si>
  <si>
    <t>85.81K</t>
  </si>
  <si>
    <t>77.46K</t>
  </si>
  <si>
    <t>85.86K</t>
  </si>
  <si>
    <t>139.30K</t>
  </si>
  <si>
    <t>133.73K</t>
  </si>
  <si>
    <t>152.92K</t>
  </si>
  <si>
    <t>222.21K</t>
  </si>
  <si>
    <t>128.69K</t>
  </si>
  <si>
    <t>61.80K</t>
  </si>
  <si>
    <t>88.09K</t>
  </si>
  <si>
    <t>70.79K</t>
  </si>
  <si>
    <t>63.36K</t>
  </si>
  <si>
    <t>64.96K</t>
  </si>
  <si>
    <t>119.36K</t>
  </si>
  <si>
    <t>93.35K</t>
  </si>
  <si>
    <t>112.91K</t>
  </si>
  <si>
    <t>135.22K</t>
  </si>
  <si>
    <t>144.73K</t>
  </si>
  <si>
    <t>120.08K</t>
  </si>
  <si>
    <t>106.90K</t>
  </si>
  <si>
    <t>101.08K</t>
  </si>
  <si>
    <t>132.58K</t>
  </si>
  <si>
    <t>175.52K</t>
  </si>
  <si>
    <t>207.38K</t>
  </si>
  <si>
    <t>168.13K</t>
  </si>
  <si>
    <t>95.21K</t>
  </si>
  <si>
    <t>97.49K</t>
  </si>
  <si>
    <t>89.85K</t>
  </si>
  <si>
    <t>61.85K</t>
  </si>
  <si>
    <t>97.38K</t>
  </si>
  <si>
    <t>132.81K</t>
  </si>
  <si>
    <t>95.46K</t>
  </si>
  <si>
    <t>91.28K</t>
  </si>
  <si>
    <t>88.69K</t>
  </si>
  <si>
    <t>80.58K</t>
  </si>
  <si>
    <t>112.03K</t>
  </si>
  <si>
    <t>75.91K</t>
  </si>
  <si>
    <t>117.57K</t>
  </si>
  <si>
    <t>93.85K</t>
  </si>
  <si>
    <t>101.40K</t>
  </si>
  <si>
    <t>101.86K</t>
  </si>
  <si>
    <t>151.46K</t>
  </si>
  <si>
    <t>133.98K</t>
  </si>
  <si>
    <t>106.54K</t>
  </si>
  <si>
    <t>122.74K</t>
  </si>
  <si>
    <t>143.18K</t>
  </si>
  <si>
    <t>156.20K</t>
  </si>
  <si>
    <t>37.26K</t>
  </si>
  <si>
    <t>43.80K</t>
  </si>
  <si>
    <t>49.01K</t>
  </si>
  <si>
    <t>40.30K</t>
  </si>
  <si>
    <t>35.43K</t>
  </si>
  <si>
    <t>51.99K</t>
  </si>
  <si>
    <t>91.61K</t>
  </si>
  <si>
    <t>92.12K</t>
  </si>
  <si>
    <t>113.79K</t>
  </si>
  <si>
    <t>94.26K</t>
  </si>
  <si>
    <t>96.78K</t>
  </si>
  <si>
    <t>103.18K</t>
  </si>
  <si>
    <t>97.93K</t>
  </si>
  <si>
    <t>91.51K</t>
  </si>
  <si>
    <t>84.07K</t>
  </si>
  <si>
    <t>117.96K</t>
  </si>
  <si>
    <t>135.04K</t>
  </si>
  <si>
    <t>149.63K</t>
  </si>
  <si>
    <t>54.02K</t>
  </si>
  <si>
    <t>81.15K</t>
  </si>
  <si>
    <t>56.18K</t>
  </si>
  <si>
    <t>66.07K</t>
  </si>
  <si>
    <t>71.92K</t>
  </si>
  <si>
    <t>62.91K</t>
  </si>
  <si>
    <t>76.70K</t>
  </si>
  <si>
    <t>91.22K</t>
  </si>
  <si>
    <t>94.18K</t>
  </si>
  <si>
    <t>108.74K</t>
  </si>
  <si>
    <t>89.13K</t>
  </si>
  <si>
    <t>131.02K</t>
  </si>
  <si>
    <t>111.08K</t>
  </si>
  <si>
    <t>95.02K</t>
  </si>
  <si>
    <t>99.22K</t>
  </si>
  <si>
    <t>157.18K</t>
  </si>
  <si>
    <t>151.50K</t>
  </si>
  <si>
    <t>137.18K</t>
  </si>
  <si>
    <t>119.57K</t>
  </si>
  <si>
    <t>111.04K</t>
  </si>
  <si>
    <t>167.61K</t>
  </si>
  <si>
    <t>140.56K</t>
  </si>
  <si>
    <t>44.29K</t>
  </si>
  <si>
    <t>43.88K</t>
  </si>
  <si>
    <t>71.61K</t>
  </si>
  <si>
    <t>53.82K</t>
  </si>
  <si>
    <t>50.31K</t>
  </si>
  <si>
    <t>54.08K</t>
  </si>
  <si>
    <t>63.56K</t>
  </si>
  <si>
    <t>79.73K</t>
  </si>
  <si>
    <t>69.63K</t>
  </si>
  <si>
    <t>71.02K</t>
  </si>
  <si>
    <t>75.35K</t>
  </si>
  <si>
    <t>109.35K</t>
  </si>
  <si>
    <t>135.94K</t>
  </si>
  <si>
    <t>96.97K</t>
  </si>
  <si>
    <t>93.24K</t>
  </si>
  <si>
    <t>142.28K</t>
  </si>
  <si>
    <t>153.70K</t>
  </si>
  <si>
    <t>167.92K</t>
  </si>
  <si>
    <t>137.91K</t>
  </si>
  <si>
    <t>64.21K</t>
  </si>
  <si>
    <t>67.45K</t>
  </si>
  <si>
    <t>42.57K</t>
  </si>
  <si>
    <t>57.57K</t>
  </si>
  <si>
    <t>53.43K</t>
  </si>
  <si>
    <t>46.47K</t>
  </si>
  <si>
    <t>72.91K</t>
  </si>
  <si>
    <t>81.34K</t>
  </si>
  <si>
    <t>99.29K</t>
  </si>
  <si>
    <t>120.19K</t>
  </si>
  <si>
    <t>115.68K</t>
  </si>
  <si>
    <t>90.91K</t>
  </si>
  <si>
    <t>101.52K</t>
  </si>
  <si>
    <t>81.16K</t>
  </si>
  <si>
    <t>147.71K</t>
  </si>
  <si>
    <t>103.19K</t>
  </si>
  <si>
    <t>109.32K</t>
  </si>
  <si>
    <t>146.12K</t>
  </si>
  <si>
    <t>139.07K</t>
  </si>
  <si>
    <t>166.76K</t>
  </si>
  <si>
    <t>44.86K</t>
  </si>
  <si>
    <t>46.74K</t>
  </si>
  <si>
    <t>51.00K</t>
  </si>
  <si>
    <t>46.83K</t>
  </si>
  <si>
    <t>38.24K</t>
  </si>
  <si>
    <t>81.54K</t>
  </si>
  <si>
    <t>73.72K</t>
  </si>
  <si>
    <t>138.90K</t>
  </si>
  <si>
    <t>102.46K</t>
  </si>
  <si>
    <t>82.58K</t>
  </si>
  <si>
    <t>64.16K</t>
  </si>
  <si>
    <t>106.34K</t>
  </si>
  <si>
    <t>95.06K</t>
  </si>
  <si>
    <t>77.88K</t>
  </si>
  <si>
    <t>81.30K</t>
  </si>
  <si>
    <t>101.07K</t>
  </si>
  <si>
    <t>113.80K</t>
  </si>
  <si>
    <t>153.98K</t>
  </si>
  <si>
    <t>99.62K</t>
  </si>
  <si>
    <t>189.03K</t>
  </si>
  <si>
    <t>145.38K</t>
  </si>
  <si>
    <t>60.75K</t>
  </si>
  <si>
    <t>68.87K</t>
  </si>
  <si>
    <t>55.19K</t>
  </si>
  <si>
    <t>72.21K</t>
  </si>
  <si>
    <t>55.16K</t>
  </si>
  <si>
    <t>73.22K</t>
  </si>
  <si>
    <t>68.75K</t>
  </si>
  <si>
    <t>79.98K</t>
  </si>
  <si>
    <t>135.12K</t>
  </si>
  <si>
    <t>132.25K</t>
  </si>
  <si>
    <t>112.57K</t>
  </si>
  <si>
    <t>87.64K</t>
  </si>
  <si>
    <t>115.14K</t>
  </si>
  <si>
    <t>128.38K</t>
  </si>
  <si>
    <t>145.73K</t>
  </si>
  <si>
    <t>105.57K</t>
  </si>
  <si>
    <t>105.42K</t>
  </si>
  <si>
    <t>39.84K</t>
  </si>
  <si>
    <t>38.96K</t>
  </si>
  <si>
    <t>45.62K</t>
  </si>
  <si>
    <t>41.76K</t>
  </si>
  <si>
    <t>56.63K</t>
  </si>
  <si>
    <t>106.07K</t>
  </si>
  <si>
    <t>84.31K</t>
  </si>
  <si>
    <t>76.43K</t>
  </si>
  <si>
    <t>92.68K</t>
  </si>
  <si>
    <t>69.22K</t>
  </si>
  <si>
    <t>99.21K</t>
  </si>
  <si>
    <t>78.13K</t>
  </si>
  <si>
    <t>80.98K</t>
  </si>
  <si>
    <t>100.08K</t>
  </si>
  <si>
    <t>123.46K</t>
  </si>
  <si>
    <t>100.09K</t>
  </si>
  <si>
    <t>114.03K</t>
  </si>
  <si>
    <t>96.49K</t>
  </si>
  <si>
    <t>190.45K</t>
  </si>
  <si>
    <t>140.96K</t>
  </si>
  <si>
    <t>56.27K</t>
  </si>
  <si>
    <t>150.58K</t>
  </si>
  <si>
    <t>77.52K</t>
  </si>
  <si>
    <t>67.46K</t>
  </si>
  <si>
    <t>53.25K</t>
  </si>
  <si>
    <t>105.29K</t>
  </si>
  <si>
    <t>124.13K</t>
  </si>
  <si>
    <t>87.04K</t>
  </si>
  <si>
    <t>127.12K</t>
  </si>
  <si>
    <t>102.15K</t>
  </si>
  <si>
    <t>109.45K</t>
  </si>
  <si>
    <t>166.40K</t>
  </si>
  <si>
    <t>146.65K</t>
  </si>
  <si>
    <t>121.19K</t>
  </si>
  <si>
    <t>139.53K</t>
  </si>
  <si>
    <t>118.87K</t>
  </si>
  <si>
    <t>164.41K</t>
  </si>
  <si>
    <t>187.19K</t>
  </si>
  <si>
    <t>46.45K</t>
  </si>
  <si>
    <t>44.65K</t>
  </si>
  <si>
    <t>48.47K</t>
  </si>
  <si>
    <t>53.83K</t>
  </si>
  <si>
    <t>42.49K</t>
  </si>
  <si>
    <t>82.95K</t>
  </si>
  <si>
    <t>125.25K</t>
  </si>
  <si>
    <t>88.30K</t>
  </si>
  <si>
    <t>144.30K</t>
  </si>
  <si>
    <t>113.43K</t>
  </si>
  <si>
    <t>148.82K</t>
  </si>
  <si>
    <t>114.21K</t>
  </si>
  <si>
    <t>96.99K</t>
  </si>
  <si>
    <t>124.83K</t>
  </si>
  <si>
    <t>116.98K</t>
  </si>
  <si>
    <t>139.73K</t>
  </si>
  <si>
    <t>90.40K</t>
  </si>
  <si>
    <t>114.52K</t>
  </si>
  <si>
    <t>129.27K</t>
  </si>
  <si>
    <t>69.88K</t>
  </si>
  <si>
    <t>110.28K</t>
  </si>
  <si>
    <t>118.26K</t>
  </si>
  <si>
    <t>118.41K</t>
  </si>
  <si>
    <t>173.15K</t>
  </si>
  <si>
    <t>248.56K</t>
  </si>
  <si>
    <t>186.15K</t>
  </si>
  <si>
    <t>179.05K</t>
  </si>
  <si>
    <t>174.05K</t>
  </si>
  <si>
    <t>126.63K</t>
  </si>
  <si>
    <t>138.74K</t>
  </si>
  <si>
    <t>169.18K</t>
  </si>
  <si>
    <t>184.49K</t>
  </si>
  <si>
    <t>141.10K</t>
  </si>
  <si>
    <t>182.13K</t>
  </si>
  <si>
    <t>214.99K</t>
  </si>
  <si>
    <t>164.62K</t>
  </si>
  <si>
    <t>71.41K</t>
  </si>
  <si>
    <t>63.90K</t>
  </si>
  <si>
    <t>90.38K</t>
  </si>
  <si>
    <t>61.51K</t>
  </si>
  <si>
    <t>72.51K</t>
  </si>
  <si>
    <t>85.69K</t>
  </si>
  <si>
    <t>108.62K</t>
  </si>
  <si>
    <t>130.05K</t>
  </si>
  <si>
    <t>154.30K</t>
  </si>
  <si>
    <t>195.55K</t>
  </si>
  <si>
    <t>162.74K</t>
  </si>
  <si>
    <t>142.08K</t>
  </si>
  <si>
    <t>146.71K</t>
  </si>
  <si>
    <t>178.44K</t>
  </si>
  <si>
    <t>183.31K</t>
  </si>
  <si>
    <t>161.17K</t>
  </si>
  <si>
    <t>235.21K</t>
  </si>
  <si>
    <t>179.94K</t>
  </si>
  <si>
    <t>87.15K</t>
  </si>
  <si>
    <t>65.21K</t>
  </si>
  <si>
    <t>116.37K</t>
  </si>
  <si>
    <t>82.94K</t>
  </si>
  <si>
    <t>72.08K</t>
  </si>
  <si>
    <t>142.91K</t>
  </si>
  <si>
    <t>131.96K</t>
  </si>
  <si>
    <t>137.93K</t>
  </si>
  <si>
    <t>169.86K</t>
  </si>
  <si>
    <t>136.51K</t>
  </si>
  <si>
    <t>137.15K</t>
  </si>
  <si>
    <t>118.33K</t>
  </si>
  <si>
    <t>122.80K</t>
  </si>
  <si>
    <t>136.83K</t>
  </si>
  <si>
    <t>105.07K</t>
  </si>
  <si>
    <t>147.53K</t>
  </si>
  <si>
    <t>123.17K</t>
  </si>
  <si>
    <t>47.25K</t>
  </si>
  <si>
    <t>45.87K</t>
  </si>
  <si>
    <t>66.68K</t>
  </si>
  <si>
    <t>56.65K</t>
  </si>
  <si>
    <t>93.95K</t>
  </si>
  <si>
    <t>75.18K</t>
  </si>
  <si>
    <t>96.95K</t>
  </si>
  <si>
    <t>109.83K</t>
  </si>
  <si>
    <t>86.43K</t>
  </si>
  <si>
    <t>120.91K</t>
  </si>
  <si>
    <t>94.17K</t>
  </si>
  <si>
    <t>105.81K</t>
  </si>
  <si>
    <t>133.97K</t>
  </si>
  <si>
    <t>97.83K</t>
  </si>
  <si>
    <t>106.14K</t>
  </si>
  <si>
    <t>112.54K</t>
  </si>
  <si>
    <t>116.22K</t>
  </si>
  <si>
    <t>150.38K</t>
  </si>
  <si>
    <t>182.16K</t>
  </si>
  <si>
    <t>158.31K</t>
  </si>
  <si>
    <t>119.52K</t>
  </si>
  <si>
    <t>80.44K</t>
  </si>
  <si>
    <t>74.76K</t>
  </si>
  <si>
    <t>70.43K</t>
  </si>
  <si>
    <t>104.78K</t>
  </si>
  <si>
    <t>100.91K</t>
  </si>
  <si>
    <t>92.67K</t>
  </si>
  <si>
    <t>111.54K</t>
  </si>
  <si>
    <t>160.91K</t>
  </si>
  <si>
    <t>119.37K</t>
  </si>
  <si>
    <t>119.01K</t>
  </si>
  <si>
    <t>104.01K</t>
  </si>
  <si>
    <t>129.40K</t>
  </si>
  <si>
    <t>152.35K</t>
  </si>
  <si>
    <t>146.53K</t>
  </si>
  <si>
    <t>172.08K</t>
  </si>
  <si>
    <t>156.13K</t>
  </si>
  <si>
    <t>213.50K</t>
  </si>
  <si>
    <t>274.51K</t>
  </si>
  <si>
    <t>165.96K</t>
  </si>
  <si>
    <t>211.82K</t>
  </si>
  <si>
    <t>161.40K</t>
  </si>
  <si>
    <t>73.51K</t>
  </si>
  <si>
    <t>61.48K</t>
  </si>
  <si>
    <t>99.26K</t>
  </si>
  <si>
    <t>87.22K</t>
  </si>
  <si>
    <t>76.26K</t>
  </si>
  <si>
    <t>73.60K</t>
  </si>
  <si>
    <t>106.18K</t>
  </si>
  <si>
    <t>85.32K</t>
  </si>
  <si>
    <t>101.31K</t>
  </si>
  <si>
    <t>94.27K</t>
  </si>
  <si>
    <t>96.87K</t>
  </si>
  <si>
    <t>91.14K</t>
  </si>
  <si>
    <t>131.81K</t>
  </si>
  <si>
    <t>104.88K</t>
  </si>
  <si>
    <t>139.60K</t>
  </si>
  <si>
    <t>141.35K</t>
  </si>
  <si>
    <t>61.99K</t>
  </si>
  <si>
    <t>80.15K</t>
  </si>
  <si>
    <t>107.00K</t>
  </si>
  <si>
    <t>96.17K</t>
  </si>
  <si>
    <t>70.97K</t>
  </si>
  <si>
    <t>98.43K</t>
  </si>
  <si>
    <t>126.72K</t>
  </si>
  <si>
    <t>106.05K</t>
  </si>
  <si>
    <t>107.30K</t>
  </si>
  <si>
    <t>100.06K</t>
  </si>
  <si>
    <t>162.46K</t>
  </si>
  <si>
    <t>121.32K</t>
  </si>
  <si>
    <t>187.04K</t>
  </si>
  <si>
    <t>147.92K</t>
  </si>
  <si>
    <t>101.00K</t>
  </si>
  <si>
    <t>141.07K</t>
  </si>
  <si>
    <t>127.42K</t>
  </si>
  <si>
    <t>158.13K</t>
  </si>
  <si>
    <t>149.81K</t>
  </si>
  <si>
    <t>162.68K</t>
  </si>
  <si>
    <t>71.34K</t>
  </si>
  <si>
    <t>79.09K</t>
  </si>
  <si>
    <t>87.31K</t>
  </si>
  <si>
    <t>69.66K</t>
  </si>
  <si>
    <t>83.46K</t>
  </si>
  <si>
    <t>118.66K</t>
  </si>
  <si>
    <t>135.05K</t>
  </si>
  <si>
    <t>103.64K</t>
  </si>
  <si>
    <t>99.38K</t>
  </si>
  <si>
    <t>119.24K</t>
  </si>
  <si>
    <t>126.59K</t>
  </si>
  <si>
    <t>121.87K</t>
  </si>
  <si>
    <t>133.82K</t>
  </si>
  <si>
    <t>100.47K</t>
  </si>
  <si>
    <t>166.91K</t>
  </si>
  <si>
    <t>112.32K</t>
  </si>
  <si>
    <t>182.03K</t>
  </si>
  <si>
    <t>66.97K</t>
  </si>
  <si>
    <t>97.33K</t>
  </si>
  <si>
    <t>62.74K</t>
  </si>
  <si>
    <t>74.26K</t>
  </si>
  <si>
    <t>60.76K</t>
  </si>
  <si>
    <t>109.25K</t>
  </si>
  <si>
    <t>111.76K</t>
  </si>
  <si>
    <t>114.66K</t>
  </si>
  <si>
    <t>138.04K</t>
  </si>
  <si>
    <t>109.16K</t>
  </si>
  <si>
    <t>108.85K</t>
  </si>
  <si>
    <t>118.35K</t>
  </si>
  <si>
    <t>95.43K</t>
  </si>
  <si>
    <t>138.18K</t>
  </si>
  <si>
    <t>183.09K</t>
  </si>
  <si>
    <t>212.24K</t>
  </si>
  <si>
    <t>153.22K</t>
  </si>
  <si>
    <t>187.37K</t>
  </si>
  <si>
    <t>78.66K</t>
  </si>
  <si>
    <t>67.90K</t>
  </si>
  <si>
    <t>69.60K</t>
  </si>
  <si>
    <t>63.44K</t>
  </si>
  <si>
    <t>59.49K</t>
  </si>
  <si>
    <t>83.10K</t>
  </si>
  <si>
    <t>104.32K</t>
  </si>
  <si>
    <t>75.26K</t>
  </si>
  <si>
    <t>88.81K</t>
  </si>
  <si>
    <t>94.80K</t>
  </si>
  <si>
    <t>81.89K</t>
  </si>
  <si>
    <t>80.92K</t>
  </si>
  <si>
    <t>94.81K</t>
  </si>
  <si>
    <t>121.63K</t>
  </si>
  <si>
    <t>103.63K</t>
  </si>
  <si>
    <t>142.72K</t>
  </si>
  <si>
    <t>121.31K</t>
  </si>
  <si>
    <t>199.16K</t>
  </si>
  <si>
    <t>144.71K</t>
  </si>
  <si>
    <t>253.31K</t>
  </si>
  <si>
    <t>143.88K</t>
  </si>
  <si>
    <t>119.05K</t>
  </si>
  <si>
    <t>102.07K</t>
  </si>
  <si>
    <t>109.06K</t>
  </si>
  <si>
    <t>93.38K</t>
  </si>
  <si>
    <t>95.62K</t>
  </si>
  <si>
    <t>103.38K</t>
  </si>
  <si>
    <t>105.68K</t>
  </si>
  <si>
    <t>146.08K</t>
  </si>
  <si>
    <t>161.61K</t>
  </si>
  <si>
    <t>149.36K</t>
  </si>
  <si>
    <t>123.42K</t>
  </si>
  <si>
    <t>167.48K</t>
  </si>
  <si>
    <t>170.83K</t>
  </si>
  <si>
    <t>225.69K</t>
  </si>
  <si>
    <t>192.16K</t>
  </si>
  <si>
    <t>95.81K</t>
  </si>
  <si>
    <t>214.29K</t>
  </si>
  <si>
    <t>163.06K</t>
  </si>
  <si>
    <t>208.65K</t>
  </si>
  <si>
    <t>184.35K</t>
  </si>
  <si>
    <t>171.70K</t>
  </si>
  <si>
    <t>183.89K</t>
  </si>
  <si>
    <t>188.69K</t>
  </si>
  <si>
    <t>258.43K</t>
  </si>
  <si>
    <t>233.88K</t>
  </si>
  <si>
    <t>276.53K</t>
  </si>
  <si>
    <t>328.09K</t>
  </si>
  <si>
    <t>213.64K</t>
  </si>
  <si>
    <t>89.64K</t>
  </si>
  <si>
    <t>122.87K</t>
  </si>
  <si>
    <t>111.29K</t>
  </si>
  <si>
    <t>132.38K</t>
  </si>
  <si>
    <t>165.73K</t>
  </si>
  <si>
    <t>66.85K</t>
  </si>
  <si>
    <t>67.21K</t>
  </si>
  <si>
    <t>2.52K</t>
  </si>
  <si>
    <t>374.32K</t>
  </si>
  <si>
    <t>184.55K</t>
  </si>
  <si>
    <t>156.67K</t>
  </si>
  <si>
    <t>188.09K</t>
  </si>
  <si>
    <t>228.12K</t>
  </si>
  <si>
    <t>182.15K</t>
  </si>
  <si>
    <t>189.26K</t>
  </si>
  <si>
    <t>145.20K</t>
  </si>
  <si>
    <t>229.11K</t>
  </si>
  <si>
    <t>195.51K</t>
  </si>
  <si>
    <t>167.42K</t>
  </si>
  <si>
    <t>169.34K</t>
  </si>
  <si>
    <t>193.02K</t>
  </si>
  <si>
    <t>204.28K</t>
  </si>
  <si>
    <t>138.13K</t>
  </si>
  <si>
    <t>120.84K</t>
  </si>
  <si>
    <t>87.57K</t>
  </si>
  <si>
    <t>66.94K</t>
  </si>
  <si>
    <t>63.82K</t>
  </si>
  <si>
    <t>201.74K</t>
  </si>
  <si>
    <t>138.21K</t>
  </si>
  <si>
    <t>273.51K</t>
  </si>
  <si>
    <t>182.53K</t>
  </si>
  <si>
    <t>170.26K</t>
  </si>
  <si>
    <t>177.67K</t>
  </si>
  <si>
    <t>188.70K</t>
  </si>
  <si>
    <t>203.92K</t>
  </si>
  <si>
    <t>219.16K</t>
  </si>
  <si>
    <t>194.73K</t>
  </si>
  <si>
    <t>305.90K</t>
  </si>
  <si>
    <t>201.10K</t>
  </si>
  <si>
    <t>164.32K</t>
  </si>
  <si>
    <t>82.87K</t>
  </si>
  <si>
    <t>91.53K</t>
  </si>
  <si>
    <t>2.24K</t>
  </si>
  <si>
    <t>171.40K</t>
  </si>
  <si>
    <t>141.99K</t>
  </si>
  <si>
    <t>269.84K</t>
  </si>
  <si>
    <t>350.51K</t>
  </si>
  <si>
    <t>224.57K</t>
  </si>
  <si>
    <t>202.48K</t>
  </si>
  <si>
    <t>211.90K</t>
  </si>
  <si>
    <t>221.48K</t>
  </si>
  <si>
    <t>224.05K</t>
  </si>
  <si>
    <t>144.41K</t>
  </si>
  <si>
    <t>88.75K</t>
  </si>
  <si>
    <t>95.98K</t>
  </si>
  <si>
    <t>113.39K</t>
  </si>
  <si>
    <t>141.55K</t>
  </si>
  <si>
    <t>118.07K</t>
  </si>
  <si>
    <t>78.99K</t>
  </si>
  <si>
    <t>50.29K</t>
  </si>
  <si>
    <t>52.75K</t>
  </si>
  <si>
    <t>176.36K</t>
  </si>
  <si>
    <t>171.86K</t>
  </si>
  <si>
    <t>156.69K</t>
  </si>
  <si>
    <t>141.24K</t>
  </si>
  <si>
    <t>165.41K</t>
  </si>
  <si>
    <t>246.55K</t>
  </si>
  <si>
    <t>298.84K</t>
  </si>
  <si>
    <t>278.15K</t>
  </si>
  <si>
    <t>359.06K</t>
  </si>
  <si>
    <t>260.68K</t>
  </si>
  <si>
    <t>181.63K</t>
  </si>
  <si>
    <t>160.23K</t>
  </si>
  <si>
    <t>143.59K</t>
  </si>
  <si>
    <t>150.41K</t>
  </si>
  <si>
    <t>145.61K</t>
  </si>
  <si>
    <t>117.68K</t>
  </si>
  <si>
    <t>86.14K</t>
  </si>
  <si>
    <t>66.98K</t>
  </si>
  <si>
    <t>58.82K</t>
  </si>
  <si>
    <t>2.17K</t>
  </si>
  <si>
    <t>145.96K</t>
  </si>
  <si>
    <t>159.64K</t>
  </si>
  <si>
    <t>140.95K</t>
  </si>
  <si>
    <t>161.32K</t>
  </si>
  <si>
    <t>200.86K</t>
  </si>
  <si>
    <t>162.37K</t>
  </si>
  <si>
    <t>174.97K</t>
  </si>
  <si>
    <t>163.73K</t>
  </si>
  <si>
    <t>130.02K</t>
  </si>
  <si>
    <t>119.95K</t>
  </si>
  <si>
    <t>152.65K</t>
  </si>
  <si>
    <t>141.33K</t>
  </si>
  <si>
    <t>150.36K</t>
  </si>
  <si>
    <t>195.65K</t>
  </si>
  <si>
    <t>118.67K</t>
  </si>
  <si>
    <t>91.99K</t>
  </si>
  <si>
    <t>60.60K</t>
  </si>
  <si>
    <t>17.95K</t>
  </si>
  <si>
    <t>55.90K</t>
  </si>
  <si>
    <t>131.55K</t>
  </si>
  <si>
    <t>199.98K</t>
  </si>
  <si>
    <t>139.41K</t>
  </si>
  <si>
    <t>126.09K</t>
  </si>
  <si>
    <t>208.76K</t>
  </si>
  <si>
    <t>180.63K</t>
  </si>
  <si>
    <t>215.68K</t>
  </si>
  <si>
    <t>179.31K</t>
  </si>
  <si>
    <t>220.85K</t>
  </si>
  <si>
    <t>133.29K</t>
  </si>
  <si>
    <t>85.97K</t>
  </si>
  <si>
    <t>86.01K</t>
  </si>
  <si>
    <t>36.51K</t>
  </si>
  <si>
    <t>150.78K</t>
  </si>
  <si>
    <t>102.70K</t>
  </si>
  <si>
    <t>70.98K</t>
  </si>
  <si>
    <t>74.50K</t>
  </si>
  <si>
    <t>5.53K</t>
  </si>
  <si>
    <t>153.06K</t>
  </si>
  <si>
    <t>212.92K</t>
  </si>
  <si>
    <t>177.01K</t>
  </si>
  <si>
    <t>115.61K</t>
  </si>
  <si>
    <t>147.83K</t>
  </si>
  <si>
    <t>16.62K</t>
  </si>
  <si>
    <t>163.40K</t>
  </si>
  <si>
    <t>130.24K</t>
  </si>
  <si>
    <t>217.20K</t>
  </si>
  <si>
    <t>163.04K</t>
  </si>
  <si>
    <t>130.29K</t>
  </si>
  <si>
    <t>149.46K</t>
  </si>
  <si>
    <t>132.96K</t>
  </si>
  <si>
    <t>116.04K</t>
  </si>
  <si>
    <t>108.57K</t>
  </si>
  <si>
    <t>123.96K</t>
  </si>
  <si>
    <t>143.80K</t>
  </si>
  <si>
    <t>122.26K</t>
  </si>
  <si>
    <t>158.44K</t>
  </si>
  <si>
    <t>75.36K</t>
  </si>
  <si>
    <t>39.12K</t>
  </si>
  <si>
    <t>69.85K</t>
  </si>
  <si>
    <t>2.37K</t>
  </si>
  <si>
    <t>126.25K</t>
  </si>
  <si>
    <t>168.40K</t>
  </si>
  <si>
    <t>102.38K</t>
  </si>
  <si>
    <t>167.44K</t>
  </si>
  <si>
    <t>134.13K</t>
  </si>
  <si>
    <t>171.66K</t>
  </si>
  <si>
    <t>164.26K</t>
  </si>
  <si>
    <t>219.06K</t>
  </si>
  <si>
    <t>179.25K</t>
  </si>
  <si>
    <t>138.65K</t>
  </si>
  <si>
    <t>132.78K</t>
  </si>
  <si>
    <t>95.61K</t>
  </si>
  <si>
    <t>154.55K</t>
  </si>
  <si>
    <t>113.08K</t>
  </si>
  <si>
    <t>115.27K</t>
  </si>
  <si>
    <t>79.36K</t>
  </si>
  <si>
    <t>60.32K</t>
  </si>
  <si>
    <t>70.24K</t>
  </si>
  <si>
    <t>3.34K</t>
  </si>
  <si>
    <t>186.27K</t>
  </si>
  <si>
    <t>142.63K</t>
  </si>
  <si>
    <t>45.73K</t>
  </si>
  <si>
    <t>226.57K</t>
  </si>
  <si>
    <t>187.56K</t>
  </si>
  <si>
    <t>165.91K</t>
  </si>
  <si>
    <t>130.91K</t>
  </si>
  <si>
    <t>3.38K</t>
  </si>
  <si>
    <t>200.53K</t>
  </si>
  <si>
    <t>181.52K</t>
  </si>
  <si>
    <t>67.35K</t>
  </si>
  <si>
    <t>港口库存（万吨）</t>
  </si>
  <si>
    <t>镇江港颗粒硫磺价格（元/吨）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</si>
</sst>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/m/d;@"/>
    <numFmt numFmtId="177" formatCode="0_);[Red]\(0\)"/>
    <numFmt numFmtId="178" formatCode="yy/mm/dd"/>
    <numFmt numFmtId="179" formatCode="yyyy\-mm\-dd;@"/>
    <numFmt numFmtId="180" formatCode="[$-409]yyyy\-mm\-dd;@"/>
    <numFmt numFmtId="181" formatCode="0.00_ "/>
  </numFmts>
  <fonts count="36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color theme="1"/>
      <name val="等线 Light"/>
      <charset val="134"/>
      <scheme val="major"/>
    </font>
    <font>
      <sz val="9"/>
      <color theme="1"/>
      <name val="Arial"/>
      <charset val="134"/>
    </font>
    <font>
      <sz val="9"/>
      <color rgb="FF009900"/>
      <name val="Arial"/>
      <charset val="134"/>
    </font>
    <font>
      <sz val="9"/>
      <color rgb="FFFF0000"/>
      <name val="Arial"/>
      <charset val="134"/>
    </font>
    <font>
      <sz val="9"/>
      <color rgb="FF333333"/>
      <name val="Arial"/>
      <charset val="134"/>
    </font>
    <font>
      <sz val="11"/>
      <color indexed="8"/>
      <name val="等线"/>
      <charset val="134"/>
      <scheme val="minor"/>
    </font>
    <font>
      <sz val="11"/>
      <name val="宋体"/>
      <charset val="134"/>
    </font>
    <font>
      <sz val="11"/>
      <name val="Calibri"/>
      <charset val="134"/>
    </font>
    <font>
      <sz val="10"/>
      <color rgb="FF000000"/>
      <name val="等线"/>
      <charset val="134"/>
      <scheme val="minor"/>
    </font>
    <font>
      <sz val="10"/>
      <color rgb="FF000000"/>
      <name val="宋体"/>
      <charset val="134"/>
    </font>
    <font>
      <sz val="10"/>
      <color rgb="FF191919"/>
      <name val="宋体"/>
      <charset val="134"/>
    </font>
    <font>
      <sz val="12"/>
      <color theme="1"/>
      <name val="黑体"/>
      <charset val="134"/>
    </font>
    <font>
      <sz val="11"/>
      <color rgb="FF000000"/>
      <name val="宋体"/>
      <charset val="134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E2E2E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E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rgb="FFBBD4E8"/>
      </left>
      <right style="medium">
        <color rgb="FFBBD4E8"/>
      </right>
      <top style="medium">
        <color rgb="FFBBD4E8"/>
      </top>
      <bottom style="medium">
        <color rgb="FFBBD4E8"/>
      </bottom>
      <diagonal/>
    </border>
    <border>
      <left/>
      <right style="medium">
        <color rgb="FFBBD4E8"/>
      </right>
      <top style="medium">
        <color rgb="FFBBD4E8"/>
      </top>
      <bottom style="medium">
        <color rgb="FFBBD4E8"/>
      </bottom>
      <diagonal/>
    </border>
    <border>
      <left/>
      <right/>
      <top style="medium">
        <color rgb="FFBBD4E8"/>
      </top>
      <bottom style="medium">
        <color rgb="FFBBD4E8"/>
      </bottom>
      <diagonal/>
    </border>
    <border>
      <left style="medium">
        <color rgb="FFBBD4E8"/>
      </left>
      <right style="medium">
        <color rgb="FFBBD4E8"/>
      </right>
      <top/>
      <bottom style="medium">
        <color rgb="FFBBD4E8"/>
      </bottom>
      <diagonal/>
    </border>
    <border>
      <left/>
      <right style="medium">
        <color rgb="FFBBD4E8"/>
      </right>
      <top/>
      <bottom style="medium">
        <color rgb="FFBBD4E8"/>
      </bottom>
      <diagonal/>
    </border>
    <border>
      <left/>
      <right/>
      <top/>
      <bottom style="medium">
        <color rgb="FFBBD4E8"/>
      </bottom>
      <diagonal/>
    </border>
    <border>
      <left style="medium">
        <color rgb="FFBBD4E8"/>
      </left>
      <right style="medium">
        <color rgb="FFBBD4E8"/>
      </right>
      <top/>
      <bottom/>
      <diagonal/>
    </border>
    <border>
      <left/>
      <right style="medium">
        <color rgb="FFBBD4E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0" borderId="1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19" applyNumberFormat="0" applyAlignment="0" applyProtection="0">
      <alignment vertical="center"/>
    </xf>
    <xf numFmtId="0" fontId="25" fillId="12" borderId="20" applyNumberFormat="0" applyAlignment="0" applyProtection="0">
      <alignment vertical="center"/>
    </xf>
    <xf numFmtId="0" fontId="26" fillId="12" borderId="19" applyNumberFormat="0" applyAlignment="0" applyProtection="0">
      <alignment vertical="center"/>
    </xf>
    <xf numFmtId="0" fontId="27" fillId="13" borderId="21" applyNumberFormat="0" applyAlignment="0" applyProtection="0">
      <alignment vertical="center"/>
    </xf>
    <xf numFmtId="0" fontId="28" fillId="0" borderId="22" applyNumberFormat="0" applyFill="0" applyAlignment="0" applyProtection="0">
      <alignment vertical="center"/>
    </xf>
    <xf numFmtId="0" fontId="29" fillId="0" borderId="23" applyNumberFormat="0" applyFill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</cellStyleXfs>
  <cellXfs count="114">
    <xf numFmtId="0" fontId="0" fillId="0" borderId="0" xfId="0">
      <alignment vertical="center"/>
    </xf>
    <xf numFmtId="176" fontId="1" fillId="0" borderId="0" xfId="50" applyNumberFormat="1" applyFont="1" applyAlignment="1">
      <alignment horizontal="center" vertical="center"/>
    </xf>
    <xf numFmtId="0" fontId="1" fillId="0" borderId="0" xfId="50" applyFont="1" applyAlignment="1">
      <alignment horizontal="center" vertical="center"/>
    </xf>
    <xf numFmtId="177" fontId="1" fillId="0" borderId="0" xfId="50" applyNumberFormat="1" applyFont="1" applyAlignment="1">
      <alignment horizontal="center" vertical="center"/>
    </xf>
    <xf numFmtId="178" fontId="1" fillId="0" borderId="0" xfId="51" applyNumberFormat="1" applyFont="1" applyAlignment="1">
      <alignment horizontal="center" vertical="center"/>
    </xf>
    <xf numFmtId="178" fontId="2" fillId="0" borderId="0" xfId="51" applyNumberFormat="1" applyFont="1" applyAlignment="1">
      <alignment horizontal="center" vertical="center"/>
    </xf>
    <xf numFmtId="179" fontId="0" fillId="0" borderId="0" xfId="49" applyNumberFormat="1">
      <alignment vertical="center"/>
    </xf>
    <xf numFmtId="0" fontId="0" fillId="0" borderId="0" xfId="49">
      <alignment vertical="center"/>
    </xf>
    <xf numFmtId="10" fontId="0" fillId="0" borderId="0" xfId="49" applyNumberFormat="1">
      <alignment vertical="center"/>
    </xf>
    <xf numFmtId="4" fontId="0" fillId="0" borderId="0" xfId="49" applyNumberFormat="1">
      <alignment vertical="center"/>
    </xf>
    <xf numFmtId="14" fontId="0" fillId="0" borderId="0" xfId="49" applyNumberFormat="1">
      <alignment vertical="center"/>
    </xf>
    <xf numFmtId="180" fontId="0" fillId="0" borderId="0" xfId="0" applyNumberFormat="1">
      <alignment vertical="center"/>
    </xf>
    <xf numFmtId="180" fontId="3" fillId="2" borderId="1" xfId="0" applyNumberFormat="1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10" fontId="3" fillId="3" borderId="2" xfId="0" applyNumberFormat="1" applyFont="1" applyFill="1" applyBorder="1" applyAlignment="1">
      <alignment vertical="center" wrapText="1"/>
    </xf>
    <xf numFmtId="10" fontId="4" fillId="3" borderId="2" xfId="0" applyNumberFormat="1" applyFont="1" applyFill="1" applyBorder="1" applyAlignment="1">
      <alignment vertical="center" wrapText="1"/>
    </xf>
    <xf numFmtId="10" fontId="5" fillId="4" borderId="2" xfId="0" applyNumberFormat="1" applyFont="1" applyFill="1" applyBorder="1" applyAlignment="1">
      <alignment vertical="center" wrapText="1"/>
    </xf>
    <xf numFmtId="10" fontId="5" fillId="3" borderId="2" xfId="0" applyNumberFormat="1" applyFont="1" applyFill="1" applyBorder="1" applyAlignment="1">
      <alignment vertical="center" wrapText="1"/>
    </xf>
    <xf numFmtId="10" fontId="5" fillId="3" borderId="3" xfId="0" applyNumberFormat="1" applyFont="1" applyFill="1" applyBorder="1" applyAlignment="1">
      <alignment vertical="center" wrapText="1"/>
    </xf>
    <xf numFmtId="180" fontId="3" fillId="2" borderId="4" xfId="0" applyNumberFormat="1" applyFont="1" applyFill="1" applyBorder="1" applyAlignment="1">
      <alignment vertical="center" wrapText="1"/>
    </xf>
    <xf numFmtId="0" fontId="3" fillId="5" borderId="5" xfId="0" applyFont="1" applyFill="1" applyBorder="1" applyAlignment="1">
      <alignment vertical="center" wrapText="1"/>
    </xf>
    <xf numFmtId="10" fontId="3" fillId="5" borderId="5" xfId="0" applyNumberFormat="1" applyFont="1" applyFill="1" applyBorder="1" applyAlignment="1">
      <alignment vertical="center" wrapText="1"/>
    </xf>
    <xf numFmtId="10" fontId="4" fillId="5" borderId="5" xfId="0" applyNumberFormat="1" applyFont="1" applyFill="1" applyBorder="1" applyAlignment="1">
      <alignment vertical="center" wrapText="1"/>
    </xf>
    <xf numFmtId="10" fontId="5" fillId="4" borderId="5" xfId="0" applyNumberFormat="1" applyFont="1" applyFill="1" applyBorder="1" applyAlignment="1">
      <alignment vertical="center" wrapText="1"/>
    </xf>
    <xf numFmtId="10" fontId="5" fillId="5" borderId="5" xfId="0" applyNumberFormat="1" applyFont="1" applyFill="1" applyBorder="1" applyAlignment="1">
      <alignment vertical="center" wrapText="1"/>
    </xf>
    <xf numFmtId="10" fontId="5" fillId="5" borderId="6" xfId="0" applyNumberFormat="1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10" fontId="3" fillId="3" borderId="5" xfId="0" applyNumberFormat="1" applyFont="1" applyFill="1" applyBorder="1" applyAlignment="1">
      <alignment vertical="center" wrapText="1"/>
    </xf>
    <xf numFmtId="10" fontId="4" fillId="3" borderId="5" xfId="0" applyNumberFormat="1" applyFont="1" applyFill="1" applyBorder="1" applyAlignment="1">
      <alignment vertical="center" wrapText="1"/>
    </xf>
    <xf numFmtId="10" fontId="5" fillId="3" borderId="5" xfId="0" applyNumberFormat="1" applyFont="1" applyFill="1" applyBorder="1" applyAlignment="1">
      <alignment vertical="center" wrapText="1"/>
    </xf>
    <xf numFmtId="10" fontId="5" fillId="3" borderId="6" xfId="0" applyNumberFormat="1" applyFont="1" applyFill="1" applyBorder="1" applyAlignment="1">
      <alignment vertical="center" wrapText="1"/>
    </xf>
    <xf numFmtId="180" fontId="3" fillId="4" borderId="4" xfId="0" applyNumberFormat="1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10" fontId="4" fillId="4" borderId="5" xfId="0" applyNumberFormat="1" applyFont="1" applyFill="1" applyBorder="1" applyAlignment="1">
      <alignment vertical="center" wrapText="1"/>
    </xf>
    <xf numFmtId="10" fontId="5" fillId="4" borderId="6" xfId="0" applyNumberFormat="1" applyFont="1" applyFill="1" applyBorder="1" applyAlignment="1">
      <alignment vertical="center" wrapText="1"/>
    </xf>
    <xf numFmtId="180" fontId="3" fillId="2" borderId="7" xfId="0" applyNumberFormat="1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10" fontId="3" fillId="3" borderId="8" xfId="0" applyNumberFormat="1" applyFont="1" applyFill="1" applyBorder="1" applyAlignment="1">
      <alignment vertical="center" wrapText="1"/>
    </xf>
    <xf numFmtId="10" fontId="4" fillId="3" borderId="8" xfId="0" applyNumberFormat="1" applyFont="1" applyFill="1" applyBorder="1" applyAlignment="1">
      <alignment vertical="center" wrapText="1"/>
    </xf>
    <xf numFmtId="10" fontId="5" fillId="4" borderId="8" xfId="0" applyNumberFormat="1" applyFont="1" applyFill="1" applyBorder="1" applyAlignment="1">
      <alignment vertical="center" wrapText="1"/>
    </xf>
    <xf numFmtId="10" fontId="5" fillId="3" borderId="8" xfId="0" applyNumberFormat="1" applyFont="1" applyFill="1" applyBorder="1" applyAlignment="1">
      <alignment vertical="center" wrapText="1"/>
    </xf>
    <xf numFmtId="10" fontId="5" fillId="3" borderId="0" xfId="0" applyNumberFormat="1" applyFont="1" applyFill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10" fontId="4" fillId="5" borderId="2" xfId="0" applyNumberFormat="1" applyFont="1" applyFill="1" applyBorder="1" applyAlignment="1">
      <alignment vertical="center" wrapText="1"/>
    </xf>
    <xf numFmtId="10" fontId="5" fillId="5" borderId="2" xfId="0" applyNumberFormat="1" applyFont="1" applyFill="1" applyBorder="1" applyAlignment="1">
      <alignment vertical="center" wrapText="1"/>
    </xf>
    <xf numFmtId="10" fontId="5" fillId="5" borderId="3" xfId="0" applyNumberFormat="1" applyFont="1" applyFill="1" applyBorder="1" applyAlignment="1">
      <alignment vertical="center" wrapText="1"/>
    </xf>
    <xf numFmtId="10" fontId="3" fillId="4" borderId="5" xfId="0" applyNumberFormat="1" applyFont="1" applyFill="1" applyBorder="1" applyAlignment="1">
      <alignment vertical="center" wrapText="1"/>
    </xf>
    <xf numFmtId="10" fontId="4" fillId="4" borderId="8" xfId="0" applyNumberFormat="1" applyFont="1" applyFill="1" applyBorder="1" applyAlignment="1">
      <alignment vertical="center" wrapText="1"/>
    </xf>
    <xf numFmtId="10" fontId="3" fillId="5" borderId="2" xfId="0" applyNumberFormat="1" applyFont="1" applyFill="1" applyBorder="1" applyAlignment="1">
      <alignment vertical="center" wrapText="1"/>
    </xf>
    <xf numFmtId="10" fontId="4" fillId="4" borderId="2" xfId="0" applyNumberFormat="1" applyFont="1" applyFill="1" applyBorder="1" applyAlignment="1">
      <alignment vertical="center" wrapText="1"/>
    </xf>
    <xf numFmtId="10" fontId="4" fillId="5" borderId="6" xfId="0" applyNumberFormat="1" applyFont="1" applyFill="1" applyBorder="1" applyAlignment="1">
      <alignment vertical="center" wrapText="1"/>
    </xf>
    <xf numFmtId="10" fontId="4" fillId="3" borderId="6" xfId="0" applyNumberFormat="1" applyFont="1" applyFill="1" applyBorder="1" applyAlignment="1">
      <alignment vertical="center" wrapText="1"/>
    </xf>
    <xf numFmtId="10" fontId="4" fillId="3" borderId="0" xfId="0" applyNumberFormat="1" applyFont="1" applyFill="1" applyAlignment="1">
      <alignment vertical="center" wrapText="1"/>
    </xf>
    <xf numFmtId="10" fontId="4" fillId="5" borderId="3" xfId="0" applyNumberFormat="1" applyFont="1" applyFill="1" applyBorder="1" applyAlignment="1">
      <alignment vertical="center" wrapText="1"/>
    </xf>
    <xf numFmtId="10" fontId="4" fillId="4" borderId="6" xfId="0" applyNumberFormat="1" applyFont="1" applyFill="1" applyBorder="1" applyAlignment="1">
      <alignment vertical="center" wrapText="1"/>
    </xf>
    <xf numFmtId="180" fontId="6" fillId="2" borderId="1" xfId="0" applyNumberFormat="1" applyFont="1" applyFill="1" applyBorder="1" applyAlignment="1">
      <alignment vertical="center" wrapText="1"/>
    </xf>
    <xf numFmtId="0" fontId="6" fillId="5" borderId="2" xfId="0" applyFont="1" applyFill="1" applyBorder="1" applyAlignment="1">
      <alignment vertical="center" wrapText="1"/>
    </xf>
    <xf numFmtId="10" fontId="6" fillId="5" borderId="2" xfId="0" applyNumberFormat="1" applyFont="1" applyFill="1" applyBorder="1" applyAlignment="1">
      <alignment vertical="center" wrapText="1"/>
    </xf>
    <xf numFmtId="180" fontId="6" fillId="2" borderId="4" xfId="0" applyNumberFormat="1" applyFont="1" applyFill="1" applyBorder="1" applyAlignment="1">
      <alignment vertical="center" wrapText="1"/>
    </xf>
    <xf numFmtId="0" fontId="6" fillId="3" borderId="5" xfId="0" applyFont="1" applyFill="1" applyBorder="1" applyAlignment="1">
      <alignment vertical="center" wrapText="1"/>
    </xf>
    <xf numFmtId="10" fontId="6" fillId="3" borderId="5" xfId="0" applyNumberFormat="1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10" fontId="6" fillId="5" borderId="5" xfId="0" applyNumberFormat="1" applyFont="1" applyFill="1" applyBorder="1" applyAlignment="1">
      <alignment vertical="center" wrapText="1"/>
    </xf>
    <xf numFmtId="180" fontId="6" fillId="2" borderId="7" xfId="0" applyNumberFormat="1" applyFont="1" applyFill="1" applyBorder="1" applyAlignment="1">
      <alignment vertical="center" wrapText="1"/>
    </xf>
    <xf numFmtId="0" fontId="6" fillId="3" borderId="8" xfId="0" applyFont="1" applyFill="1" applyBorder="1" applyAlignment="1">
      <alignment vertical="center" wrapText="1"/>
    </xf>
    <xf numFmtId="10" fontId="6" fillId="3" borderId="8" xfId="0" applyNumberFormat="1" applyFont="1" applyFill="1" applyBorder="1" applyAlignment="1">
      <alignment vertical="center" wrapText="1"/>
    </xf>
    <xf numFmtId="10" fontId="4" fillId="4" borderId="3" xfId="0" applyNumberFormat="1" applyFont="1" applyFill="1" applyBorder="1" applyAlignment="1">
      <alignment vertical="center" wrapText="1"/>
    </xf>
    <xf numFmtId="180" fontId="6" fillId="4" borderId="7" xfId="0" applyNumberFormat="1" applyFont="1" applyFill="1" applyBorder="1" applyAlignment="1">
      <alignment vertical="center" wrapText="1"/>
    </xf>
    <xf numFmtId="0" fontId="6" fillId="4" borderId="8" xfId="0" applyFont="1" applyFill="1" applyBorder="1" applyAlignment="1">
      <alignment vertical="center" wrapText="1"/>
    </xf>
    <xf numFmtId="10" fontId="6" fillId="4" borderId="8" xfId="0" applyNumberFormat="1" applyFont="1" applyFill="1" applyBorder="1" applyAlignment="1">
      <alignment vertical="center" wrapText="1"/>
    </xf>
    <xf numFmtId="10" fontId="4" fillId="4" borderId="0" xfId="0" applyNumberFormat="1" applyFont="1" applyFill="1" applyAlignment="1">
      <alignment vertical="center" wrapText="1"/>
    </xf>
    <xf numFmtId="0" fontId="6" fillId="5" borderId="8" xfId="0" applyFont="1" applyFill="1" applyBorder="1" applyAlignment="1">
      <alignment vertical="center" wrapText="1"/>
    </xf>
    <xf numFmtId="10" fontId="4" fillId="5" borderId="8" xfId="0" applyNumberFormat="1" applyFont="1" applyFill="1" applyBorder="1" applyAlignment="1">
      <alignment vertical="center" wrapText="1"/>
    </xf>
    <xf numFmtId="10" fontId="5" fillId="5" borderId="8" xfId="0" applyNumberFormat="1" applyFont="1" applyFill="1" applyBorder="1" applyAlignment="1">
      <alignment vertical="center" wrapText="1"/>
    </xf>
    <xf numFmtId="10" fontId="4" fillId="5" borderId="0" xfId="0" applyNumberFormat="1" applyFont="1" applyFill="1" applyAlignment="1">
      <alignment vertical="center" wrapText="1"/>
    </xf>
    <xf numFmtId="180" fontId="7" fillId="0" borderId="0" xfId="0" applyNumberFormat="1" applyFont="1">
      <alignment vertical="center"/>
    </xf>
    <xf numFmtId="0" fontId="7" fillId="0" borderId="0" xfId="0" applyFont="1">
      <alignment vertical="center"/>
    </xf>
    <xf numFmtId="180" fontId="8" fillId="6" borderId="9" xfId="0" applyNumberFormat="1" applyFont="1" applyFill="1" applyBorder="1" applyAlignment="1">
      <alignment horizontal="left" vertical="center"/>
    </xf>
    <xf numFmtId="0" fontId="8" fillId="6" borderId="9" xfId="0" applyFont="1" applyFill="1" applyBorder="1" applyAlignment="1">
      <alignment horizontal="left" vertical="center"/>
    </xf>
    <xf numFmtId="180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176" fontId="10" fillId="7" borderId="10" xfId="0" applyNumberFormat="1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177" fontId="10" fillId="7" borderId="10" xfId="0" applyNumberFormat="1" applyFont="1" applyFill="1" applyBorder="1" applyAlignment="1">
      <alignment horizontal="center" vertical="center"/>
    </xf>
    <xf numFmtId="176" fontId="10" fillId="0" borderId="10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177" fontId="10" fillId="0" borderId="10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/>
    </xf>
    <xf numFmtId="177" fontId="11" fillId="0" borderId="10" xfId="0" applyNumberFormat="1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177" fontId="11" fillId="0" borderId="11" xfId="0" applyNumberFormat="1" applyFont="1" applyBorder="1" applyAlignment="1">
      <alignment horizontal="center" vertical="center" wrapText="1"/>
    </xf>
    <xf numFmtId="176" fontId="11" fillId="5" borderId="12" xfId="0" applyNumberFormat="1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176" fontId="11" fillId="5" borderId="13" xfId="0" applyNumberFormat="1" applyFont="1" applyFill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177" fontId="11" fillId="0" borderId="14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77" fontId="10" fillId="0" borderId="0" xfId="0" applyNumberFormat="1" applyFont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81" fontId="11" fillId="0" borderId="0" xfId="0" applyNumberFormat="1" applyFont="1" applyAlignment="1">
      <alignment horizontal="center" vertical="center"/>
    </xf>
    <xf numFmtId="0" fontId="11" fillId="0" borderId="15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177" fontId="12" fillId="0" borderId="10" xfId="0" applyNumberFormat="1" applyFont="1" applyBorder="1" applyAlignment="1">
      <alignment horizontal="center" vertical="center" wrapText="1"/>
    </xf>
    <xf numFmtId="178" fontId="10" fillId="0" borderId="0" xfId="0" applyNumberFormat="1" applyFon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9" fontId="13" fillId="8" borderId="0" xfId="0" applyNumberFormat="1" applyFont="1" applyFill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179" fontId="14" fillId="0" borderId="0" xfId="0" applyNumberFormat="1" applyFont="1" applyAlignment="1">
      <alignment horizontal="center" vertical="center"/>
    </xf>
    <xf numFmtId="0" fontId="15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10" fontId="0" fillId="0" borderId="0" xfId="3" applyNumberFormat="1" applyFont="1" applyAlignment="1">
      <alignment horizontal="center" vertical="center"/>
    </xf>
    <xf numFmtId="10" fontId="0" fillId="9" borderId="0" xfId="3" applyNumberFormat="1" applyFont="1" applyFill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5" xfId="50"/>
    <cellStyle name="常规 3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82"/>
  <sheetViews>
    <sheetView tabSelected="1" workbookViewId="0">
      <selection activeCell="J3" sqref="J3"/>
    </sheetView>
  </sheetViews>
  <sheetFormatPr defaultColWidth="9" defaultRowHeight="14.25"/>
  <cols>
    <col min="1" max="1" width="15.75" style="105" customWidth="1"/>
    <col min="2" max="2" width="10.625" style="106" customWidth="1"/>
    <col min="3" max="3" width="17" style="106" customWidth="1"/>
    <col min="4" max="5" width="9" style="106"/>
    <col min="6" max="6" width="13" style="106" customWidth="1"/>
    <col min="7" max="7" width="14.875" style="106" customWidth="1"/>
    <col min="8" max="8" width="12.625" style="106" customWidth="1"/>
    <col min="10" max="10" width="21.5" style="106" customWidth="1"/>
    <col min="12" max="12" width="16.5" style="106" customWidth="1"/>
  </cols>
  <sheetData>
    <row r="1" ht="21" customHeight="1" spans="1:18">
      <c r="A1" s="107" t="s">
        <v>0</v>
      </c>
      <c r="B1" s="108" t="s">
        <v>1</v>
      </c>
      <c r="C1" s="108" t="s">
        <v>2</v>
      </c>
      <c r="D1" s="108" t="s">
        <v>3</v>
      </c>
      <c r="E1" s="108" t="s">
        <v>4</v>
      </c>
      <c r="F1" s="108" t="s">
        <v>5</v>
      </c>
      <c r="G1" s="108" t="s">
        <v>6</v>
      </c>
      <c r="H1" s="108" t="s">
        <v>7</v>
      </c>
      <c r="I1" s="108" t="s">
        <v>8</v>
      </c>
      <c r="J1" s="108" t="s">
        <v>9</v>
      </c>
      <c r="L1" s="108" t="s">
        <v>10</v>
      </c>
      <c r="M1" s="108" t="s">
        <v>11</v>
      </c>
      <c r="N1" s="110"/>
      <c r="O1" s="110"/>
      <c r="P1" s="110"/>
      <c r="Q1" s="110"/>
      <c r="R1" s="110"/>
    </row>
    <row r="2" spans="1:12">
      <c r="A2" s="109">
        <v>44565</v>
      </c>
      <c r="B2" s="106">
        <f>VLOOKUP(A2,Sheet2!A:C,2,FALSE)</f>
        <v>167</v>
      </c>
      <c r="C2" s="106">
        <v>3480</v>
      </c>
      <c r="D2" s="106">
        <f>VLOOKUP(A2,Sheet4!A:C,2,FALSE)</f>
        <v>1100</v>
      </c>
      <c r="E2" s="106">
        <f>VLOOKUP(A2,Sheet5!A:B,2,FALSE)</f>
        <v>6.3726</v>
      </c>
      <c r="F2" s="106">
        <f>VLOOKUP(A2,Sheet6!A:B,2,FALSE)</f>
        <v>96.26</v>
      </c>
      <c r="G2" s="106">
        <f>VLOOKUP(A2,WTI原油期货!A:B,2,FALSE)</f>
        <v>76.74</v>
      </c>
      <c r="H2" s="106">
        <f>VLOOKUP(A2,天然气期货!A:B,2,FALSE)</f>
        <v>3.582</v>
      </c>
      <c r="I2" s="111">
        <f>VLOOKUP(A2,黄金期货!A:B,2,FALSE)</f>
        <v>1814.6</v>
      </c>
      <c r="J2" s="106">
        <f>VLOOKUP(A2,Sheet2!A:C,3,FALSE)</f>
        <v>2480</v>
      </c>
      <c r="L2" s="112"/>
    </row>
    <row r="3" spans="1:12">
      <c r="A3" s="109">
        <v>44566</v>
      </c>
      <c r="B3" s="106">
        <f>VLOOKUP(A3,Sheet2!A:C,2,FALSE)</f>
        <v>166</v>
      </c>
      <c r="C3" s="106">
        <v>3480</v>
      </c>
      <c r="D3" s="106">
        <f>VLOOKUP(A3,Sheet4!A:C,2,FALSE)</f>
        <v>1102</v>
      </c>
      <c r="E3" s="106">
        <f>VLOOKUP(A3,Sheet5!A:B,2,FALSE)</f>
        <v>6.3644</v>
      </c>
      <c r="F3" s="106">
        <f>VLOOKUP(A3,Sheet6!A:B,2,FALSE)</f>
        <v>96.17</v>
      </c>
      <c r="G3" s="106">
        <f>VLOOKUP(A3,WTI原油期货!A:B,2,FALSE)</f>
        <v>77.47</v>
      </c>
      <c r="H3" s="106">
        <f>VLOOKUP(A3,天然气期货!A:B,2,FALSE)</f>
        <v>3.71</v>
      </c>
      <c r="I3" s="111">
        <f>VLOOKUP(A3,黄金期货!A:B,2,FALSE)</f>
        <v>1825.1</v>
      </c>
      <c r="J3" s="106">
        <f>VLOOKUP(A3,Sheet2!A:C,3,FALSE)</f>
        <v>2480</v>
      </c>
      <c r="L3" s="112">
        <f t="shared" ref="L3:L66" si="0">(J3-J2)/J2</f>
        <v>0</v>
      </c>
    </row>
    <row r="4" spans="1:20">
      <c r="A4" s="109">
        <v>44567</v>
      </c>
      <c r="B4" s="106">
        <f>VLOOKUP(A4,Sheet2!A:C,2,FALSE)</f>
        <v>164</v>
      </c>
      <c r="C4" s="106">
        <v>3480</v>
      </c>
      <c r="D4" s="106">
        <f>VLOOKUP(A4,Sheet4!A:C,2,FALSE)</f>
        <v>1101</v>
      </c>
      <c r="E4" s="106">
        <f>VLOOKUP(A4,Sheet5!A:B,2,FALSE)</f>
        <v>6.383</v>
      </c>
      <c r="F4" s="106">
        <f>VLOOKUP(A4,Sheet6!A:B,2,FALSE)</f>
        <v>96.32</v>
      </c>
      <c r="G4" s="106">
        <f>VLOOKUP(A4,WTI原油期货!A:B,2,FALSE)</f>
        <v>78.88</v>
      </c>
      <c r="H4" s="106">
        <f>VLOOKUP(A4,天然气期货!A:B,2,FALSE)</f>
        <v>3.67</v>
      </c>
      <c r="I4" s="111">
        <f>VLOOKUP(A4,黄金期货!A:B,2,FALSE)</f>
        <v>1789.2</v>
      </c>
      <c r="J4" s="106">
        <f>VLOOKUP(A4,Sheet2!A:C,3,FALSE)</f>
        <v>2480</v>
      </c>
      <c r="L4" s="112">
        <f t="shared" si="0"/>
        <v>0</v>
      </c>
      <c r="T4" t="s">
        <v>12</v>
      </c>
    </row>
    <row r="5" spans="1:12">
      <c r="A5" s="109">
        <v>44568</v>
      </c>
      <c r="B5" s="106">
        <f>VLOOKUP(A5,Sheet2!A:C,2,FALSE)</f>
        <v>162</v>
      </c>
      <c r="C5" s="106">
        <v>3480</v>
      </c>
      <c r="D5" s="106">
        <f>VLOOKUP(A5,Sheet4!A:C,2,FALSE)</f>
        <v>1102</v>
      </c>
      <c r="E5" s="106">
        <f>VLOOKUP(A5,Sheet5!A:B,2,FALSE)</f>
        <v>6.3778</v>
      </c>
      <c r="F5" s="106">
        <f>VLOOKUP(A5,Sheet6!A:B,2,FALSE)</f>
        <v>95.72</v>
      </c>
      <c r="G5" s="106">
        <f>VLOOKUP(A5,WTI原油期货!A:B,2,FALSE)</f>
        <v>78.44</v>
      </c>
      <c r="H5" s="106">
        <f>VLOOKUP(A5,天然气期货!A:B,2,FALSE)</f>
        <v>3.726</v>
      </c>
      <c r="I5" s="111">
        <f>VLOOKUP(A5,黄金期货!A:B,2,FALSE)</f>
        <v>1797.4</v>
      </c>
      <c r="J5" s="106">
        <f>VLOOKUP(A5,Sheet2!A:C,3,FALSE)</f>
        <v>2480</v>
      </c>
      <c r="L5" s="112">
        <f t="shared" si="0"/>
        <v>0</v>
      </c>
    </row>
    <row r="6" spans="1:12">
      <c r="A6" s="109">
        <v>44571</v>
      </c>
      <c r="B6" s="106">
        <f>VLOOKUP(A6,Sheet2!A:C,2,FALSE)</f>
        <v>155</v>
      </c>
      <c r="C6" s="106">
        <v>3480</v>
      </c>
      <c r="D6" s="106">
        <f>VLOOKUP(A6,Sheet4!A:C,2,FALSE)</f>
        <v>1104</v>
      </c>
      <c r="E6" s="106">
        <f>VLOOKUP(A6,Sheet5!A:B,2,FALSE)</f>
        <v>6.3762</v>
      </c>
      <c r="F6" s="106">
        <f>VLOOKUP(A6,Sheet6!A:B,2,FALSE)</f>
        <v>95.99</v>
      </c>
      <c r="G6" s="106">
        <f>VLOOKUP(A6,WTI原油期货!A:B,2,FALSE)</f>
        <v>77.7</v>
      </c>
      <c r="H6" s="106">
        <f>VLOOKUP(A6,天然气期货!A:B,2,FALSE)</f>
        <v>3.834</v>
      </c>
      <c r="I6" s="111">
        <f>VLOOKUP(A6,黄金期货!A:B,2,FALSE)</f>
        <v>1798.8</v>
      </c>
      <c r="J6" s="106">
        <f>VLOOKUP(A6,Sheet2!A:C,3,FALSE)</f>
        <v>2470</v>
      </c>
      <c r="L6" s="112">
        <f t="shared" si="0"/>
        <v>-0.00403225806451613</v>
      </c>
    </row>
    <row r="7" spans="1:12">
      <c r="A7" s="109">
        <v>44572</v>
      </c>
      <c r="B7" s="106">
        <f>VLOOKUP(A7,Sheet2!A:C,2,FALSE)</f>
        <v>154</v>
      </c>
      <c r="C7" s="106">
        <v>3480</v>
      </c>
      <c r="D7" s="106">
        <f>VLOOKUP(A7,Sheet4!A:C,2,FALSE)</f>
        <v>1108</v>
      </c>
      <c r="E7" s="106">
        <f>VLOOKUP(A7,Sheet5!A:B,2,FALSE)</f>
        <v>6.3741</v>
      </c>
      <c r="F7" s="106">
        <f>VLOOKUP(A7,Sheet6!A:B,2,FALSE)</f>
        <v>95.62</v>
      </c>
      <c r="G7" s="106">
        <f>VLOOKUP(A7,WTI原油期货!A:B,2,FALSE)</f>
        <v>80.67</v>
      </c>
      <c r="H7" s="106">
        <f>VLOOKUP(A7,天然气期货!A:B,2,FALSE)</f>
        <v>3.968</v>
      </c>
      <c r="I7" s="111">
        <f>VLOOKUP(A7,黄金期货!A:B,2,FALSE)</f>
        <v>1818.5</v>
      </c>
      <c r="J7" s="106">
        <f>VLOOKUP(A7,Sheet2!A:C,3,FALSE)</f>
        <v>2440</v>
      </c>
      <c r="L7" s="112">
        <f t="shared" si="0"/>
        <v>-0.0121457489878543</v>
      </c>
    </row>
    <row r="8" spans="1:12">
      <c r="A8" s="109">
        <v>44573</v>
      </c>
      <c r="B8" s="106">
        <f>VLOOKUP(A8,Sheet2!A:C,2,FALSE)</f>
        <v>153</v>
      </c>
      <c r="C8" s="106">
        <v>3480</v>
      </c>
      <c r="D8" s="106">
        <f>VLOOKUP(A8,Sheet4!A:C,2,FALSE)</f>
        <v>1110</v>
      </c>
      <c r="E8" s="106">
        <f>VLOOKUP(A8,Sheet5!A:B,2,FALSE)</f>
        <v>6.3584</v>
      </c>
      <c r="F8" s="106">
        <f>VLOOKUP(A8,Sheet6!A:B,2,FALSE)</f>
        <v>94.92</v>
      </c>
      <c r="G8" s="106">
        <f>VLOOKUP(A8,WTI原油期货!A:B,2,FALSE)</f>
        <v>82.02</v>
      </c>
      <c r="H8" s="106">
        <f>VLOOKUP(A8,天然气期货!A:B,2,FALSE)</f>
        <v>4.327</v>
      </c>
      <c r="I8" s="111">
        <f>VLOOKUP(A8,黄金期货!A:B,2,FALSE)</f>
        <v>1827.3</v>
      </c>
      <c r="J8" s="106">
        <f>VLOOKUP(A8,Sheet2!A:C,3,FALSE)</f>
        <v>2420</v>
      </c>
      <c r="L8" s="112">
        <f t="shared" si="0"/>
        <v>-0.00819672131147541</v>
      </c>
    </row>
    <row r="9" spans="1:12">
      <c r="A9" s="109">
        <v>44574</v>
      </c>
      <c r="B9" s="106">
        <f>VLOOKUP(A9,Sheet2!A:C,2,FALSE)</f>
        <v>151</v>
      </c>
      <c r="C9" s="106">
        <v>3480</v>
      </c>
      <c r="D9" s="106">
        <f>VLOOKUP(A9,Sheet4!A:C,2,FALSE)</f>
        <v>1112</v>
      </c>
      <c r="E9" s="106">
        <f>VLOOKUP(A9,Sheet5!A:B,2,FALSE)</f>
        <v>6.3599</v>
      </c>
      <c r="F9" s="106">
        <f>VLOOKUP(A9,Sheet6!A:B,2,FALSE)</f>
        <v>94.79</v>
      </c>
      <c r="G9" s="106">
        <f>VLOOKUP(A9,WTI原油期货!A:B,2,FALSE)</f>
        <v>81.62</v>
      </c>
      <c r="H9" s="106">
        <f>VLOOKUP(A9,天然气期货!A:B,2,FALSE)</f>
        <v>4.005</v>
      </c>
      <c r="I9" s="111">
        <f>VLOOKUP(A9,黄金期货!A:B,2,FALSE)</f>
        <v>1821.4</v>
      </c>
      <c r="J9" s="106">
        <f>VLOOKUP(A9,Sheet2!A:C,3,FALSE)</f>
        <v>2440</v>
      </c>
      <c r="L9" s="112">
        <f t="shared" si="0"/>
        <v>0.00826446280991736</v>
      </c>
    </row>
    <row r="10" spans="1:12">
      <c r="A10" s="109">
        <v>44575</v>
      </c>
      <c r="B10" s="106">
        <f>VLOOKUP(A10,Sheet2!A:C,2,FALSE)</f>
        <v>149</v>
      </c>
      <c r="C10" s="106">
        <v>3480</v>
      </c>
      <c r="D10" s="106">
        <f>VLOOKUP(A10,Sheet4!A:C,2,FALSE)</f>
        <v>1112</v>
      </c>
      <c r="E10" s="106">
        <f>VLOOKUP(A10,Sheet5!A:B,2,FALSE)</f>
        <v>6.3528</v>
      </c>
      <c r="F10" s="106">
        <f>VLOOKUP(A10,Sheet6!A:B,2,FALSE)</f>
        <v>95.17</v>
      </c>
      <c r="G10" s="106">
        <f>VLOOKUP(A10,WTI原油期货!A:B,2,FALSE)</f>
        <v>83.3</v>
      </c>
      <c r="H10" s="106">
        <f>VLOOKUP(A10,天然气期货!A:B,2,FALSE)</f>
        <v>4.081</v>
      </c>
      <c r="I10" s="111">
        <f>VLOOKUP(A10,黄金期货!A:B,2,FALSE)</f>
        <v>1816.5</v>
      </c>
      <c r="J10" s="106">
        <f>VLOOKUP(A10,Sheet2!A:C,3,FALSE)</f>
        <v>2440</v>
      </c>
      <c r="L10" s="112">
        <f t="shared" si="0"/>
        <v>0</v>
      </c>
    </row>
    <row r="11" spans="1:12">
      <c r="A11" s="109">
        <v>44578</v>
      </c>
      <c r="B11" s="106">
        <f>VLOOKUP(A11,Sheet2!A:C,2,FALSE)</f>
        <v>149</v>
      </c>
      <c r="C11" s="106">
        <v>3480</v>
      </c>
      <c r="D11" s="106">
        <f>VLOOKUP(A11,Sheet4!A:C,2,FALSE)</f>
        <v>1112</v>
      </c>
      <c r="E11" s="106">
        <f>VLOOKUP(A11,Sheet5!A:B,2,FALSE)</f>
        <v>6.3488</v>
      </c>
      <c r="F11" s="106">
        <f>VLOOKUP(A11,Sheet6!A:B,2,FALSE)</f>
        <v>95.26</v>
      </c>
      <c r="G11" s="106">
        <f>VLOOKUP(A11,WTI原油期货!A:B,2,FALSE)</f>
        <v>83.69</v>
      </c>
      <c r="H11" s="106">
        <f>VLOOKUP(A11,天然气期货!A:B,2,FALSE)</f>
        <v>4.276</v>
      </c>
      <c r="I11" s="111">
        <f>VLOOKUP(A11,黄金期货!A:B,2,FALSE)</f>
        <v>1812.4</v>
      </c>
      <c r="J11" s="106">
        <f>VLOOKUP(A11,Sheet2!A:C,3,FALSE)</f>
        <v>2440</v>
      </c>
      <c r="L11" s="112">
        <f t="shared" si="0"/>
        <v>0</v>
      </c>
    </row>
    <row r="12" spans="1:12">
      <c r="A12" s="109">
        <v>44579</v>
      </c>
      <c r="B12" s="106">
        <f>VLOOKUP(A12,Sheet2!A:C,2,FALSE)</f>
        <v>147</v>
      </c>
      <c r="C12" s="106">
        <v>3480</v>
      </c>
      <c r="D12" s="106">
        <f>VLOOKUP(A12,Sheet4!A:C,2,FALSE)</f>
        <v>1116</v>
      </c>
      <c r="E12" s="106">
        <f>VLOOKUP(A12,Sheet5!A:B,2,FALSE)</f>
        <v>6.353</v>
      </c>
      <c r="F12" s="106">
        <f>VLOOKUP(A12,Sheet6!A:B,2,FALSE)</f>
        <v>95.73</v>
      </c>
      <c r="G12" s="106">
        <f>VLOOKUP(A12,WTI原油期货!A:B,2,FALSE)</f>
        <v>84.83</v>
      </c>
      <c r="H12" s="106">
        <f>VLOOKUP(A12,天然气期货!A:B,2,FALSE)</f>
        <v>4.048</v>
      </c>
      <c r="I12" s="111">
        <f>VLOOKUP(A12,黄金期货!A:B,2,FALSE)</f>
        <v>1812.4</v>
      </c>
      <c r="J12" s="106">
        <f>VLOOKUP(A12,Sheet2!A:C,3,FALSE)</f>
        <v>2465</v>
      </c>
      <c r="L12" s="112">
        <f t="shared" si="0"/>
        <v>0.0102459016393443</v>
      </c>
    </row>
    <row r="13" spans="1:12">
      <c r="A13" s="109">
        <v>44580</v>
      </c>
      <c r="B13" s="106">
        <f>VLOOKUP(A13,Sheet2!A:C,2,FALSE)</f>
        <v>147</v>
      </c>
      <c r="C13" s="106">
        <v>3480</v>
      </c>
      <c r="D13" s="106">
        <f>VLOOKUP(A13,Sheet4!A:C,2,FALSE)</f>
        <v>1118</v>
      </c>
      <c r="E13" s="106">
        <f>VLOOKUP(A13,Sheet5!A:B,2,FALSE)</f>
        <v>6.345</v>
      </c>
      <c r="F13" s="106">
        <f>VLOOKUP(A13,Sheet6!A:B,2,FALSE)</f>
        <v>95.51</v>
      </c>
      <c r="G13" s="106">
        <f>VLOOKUP(A13,WTI原油期货!A:B,2,FALSE)</f>
        <v>85.8</v>
      </c>
      <c r="H13" s="106">
        <f>VLOOKUP(A13,天然气期货!A:B,2,FALSE)</f>
        <v>3.845</v>
      </c>
      <c r="I13" s="111">
        <f>VLOOKUP(A13,黄金期货!A:B,2,FALSE)</f>
        <v>1843.2</v>
      </c>
      <c r="J13" s="106">
        <f>VLOOKUP(A13,Sheet2!A:C,3,FALSE)</f>
        <v>2470</v>
      </c>
      <c r="L13" s="112">
        <f t="shared" si="0"/>
        <v>0.00202839756592292</v>
      </c>
    </row>
    <row r="14" spans="1:12">
      <c r="A14" s="109">
        <v>44581</v>
      </c>
      <c r="B14" s="106">
        <f>VLOOKUP(A14,Sheet2!A:C,2,FALSE)</f>
        <v>147</v>
      </c>
      <c r="C14" s="106">
        <v>3480</v>
      </c>
      <c r="D14" s="106">
        <f>VLOOKUP(A14,Sheet4!A:C,2,FALSE)</f>
        <v>1122</v>
      </c>
      <c r="E14" s="106">
        <f>VLOOKUP(A14,Sheet5!A:B,2,FALSE)</f>
        <v>6.3411</v>
      </c>
      <c r="F14" s="106">
        <f>VLOOKUP(A14,Sheet6!A:B,2,FALSE)</f>
        <v>95.74</v>
      </c>
      <c r="G14" s="106">
        <f>VLOOKUP(A14,WTI原油期货!A:B,2,FALSE)</f>
        <v>85.55</v>
      </c>
      <c r="H14" s="106">
        <f>VLOOKUP(A14,天然气期货!A:B,2,FALSE)</f>
        <v>3.649</v>
      </c>
      <c r="I14" s="111">
        <f>VLOOKUP(A14,黄金期货!A:B,2,FALSE)</f>
        <v>1842.6</v>
      </c>
      <c r="J14" s="106">
        <f>VLOOKUP(A14,Sheet2!A:C,3,FALSE)</f>
        <v>2470</v>
      </c>
      <c r="L14" s="112">
        <f t="shared" si="0"/>
        <v>0</v>
      </c>
    </row>
    <row r="15" spans="1:12">
      <c r="A15" s="109">
        <v>44582</v>
      </c>
      <c r="B15" s="106">
        <f>VLOOKUP(A15,Sheet2!A:C,2,FALSE)</f>
        <v>150</v>
      </c>
      <c r="C15" s="106">
        <v>3480</v>
      </c>
      <c r="D15" s="106">
        <f>VLOOKUP(A15,Sheet4!A:C,2,FALSE)</f>
        <v>1124</v>
      </c>
      <c r="E15" s="106">
        <f>VLOOKUP(A15,Sheet5!A:B,2,FALSE)</f>
        <v>6.339</v>
      </c>
      <c r="F15" s="106">
        <f>VLOOKUP(A15,Sheet6!A:B,2,FALSE)</f>
        <v>95.64</v>
      </c>
      <c r="G15" s="106">
        <f>VLOOKUP(A15,WTI原油期货!A:B,2,FALSE)</f>
        <v>84.14</v>
      </c>
      <c r="H15" s="106">
        <f>VLOOKUP(A15,天然气期货!A:B,2,FALSE)</f>
        <v>3.782</v>
      </c>
      <c r="I15" s="111">
        <f>VLOOKUP(A15,黄金期货!A:B,2,FALSE)</f>
        <v>1831.8</v>
      </c>
      <c r="J15" s="106">
        <f>VLOOKUP(A15,Sheet2!A:C,3,FALSE)</f>
        <v>2460</v>
      </c>
      <c r="L15" s="112">
        <f t="shared" si="0"/>
        <v>-0.00404858299595142</v>
      </c>
    </row>
    <row r="16" spans="1:12">
      <c r="A16" s="109">
        <v>44585</v>
      </c>
      <c r="B16" s="106">
        <f>VLOOKUP(A16,Sheet2!A:C,2,FALSE)</f>
        <v>148</v>
      </c>
      <c r="C16" s="106">
        <v>3480</v>
      </c>
      <c r="D16" s="106">
        <f>VLOOKUP(A16,Sheet4!A:C,2,FALSE)</f>
        <v>1124</v>
      </c>
      <c r="E16" s="106">
        <f>VLOOKUP(A16,Sheet5!A:B,2,FALSE)</f>
        <v>6.3308</v>
      </c>
      <c r="F16" s="106">
        <f>VLOOKUP(A16,Sheet6!A:B,2,FALSE)</f>
        <v>95.92</v>
      </c>
      <c r="G16" s="106">
        <f>VLOOKUP(A16,WTI原油期货!A:B,2,FALSE)</f>
        <v>82.41</v>
      </c>
      <c r="H16" s="106">
        <f>VLOOKUP(A16,天然气期货!A:B,2,FALSE)</f>
        <v>3.875</v>
      </c>
      <c r="I16" s="111">
        <f>VLOOKUP(A16,黄金期货!A:B,2,FALSE)</f>
        <v>1841.7</v>
      </c>
      <c r="J16" s="106">
        <f>VLOOKUP(A16,Sheet2!A:C,3,FALSE)</f>
        <v>2460</v>
      </c>
      <c r="L16" s="112">
        <f t="shared" si="0"/>
        <v>0</v>
      </c>
    </row>
    <row r="17" spans="1:12">
      <c r="A17" s="109">
        <v>44586</v>
      </c>
      <c r="B17" s="106">
        <f>VLOOKUP(A17,Sheet2!A:C,2,FALSE)</f>
        <v>150</v>
      </c>
      <c r="C17" s="106">
        <v>3480</v>
      </c>
      <c r="D17" s="106">
        <f>VLOOKUP(A17,Sheet4!A:C,2,FALSE)</f>
        <v>1123</v>
      </c>
      <c r="E17" s="106">
        <f>VLOOKUP(A17,Sheet5!A:B,2,FALSE)</f>
        <v>6.3261</v>
      </c>
      <c r="F17" s="106">
        <f>VLOOKUP(A17,Sheet6!A:B,2,FALSE)</f>
        <v>95.95</v>
      </c>
      <c r="G17" s="106">
        <f>VLOOKUP(A17,WTI原油期货!A:B,2,FALSE)</f>
        <v>84.37</v>
      </c>
      <c r="H17" s="106">
        <f>VLOOKUP(A17,天然气期货!A:B,2,FALSE)</f>
        <v>3.894</v>
      </c>
      <c r="I17" s="111">
        <f>VLOOKUP(A17,黄金期货!A:B,2,FALSE)</f>
        <v>1852.5</v>
      </c>
      <c r="J17" s="106">
        <f>VLOOKUP(A17,Sheet2!A:C,3,FALSE)</f>
        <v>2460</v>
      </c>
      <c r="L17" s="112">
        <f t="shared" si="0"/>
        <v>0</v>
      </c>
    </row>
    <row r="18" spans="1:12">
      <c r="A18" s="109">
        <v>44587</v>
      </c>
      <c r="B18" s="106">
        <f>VLOOKUP(A18,Sheet2!A:C,2,FALSE)</f>
        <v>150</v>
      </c>
      <c r="C18" s="106">
        <v>3480</v>
      </c>
      <c r="D18" s="106">
        <f>VLOOKUP(A18,Sheet4!A:C,2,FALSE)</f>
        <v>1125</v>
      </c>
      <c r="E18" s="106">
        <f>VLOOKUP(A18,Sheet5!A:B,2,FALSE)</f>
        <v>6.3209</v>
      </c>
      <c r="F18" s="106">
        <f>VLOOKUP(A18,Sheet6!A:B,2,FALSE)</f>
        <v>96.39</v>
      </c>
      <c r="G18" s="106">
        <f>VLOOKUP(A18,WTI原油期货!A:B,2,FALSE)</f>
        <v>85.96</v>
      </c>
      <c r="H18" s="106">
        <f>VLOOKUP(A18,天然气期货!A:B,2,FALSE)</f>
        <v>4.036</v>
      </c>
      <c r="I18" s="111">
        <f>VLOOKUP(A18,黄金期货!A:B,2,FALSE)</f>
        <v>1829.7</v>
      </c>
      <c r="J18" s="106">
        <f>VLOOKUP(A18,Sheet2!A:C,3,FALSE)</f>
        <v>2460</v>
      </c>
      <c r="L18" s="112">
        <f t="shared" si="0"/>
        <v>0</v>
      </c>
    </row>
    <row r="19" spans="1:12">
      <c r="A19" s="109">
        <v>44588</v>
      </c>
      <c r="B19" s="106">
        <f>VLOOKUP(A19,Sheet2!A:C,2,FALSE)</f>
        <v>152</v>
      </c>
      <c r="C19" s="106">
        <v>3480</v>
      </c>
      <c r="D19" s="106">
        <f>VLOOKUP(A19,Sheet4!A:C,2,FALSE)</f>
        <v>1127</v>
      </c>
      <c r="E19" s="106">
        <f>VLOOKUP(A19,Sheet5!A:B,2,FALSE)</f>
        <v>6.3683</v>
      </c>
      <c r="F19" s="106">
        <f>VLOOKUP(A19,Sheet6!A:B,2,FALSE)</f>
        <v>97.25</v>
      </c>
      <c r="G19" s="106">
        <f>VLOOKUP(A19,WTI原油期货!A:B,2,FALSE)</f>
        <v>85.29</v>
      </c>
      <c r="H19" s="106">
        <f>VLOOKUP(A19,天然气期货!A:B,2,FALSE)</f>
        <v>4.283</v>
      </c>
      <c r="I19" s="111">
        <f>VLOOKUP(A19,黄金期货!A:B,2,FALSE)</f>
        <v>1793.1</v>
      </c>
      <c r="J19" s="106">
        <f>VLOOKUP(A19,Sheet2!A:C,3,FALSE)</f>
        <v>2460</v>
      </c>
      <c r="L19" s="112">
        <f t="shared" si="0"/>
        <v>0</v>
      </c>
    </row>
    <row r="20" spans="1:12">
      <c r="A20" s="109">
        <v>44589</v>
      </c>
      <c r="B20" s="106">
        <f>VLOOKUP(A20,Sheet2!A:C,2,FALSE)</f>
        <v>151</v>
      </c>
      <c r="C20" s="106">
        <v>3480</v>
      </c>
      <c r="D20" s="106">
        <f>VLOOKUP(A20,Sheet4!A:C,2,FALSE)</f>
        <v>1130</v>
      </c>
      <c r="E20" s="106">
        <f>VLOOKUP(A20,Sheet5!A:B,2,FALSE)</f>
        <v>6.361</v>
      </c>
      <c r="F20" s="106">
        <f>VLOOKUP(A20,Sheet6!A:B,2,FALSE)</f>
        <v>97.27</v>
      </c>
      <c r="G20" s="106">
        <f>VLOOKUP(A20,WTI原油期货!A:B,2,FALSE)</f>
        <v>85.43</v>
      </c>
      <c r="H20" s="106">
        <f>VLOOKUP(A20,天然气期货!A:B,2,FALSE)</f>
        <v>4.473</v>
      </c>
      <c r="I20" s="111">
        <f>VLOOKUP(A20,黄金期货!A:B,2,FALSE)</f>
        <v>1785.8</v>
      </c>
      <c r="J20" s="106">
        <f>VLOOKUP(A20,Sheet2!A:C,3,FALSE)</f>
        <v>2460</v>
      </c>
      <c r="L20" s="112">
        <f t="shared" si="0"/>
        <v>0</v>
      </c>
    </row>
    <row r="21" spans="1:12">
      <c r="A21" s="109">
        <v>44590</v>
      </c>
      <c r="B21" s="106">
        <f>VLOOKUP(A21,Sheet2!A:C,2,FALSE)</f>
        <v>151</v>
      </c>
      <c r="C21" s="106">
        <v>3480</v>
      </c>
      <c r="D21" s="106">
        <f>VLOOKUP(A21,Sheet4!A:C,2,FALSE)</f>
        <v>1130</v>
      </c>
      <c r="E21" s="106">
        <f t="shared" ref="E21:E22" si="1">E20</f>
        <v>6.361</v>
      </c>
      <c r="F21" s="106">
        <f t="shared" ref="F21:F22" si="2">F20</f>
        <v>97.27</v>
      </c>
      <c r="G21" s="106">
        <f t="shared" ref="G21:G22" si="3">G20</f>
        <v>85.43</v>
      </c>
      <c r="H21" s="106">
        <f t="shared" ref="H21:H22" si="4">H20</f>
        <v>4.473</v>
      </c>
      <c r="I21" s="111">
        <f t="shared" ref="I21:I22" si="5">I20</f>
        <v>1785.8</v>
      </c>
      <c r="J21" s="106">
        <f>VLOOKUP(A21,Sheet2!A:C,3,FALSE)</f>
        <v>2460</v>
      </c>
      <c r="L21" s="112">
        <f t="shared" si="0"/>
        <v>0</v>
      </c>
    </row>
    <row r="22" spans="1:12">
      <c r="A22" s="109">
        <v>44591</v>
      </c>
      <c r="B22" s="106">
        <f>VLOOKUP(A22,Sheet2!A:C,2,FALSE)</f>
        <v>150</v>
      </c>
      <c r="C22" s="106">
        <v>3480</v>
      </c>
      <c r="D22" s="106">
        <f>VLOOKUP(A22,Sheet4!A:C,2,FALSE)</f>
        <v>1130</v>
      </c>
      <c r="E22" s="106">
        <f t="shared" si="1"/>
        <v>6.361</v>
      </c>
      <c r="F22" s="106">
        <f t="shared" si="2"/>
        <v>97.27</v>
      </c>
      <c r="G22" s="106">
        <f t="shared" si="3"/>
        <v>85.43</v>
      </c>
      <c r="H22" s="106">
        <f t="shared" si="4"/>
        <v>4.473</v>
      </c>
      <c r="I22" s="111">
        <f t="shared" si="5"/>
        <v>1785.8</v>
      </c>
      <c r="J22" s="106">
        <f>VLOOKUP(A22,Sheet2!A:C,3,FALSE)</f>
        <v>2460</v>
      </c>
      <c r="L22" s="112">
        <f t="shared" si="0"/>
        <v>0</v>
      </c>
    </row>
    <row r="23" spans="1:12">
      <c r="A23" s="109">
        <v>44599</v>
      </c>
      <c r="B23" s="106">
        <f>VLOOKUP(A23,Sheet2!A:C,2,FALSE)</f>
        <v>144</v>
      </c>
      <c r="C23" s="106">
        <v>3480</v>
      </c>
      <c r="D23" s="106">
        <f>VLOOKUP(A23,Sheet4!A:C,2,FALSE)</f>
        <v>1141</v>
      </c>
      <c r="E23" s="106">
        <f>VLOOKUP(A23,Sheet5!A:B,2,FALSE)</f>
        <v>6.3623</v>
      </c>
      <c r="F23" s="106">
        <f>VLOOKUP(A23,Sheet6!A:B,2,FALSE)</f>
        <v>95.4</v>
      </c>
      <c r="G23" s="106">
        <f>VLOOKUP(A23,WTI原油期货!A:B,2,FALSE)</f>
        <v>89.77</v>
      </c>
      <c r="H23" s="106">
        <f>VLOOKUP(A23,天然气期货!A:B,2,FALSE)</f>
        <v>4.198</v>
      </c>
      <c r="I23" s="111">
        <f>VLOOKUP(A23,黄金期货!A:B,2,FALSE)</f>
        <v>1820.8</v>
      </c>
      <c r="J23" s="106">
        <f>VLOOKUP(A23,Sheet2!A:C,3,FALSE)</f>
        <v>2470</v>
      </c>
      <c r="L23" s="112">
        <f t="shared" si="0"/>
        <v>0.0040650406504065</v>
      </c>
    </row>
    <row r="24" spans="1:12">
      <c r="A24" s="109">
        <v>44600</v>
      </c>
      <c r="B24" s="106">
        <f>VLOOKUP(A24,Sheet2!A:C,2,FALSE)</f>
        <v>144</v>
      </c>
      <c r="C24" s="106">
        <v>3480</v>
      </c>
      <c r="D24" s="106">
        <f>VLOOKUP(A24,Sheet4!A:C,2,FALSE)</f>
        <v>1150</v>
      </c>
      <c r="E24" s="106">
        <f>VLOOKUP(A24,Sheet5!A:B,2,FALSE)</f>
        <v>6.3666</v>
      </c>
      <c r="F24" s="106">
        <f>VLOOKUP(A24,Sheet6!A:B,2,FALSE)</f>
        <v>95.64</v>
      </c>
      <c r="G24" s="106">
        <f>VLOOKUP(A24,WTI原油期货!A:B,2,FALSE)</f>
        <v>87.9</v>
      </c>
      <c r="H24" s="106">
        <f>VLOOKUP(A24,天然气期货!A:B,2,FALSE)</f>
        <v>4.218</v>
      </c>
      <c r="I24" s="111">
        <f>VLOOKUP(A24,黄金期货!A:B,2,FALSE)</f>
        <v>1826.8</v>
      </c>
      <c r="J24" s="106">
        <f>VLOOKUP(A24,Sheet2!A:C,3,FALSE)</f>
        <v>2470</v>
      </c>
      <c r="L24" s="112">
        <f t="shared" si="0"/>
        <v>0</v>
      </c>
    </row>
    <row r="25" spans="1:12">
      <c r="A25" s="109">
        <v>44601</v>
      </c>
      <c r="B25" s="106">
        <f>VLOOKUP(A25,Sheet2!A:C,2,FALSE)</f>
        <v>146</v>
      </c>
      <c r="C25" s="106">
        <v>3480</v>
      </c>
      <c r="D25" s="106">
        <f>VLOOKUP(A25,Sheet4!A:C,2,FALSE)</f>
        <v>1152</v>
      </c>
      <c r="E25" s="106">
        <f>VLOOKUP(A25,Sheet5!A:B,2,FALSE)</f>
        <v>6.3627</v>
      </c>
      <c r="F25" s="106">
        <f>VLOOKUP(A25,Sheet6!A:B,2,FALSE)</f>
        <v>95.49</v>
      </c>
      <c r="G25" s="106">
        <f>VLOOKUP(A25,WTI原油期货!A:B,2,FALSE)</f>
        <v>88.53</v>
      </c>
      <c r="H25" s="106">
        <f>VLOOKUP(A25,天然气期货!A:B,2,FALSE)</f>
        <v>3.98</v>
      </c>
      <c r="I25" s="111">
        <f>VLOOKUP(A25,黄金期货!A:B,2,FALSE)</f>
        <v>1835.6</v>
      </c>
      <c r="J25" s="106">
        <f>VLOOKUP(A25,Sheet2!A:C,3,FALSE)</f>
        <v>2470</v>
      </c>
      <c r="L25" s="112">
        <f t="shared" si="0"/>
        <v>0</v>
      </c>
    </row>
    <row r="26" spans="1:12">
      <c r="A26" s="109">
        <v>44602</v>
      </c>
      <c r="B26" s="106">
        <f>VLOOKUP(A26,Sheet2!A:C,2,FALSE)</f>
        <v>147</v>
      </c>
      <c r="C26" s="106">
        <v>3480</v>
      </c>
      <c r="D26" s="106">
        <f>VLOOKUP(A26,Sheet4!A:C,2,FALSE)</f>
        <v>1156</v>
      </c>
      <c r="E26" s="106">
        <f>VLOOKUP(A26,Sheet5!A:B,2,FALSE)</f>
        <v>6.3541</v>
      </c>
      <c r="F26" s="106">
        <f>VLOOKUP(A26,Sheet6!A:B,2,FALSE)</f>
        <v>95.55</v>
      </c>
      <c r="G26" s="106">
        <f>VLOOKUP(A26,WTI原油期货!A:B,2,FALSE)</f>
        <v>88.56</v>
      </c>
      <c r="H26" s="106">
        <f>VLOOKUP(A26,天然气期货!A:B,2,FALSE)</f>
        <v>3.943</v>
      </c>
      <c r="I26" s="111">
        <f>VLOOKUP(A26,黄金期货!A:B,2,FALSE)</f>
        <v>1836.4</v>
      </c>
      <c r="J26" s="106">
        <f>VLOOKUP(A26,Sheet2!A:C,3,FALSE)</f>
        <v>2480</v>
      </c>
      <c r="L26" s="112">
        <f t="shared" si="0"/>
        <v>0.00404858299595142</v>
      </c>
    </row>
    <row r="27" spans="1:12">
      <c r="A27" s="109">
        <v>44603</v>
      </c>
      <c r="B27" s="106">
        <f>VLOOKUP(A27,Sheet2!A:C,2,FALSE)</f>
        <v>145</v>
      </c>
      <c r="C27" s="106">
        <v>3480</v>
      </c>
      <c r="D27" s="106">
        <f>VLOOKUP(A27,Sheet4!A:C,2,FALSE)</f>
        <v>1157</v>
      </c>
      <c r="E27" s="106">
        <f>VLOOKUP(A27,Sheet5!A:B,2,FALSE)</f>
        <v>6.3546</v>
      </c>
      <c r="F27" s="106">
        <f>VLOOKUP(A27,Sheet6!A:B,2,FALSE)</f>
        <v>96.08</v>
      </c>
      <c r="G27" s="106">
        <f>VLOOKUP(A27,WTI原油期货!A:B,2,FALSE)</f>
        <v>91.42</v>
      </c>
      <c r="H27" s="106">
        <f>VLOOKUP(A27,天然气期货!A:B,2,FALSE)</f>
        <v>3.935</v>
      </c>
      <c r="I27" s="111">
        <f>VLOOKUP(A27,黄金期货!A:B,2,FALSE)</f>
        <v>1841.1</v>
      </c>
      <c r="J27" s="106">
        <f>VLOOKUP(A27,Sheet2!A:C,3,FALSE)</f>
        <v>2490</v>
      </c>
      <c r="L27" s="112">
        <f t="shared" si="0"/>
        <v>0.00403225806451613</v>
      </c>
    </row>
    <row r="28" spans="1:12">
      <c r="A28" s="109">
        <v>44606</v>
      </c>
      <c r="B28" s="106">
        <f>VLOOKUP(A28,Sheet2!A:C,2,FALSE)</f>
        <v>138</v>
      </c>
      <c r="C28" s="106">
        <v>3500</v>
      </c>
      <c r="D28" s="106">
        <f>VLOOKUP(A28,Sheet4!A:C,2,FALSE)</f>
        <v>1161</v>
      </c>
      <c r="E28" s="106">
        <f>VLOOKUP(A28,Sheet5!A:B,2,FALSE)</f>
        <v>6.3576</v>
      </c>
      <c r="F28" s="106">
        <f>VLOOKUP(A28,Sheet6!A:B,2,FALSE)</f>
        <v>96.37</v>
      </c>
      <c r="G28" s="106">
        <f>VLOOKUP(A28,WTI原油期货!A:B,2,FALSE)</f>
        <v>93.5</v>
      </c>
      <c r="H28" s="106">
        <f>VLOOKUP(A28,天然气期货!A:B,2,FALSE)</f>
        <v>4.16</v>
      </c>
      <c r="I28" s="111">
        <f>VLOOKUP(A28,黄金期货!A:B,2,FALSE)</f>
        <v>1868.3</v>
      </c>
      <c r="J28" s="106">
        <f>VLOOKUP(A28,Sheet2!A:C,3,FALSE)</f>
        <v>2490</v>
      </c>
      <c r="L28" s="112">
        <f t="shared" si="0"/>
        <v>0</v>
      </c>
    </row>
    <row r="29" spans="1:12">
      <c r="A29" s="109">
        <v>44607</v>
      </c>
      <c r="B29" s="106">
        <f>VLOOKUP(A29,Sheet2!A:C,2,FALSE)</f>
        <v>135</v>
      </c>
      <c r="C29" s="106">
        <v>3500</v>
      </c>
      <c r="D29" s="106">
        <f>VLOOKUP(A29,Sheet4!A:C,2,FALSE)</f>
        <v>1161</v>
      </c>
      <c r="E29" s="106">
        <f>VLOOKUP(A29,Sheet5!A:B,2,FALSE)</f>
        <v>6.3392</v>
      </c>
      <c r="F29" s="106">
        <f>VLOOKUP(A29,Sheet6!A:B,2,FALSE)</f>
        <v>95.99</v>
      </c>
      <c r="G29" s="106">
        <f>VLOOKUP(A29,WTI原油期货!A:B,2,FALSE)</f>
        <v>90.21</v>
      </c>
      <c r="H29" s="106">
        <f>VLOOKUP(A29,天然气期货!A:B,2,FALSE)</f>
        <v>4.241</v>
      </c>
      <c r="I29" s="111">
        <f>VLOOKUP(A29,黄金期货!A:B,2,FALSE)</f>
        <v>1855.1</v>
      </c>
      <c r="J29" s="106">
        <f>VLOOKUP(A29,Sheet2!A:C,3,FALSE)</f>
        <v>2490</v>
      </c>
      <c r="L29" s="112">
        <f t="shared" si="0"/>
        <v>0</v>
      </c>
    </row>
    <row r="30" spans="1:12">
      <c r="A30" s="109">
        <v>44608</v>
      </c>
      <c r="B30" s="106">
        <f>VLOOKUP(A30,Sheet2!A:C,2,FALSE)</f>
        <v>134</v>
      </c>
      <c r="C30" s="106">
        <v>3500</v>
      </c>
      <c r="D30" s="106">
        <f>VLOOKUP(A30,Sheet4!A:C,2,FALSE)</f>
        <v>1159</v>
      </c>
      <c r="E30" s="106">
        <f>VLOOKUP(A30,Sheet5!A:B,2,FALSE)</f>
        <v>6.3372</v>
      </c>
      <c r="F30" s="106">
        <f>VLOOKUP(A30,Sheet6!A:B,2,FALSE)</f>
        <v>95.7</v>
      </c>
      <c r="G30" s="106">
        <f>VLOOKUP(A30,WTI原油期货!A:B,2,FALSE)</f>
        <v>91.83</v>
      </c>
      <c r="H30" s="106">
        <f>VLOOKUP(A30,天然气期货!A:B,2,FALSE)</f>
        <v>4.572</v>
      </c>
      <c r="I30" s="111">
        <f>VLOOKUP(A30,黄金期货!A:B,2,FALSE)</f>
        <v>1870.5</v>
      </c>
      <c r="J30" s="106">
        <f>VLOOKUP(A30,Sheet2!A:C,3,FALSE)</f>
        <v>2490</v>
      </c>
      <c r="L30" s="112">
        <f t="shared" si="0"/>
        <v>0</v>
      </c>
    </row>
    <row r="31" spans="1:12">
      <c r="A31" s="109">
        <v>44609</v>
      </c>
      <c r="B31" s="106">
        <f>VLOOKUP(A31,Sheet2!A:C,2,FALSE)</f>
        <v>133</v>
      </c>
      <c r="C31" s="106">
        <v>3500</v>
      </c>
      <c r="D31" s="106">
        <f>VLOOKUP(A31,Sheet4!A:C,2,FALSE)</f>
        <v>1158</v>
      </c>
      <c r="E31" s="106">
        <f>VLOOKUP(A31,Sheet5!A:B,2,FALSE)</f>
        <v>6.3384</v>
      </c>
      <c r="F31" s="106">
        <f>VLOOKUP(A31,Sheet6!A:B,2,FALSE)</f>
        <v>95.8</v>
      </c>
      <c r="G31" s="106">
        <f>VLOOKUP(A31,WTI原油期货!A:B,2,FALSE)</f>
        <v>90.04</v>
      </c>
      <c r="H31" s="106">
        <f>VLOOKUP(A31,天然气期货!A:B,2,FALSE)</f>
        <v>4.43</v>
      </c>
      <c r="I31" s="111">
        <f>VLOOKUP(A31,黄金期货!A:B,2,FALSE)</f>
        <v>1901</v>
      </c>
      <c r="J31" s="106">
        <f>VLOOKUP(A31,Sheet2!A:C,3,FALSE)</f>
        <v>2490</v>
      </c>
      <c r="L31" s="112">
        <f t="shared" si="0"/>
        <v>0</v>
      </c>
    </row>
    <row r="32" spans="1:12">
      <c r="A32" s="109">
        <v>44610</v>
      </c>
      <c r="B32" s="106">
        <f>VLOOKUP(A32,Sheet2!A:C,2,FALSE)</f>
        <v>142</v>
      </c>
      <c r="C32" s="106">
        <v>3500</v>
      </c>
      <c r="D32" s="106">
        <f>VLOOKUP(A32,Sheet4!A:C,2,FALSE)</f>
        <v>1156</v>
      </c>
      <c r="E32" s="106">
        <f>VLOOKUP(A32,Sheet5!A:B,2,FALSE)</f>
        <v>6.3256</v>
      </c>
      <c r="F32" s="106">
        <f>VLOOKUP(A32,Sheet6!A:B,2,FALSE)</f>
        <v>96.04</v>
      </c>
      <c r="G32" s="106">
        <f>VLOOKUP(A32,WTI原油期货!A:B,2,FALSE)</f>
        <v>90.21</v>
      </c>
      <c r="H32" s="106">
        <f>VLOOKUP(A32,天然气期货!A:B,2,FALSE)</f>
        <v>4.377</v>
      </c>
      <c r="I32" s="111">
        <f>VLOOKUP(A32,黄金期货!A:B,2,FALSE)</f>
        <v>1898.8</v>
      </c>
      <c r="J32" s="106">
        <f>VLOOKUP(A32,Sheet2!A:C,3,FALSE)</f>
        <v>2530</v>
      </c>
      <c r="L32" s="112">
        <f t="shared" si="0"/>
        <v>0.0160642570281124</v>
      </c>
    </row>
    <row r="33" spans="1:12">
      <c r="A33" s="109">
        <v>44613</v>
      </c>
      <c r="B33" s="106">
        <f>VLOOKUP(A33,Sheet2!A:C,2,FALSE)</f>
        <v>134</v>
      </c>
      <c r="C33" s="106">
        <v>3500</v>
      </c>
      <c r="D33" s="106">
        <f>VLOOKUP(A33,Sheet4!A:C,2,FALSE)</f>
        <v>1155</v>
      </c>
      <c r="E33" s="106">
        <f>VLOOKUP(A33,Sheet5!A:B,2,FALSE)</f>
        <v>6.3353</v>
      </c>
      <c r="F33" s="106">
        <f>VLOOKUP(A33,Sheet6!A:B,2,FALSE)</f>
        <v>96.08</v>
      </c>
      <c r="G33" s="106">
        <f>VLOOKUP(A33,WTI原油期货!A:B,2,FALSE)</f>
        <v>92.65</v>
      </c>
      <c r="H33" s="106">
        <f>VLOOKUP(A33,天然气期货!A:B,2,FALSE)</f>
        <v>4.705</v>
      </c>
      <c r="I33" s="111">
        <f>VLOOKUP(A33,黄金期货!A:B,2,FALSE)</f>
        <v>1907.4</v>
      </c>
      <c r="J33" s="106">
        <f>VLOOKUP(A33,Sheet2!A:C,3,FALSE)</f>
        <v>2550</v>
      </c>
      <c r="L33" s="112">
        <f t="shared" si="0"/>
        <v>0.00790513833992095</v>
      </c>
    </row>
    <row r="34" spans="1:12">
      <c r="A34" s="109">
        <v>44614</v>
      </c>
      <c r="B34" s="106">
        <f>VLOOKUP(A34,Sheet2!A:C,2,FALSE)</f>
        <v>132</v>
      </c>
      <c r="C34" s="106">
        <v>3530</v>
      </c>
      <c r="D34" s="106">
        <f>VLOOKUP(A34,Sheet4!A:C,2,FALSE)</f>
        <v>1160</v>
      </c>
      <c r="E34" s="106">
        <f>VLOOKUP(A34,Sheet5!A:B,2,FALSE)</f>
        <v>6.3265</v>
      </c>
      <c r="F34" s="106">
        <f>VLOOKUP(A34,Sheet6!A:B,2,FALSE)</f>
        <v>96.03</v>
      </c>
      <c r="G34" s="106">
        <f>VLOOKUP(A34,WTI原油期货!A:B,2,FALSE)</f>
        <v>91.91</v>
      </c>
      <c r="H34" s="106">
        <f>VLOOKUP(A34,天然气期货!A:B,2,FALSE)</f>
        <v>4.461</v>
      </c>
      <c r="I34" s="111">
        <f>VLOOKUP(A34,黄金期货!A:B,2,FALSE)</f>
        <v>1906.4</v>
      </c>
      <c r="J34" s="106">
        <f>VLOOKUP(A34,Sheet2!A:C,3,FALSE)</f>
        <v>2570</v>
      </c>
      <c r="L34" s="112">
        <f t="shared" si="0"/>
        <v>0.00784313725490196</v>
      </c>
    </row>
    <row r="35" spans="1:12">
      <c r="A35" s="109">
        <v>44615</v>
      </c>
      <c r="B35" s="106">
        <f>VLOOKUP(A35,Sheet2!A:C,2,FALSE)</f>
        <v>133</v>
      </c>
      <c r="C35" s="106">
        <v>3530</v>
      </c>
      <c r="D35" s="106">
        <f>VLOOKUP(A35,Sheet4!A:C,2,FALSE)</f>
        <v>1160</v>
      </c>
      <c r="E35" s="106">
        <f>VLOOKUP(A35,Sheet5!A:B,2,FALSE)</f>
        <v>6.315</v>
      </c>
      <c r="F35" s="106">
        <f>VLOOKUP(A35,Sheet6!A:B,2,FALSE)</f>
        <v>96.19</v>
      </c>
      <c r="G35" s="106">
        <f>VLOOKUP(A35,WTI原油期货!A:B,2,FALSE)</f>
        <v>90.69</v>
      </c>
      <c r="H35" s="106">
        <f>VLOOKUP(A35,天然气期货!A:B,2,FALSE)</f>
        <v>4.593</v>
      </c>
      <c r="I35" s="111">
        <f>VLOOKUP(A35,黄金期货!A:B,2,FALSE)</f>
        <v>1909.4</v>
      </c>
      <c r="J35" s="106">
        <f>VLOOKUP(A35,Sheet2!A:C,3,FALSE)</f>
        <v>2620</v>
      </c>
      <c r="L35" s="112">
        <f t="shared" si="0"/>
        <v>0.0194552529182879</v>
      </c>
    </row>
    <row r="36" spans="1:12">
      <c r="A36" s="109">
        <v>44616</v>
      </c>
      <c r="B36" s="106">
        <f>VLOOKUP(A36,Sheet2!A:C,2,FALSE)</f>
        <v>133</v>
      </c>
      <c r="C36" s="106">
        <v>3530</v>
      </c>
      <c r="D36" s="106">
        <f>VLOOKUP(A36,Sheet4!A:C,2,FALSE)</f>
        <v>1160</v>
      </c>
      <c r="E36" s="106">
        <f>VLOOKUP(A36,Sheet5!A:B,2,FALSE)</f>
        <v>6.3292</v>
      </c>
      <c r="F36" s="106">
        <f>VLOOKUP(A36,Sheet6!A:B,2,FALSE)</f>
        <v>97.14</v>
      </c>
      <c r="G36" s="106">
        <f>VLOOKUP(A36,WTI原油期货!A:B,2,FALSE)</f>
        <v>90.94</v>
      </c>
      <c r="H36" s="106">
        <f>VLOOKUP(A36,天然气期货!A:B,2,FALSE)</f>
        <v>4.641</v>
      </c>
      <c r="I36" s="111">
        <f>VLOOKUP(A36,黄金期货!A:B,2,FALSE)</f>
        <v>1925.4</v>
      </c>
      <c r="J36" s="106">
        <f>VLOOKUP(A36,Sheet2!A:C,3,FALSE)</f>
        <v>2620</v>
      </c>
      <c r="L36" s="112">
        <f t="shared" si="0"/>
        <v>0</v>
      </c>
    </row>
    <row r="37" spans="1:12">
      <c r="A37" s="109">
        <v>44617</v>
      </c>
      <c r="B37" s="106">
        <f>VLOOKUP(A37,Sheet2!A:C,2,FALSE)</f>
        <v>133</v>
      </c>
      <c r="C37" s="106">
        <v>3530</v>
      </c>
      <c r="D37" s="106">
        <f>VLOOKUP(A37,Sheet4!A:C,2,FALSE)</f>
        <v>1165</v>
      </c>
      <c r="E37" s="106">
        <f>VLOOKUP(A37,Sheet5!A:B,2,FALSE)</f>
        <v>6.3175</v>
      </c>
      <c r="F37" s="106">
        <f>VLOOKUP(A37,Sheet6!A:B,2,FALSE)</f>
        <v>96.61</v>
      </c>
      <c r="G37" s="106">
        <f>VLOOKUP(A37,WTI原油期货!A:B,2,FALSE)</f>
        <v>89.89</v>
      </c>
      <c r="H37" s="106">
        <f>VLOOKUP(A37,天然气期货!A:B,2,FALSE)</f>
        <v>4.485</v>
      </c>
      <c r="I37" s="111">
        <f>VLOOKUP(A37,黄金期货!A:B,2,FALSE)</f>
        <v>1887.6</v>
      </c>
      <c r="J37" s="106">
        <f>VLOOKUP(A37,Sheet2!A:C,3,FALSE)</f>
        <v>2620</v>
      </c>
      <c r="L37" s="112">
        <f t="shared" si="0"/>
        <v>0</v>
      </c>
    </row>
    <row r="38" spans="1:12">
      <c r="A38" s="109">
        <v>44620</v>
      </c>
      <c r="B38" s="106">
        <f>VLOOKUP(A38,Sheet2!A:C,2,FALSE)</f>
        <v>131</v>
      </c>
      <c r="C38" s="106">
        <v>3530</v>
      </c>
      <c r="D38" s="106">
        <f>VLOOKUP(A38,Sheet4!A:C,2,FALSE)</f>
        <v>1164</v>
      </c>
      <c r="E38" s="106">
        <f>VLOOKUP(A38,Sheet5!A:B,2,FALSE)</f>
        <v>6.3093</v>
      </c>
      <c r="F38" s="106">
        <f>VLOOKUP(A38,Sheet6!A:B,2,FALSE)</f>
        <v>96.71</v>
      </c>
      <c r="G38" s="106">
        <f>VLOOKUP(A38,WTI原油期货!A:B,2,FALSE)</f>
        <v>93.5</v>
      </c>
      <c r="H38" s="106">
        <f>VLOOKUP(A38,天然气期货!A:B,2,FALSE)</f>
        <v>4.42</v>
      </c>
      <c r="I38" s="111">
        <f>VLOOKUP(A38,黄金期货!A:B,2,FALSE)</f>
        <v>1900.7</v>
      </c>
      <c r="J38" s="106">
        <f>VLOOKUP(A38,Sheet2!A:C,3,FALSE)</f>
        <v>2880</v>
      </c>
      <c r="L38" s="113">
        <f t="shared" si="0"/>
        <v>0.099236641221374</v>
      </c>
    </row>
    <row r="39" spans="1:12">
      <c r="A39" s="109">
        <v>44621</v>
      </c>
      <c r="B39" s="106">
        <f>VLOOKUP(A39,Sheet2!A:C,2,FALSE)</f>
        <v>129</v>
      </c>
      <c r="C39" s="106">
        <v>3530</v>
      </c>
      <c r="D39" s="106">
        <f>VLOOKUP(A39,Sheet4!A:C,2,FALSE)</f>
        <v>1168</v>
      </c>
      <c r="E39" s="106">
        <f>VLOOKUP(A39,Sheet5!A:B,2,FALSE)</f>
        <v>6.3122</v>
      </c>
      <c r="F39" s="106">
        <f>VLOOKUP(A39,Sheet6!A:B,2,FALSE)</f>
        <v>97.41</v>
      </c>
      <c r="G39" s="106">
        <f>VLOOKUP(A39,WTI原油期货!A:B,2,FALSE)</f>
        <v>100.21</v>
      </c>
      <c r="H39" s="106">
        <f>VLOOKUP(A39,天然气期货!A:B,2,FALSE)</f>
        <v>4.598</v>
      </c>
      <c r="I39" s="111">
        <f>VLOOKUP(A39,黄金期货!A:B,2,FALSE)</f>
        <v>1943.8</v>
      </c>
      <c r="J39" s="106">
        <f>VLOOKUP(A39,Sheet2!A:C,3,FALSE)</f>
        <v>3000</v>
      </c>
      <c r="L39" s="112">
        <f t="shared" si="0"/>
        <v>0.0416666666666667</v>
      </c>
    </row>
    <row r="40" spans="1:12">
      <c r="A40" s="109">
        <v>44622</v>
      </c>
      <c r="B40" s="106">
        <f>VLOOKUP(A40,Sheet2!A:C,2,FALSE)</f>
        <v>129</v>
      </c>
      <c r="C40" s="106">
        <v>3550</v>
      </c>
      <c r="D40" s="106">
        <f>VLOOKUP(A40,Sheet4!A:C,2,FALSE)</f>
        <v>1175</v>
      </c>
      <c r="E40" s="106">
        <f>VLOOKUP(A40,Sheet5!A:B,2,FALSE)</f>
        <v>6.3211</v>
      </c>
      <c r="F40" s="106">
        <f>VLOOKUP(A40,Sheet6!A:B,2,FALSE)</f>
        <v>97.39</v>
      </c>
      <c r="G40" s="106">
        <f>VLOOKUP(A40,WTI原油期货!A:B,2,FALSE)</f>
        <v>107.06</v>
      </c>
      <c r="H40" s="106">
        <f>VLOOKUP(A40,天然气期货!A:B,2,FALSE)</f>
        <v>4.787</v>
      </c>
      <c r="I40" s="111">
        <f>VLOOKUP(A40,黄金期货!A:B,2,FALSE)</f>
        <v>1922.3</v>
      </c>
      <c r="J40" s="106">
        <f>VLOOKUP(A40,Sheet2!A:C,3,FALSE)</f>
        <v>2960</v>
      </c>
      <c r="L40" s="112">
        <f t="shared" si="0"/>
        <v>-0.0133333333333333</v>
      </c>
    </row>
    <row r="41" spans="1:12">
      <c r="A41" s="109">
        <v>44623</v>
      </c>
      <c r="B41" s="106">
        <f>VLOOKUP(A41,Sheet2!A:C,2,FALSE)</f>
        <v>130</v>
      </c>
      <c r="C41" s="106">
        <v>3550</v>
      </c>
      <c r="D41" s="106">
        <f>VLOOKUP(A41,Sheet4!A:C,2,FALSE)</f>
        <v>1183</v>
      </c>
      <c r="E41" s="106">
        <f>VLOOKUP(A41,Sheet5!A:B,2,FALSE)</f>
        <v>6.3202</v>
      </c>
      <c r="F41" s="106">
        <f>VLOOKUP(A41,Sheet6!A:B,2,FALSE)</f>
        <v>97.79</v>
      </c>
      <c r="G41" s="106">
        <f>VLOOKUP(A41,WTI原油期货!A:B,2,FALSE)</f>
        <v>104.61</v>
      </c>
      <c r="H41" s="106">
        <f>VLOOKUP(A41,天然气期货!A:B,2,FALSE)</f>
        <v>4.736</v>
      </c>
      <c r="I41" s="111">
        <f>VLOOKUP(A41,黄金期货!A:B,2,FALSE)</f>
        <v>1935.9</v>
      </c>
      <c r="J41" s="106">
        <f>VLOOKUP(A41,Sheet2!A:C,3,FALSE)</f>
        <v>3000</v>
      </c>
      <c r="L41" s="112">
        <f t="shared" si="0"/>
        <v>0.0135135135135135</v>
      </c>
    </row>
    <row r="42" spans="1:12">
      <c r="A42" s="109">
        <v>44624</v>
      </c>
      <c r="B42" s="106">
        <f>VLOOKUP(A42,Sheet2!A:C,2,FALSE)</f>
        <v>130</v>
      </c>
      <c r="C42" s="106">
        <v>3550</v>
      </c>
      <c r="D42" s="106">
        <f>VLOOKUP(A42,Sheet4!A:C,2,FALSE)</f>
        <v>1187</v>
      </c>
      <c r="E42" s="106">
        <f>VLOOKUP(A42,Sheet5!A:B,2,FALSE)</f>
        <v>6.32</v>
      </c>
      <c r="F42" s="106">
        <f>VLOOKUP(A42,Sheet6!A:B,2,FALSE)</f>
        <v>98.65</v>
      </c>
      <c r="G42" s="106">
        <f>VLOOKUP(A42,WTI原油期货!A:B,2,FALSE)</f>
        <v>112.11</v>
      </c>
      <c r="H42" s="106">
        <f>VLOOKUP(A42,天然气期货!A:B,2,FALSE)</f>
        <v>5.036</v>
      </c>
      <c r="I42" s="111">
        <f>VLOOKUP(A42,黄金期货!A:B,2,FALSE)</f>
        <v>1966.6</v>
      </c>
      <c r="J42" s="106">
        <f>VLOOKUP(A42,Sheet2!A:C,3,FALSE)</f>
        <v>3000</v>
      </c>
      <c r="L42" s="112">
        <f t="shared" si="0"/>
        <v>0</v>
      </c>
    </row>
    <row r="43" spans="1:12">
      <c r="A43" s="109">
        <v>44627</v>
      </c>
      <c r="B43" s="106">
        <f>VLOOKUP(A43,Sheet2!A:C,2,FALSE)</f>
        <v>128</v>
      </c>
      <c r="C43" s="106">
        <v>3550</v>
      </c>
      <c r="D43" s="106">
        <f>VLOOKUP(A43,Sheet4!A:C,2,FALSE)</f>
        <v>1204</v>
      </c>
      <c r="E43" s="106">
        <f>VLOOKUP(A43,Sheet5!A:B,2,FALSE)</f>
        <v>6.3208</v>
      </c>
      <c r="F43" s="106">
        <f>VLOOKUP(A43,Sheet6!A:B,2,FALSE)</f>
        <v>99.29</v>
      </c>
      <c r="G43" s="106">
        <f>VLOOKUP(A43,WTI原油期货!A:B,2,FALSE)</f>
        <v>115.8</v>
      </c>
      <c r="H43" s="106">
        <f>VLOOKUP(A43,天然气期货!A:B,2,FALSE)</f>
        <v>4.858</v>
      </c>
      <c r="I43" s="111">
        <f>VLOOKUP(A43,黄金期货!A:B,2,FALSE)</f>
        <v>1995.9</v>
      </c>
      <c r="J43" s="106">
        <f>VLOOKUP(A43,Sheet2!A:C,3,FALSE)</f>
        <v>3000</v>
      </c>
      <c r="L43" s="112">
        <f t="shared" si="0"/>
        <v>0</v>
      </c>
    </row>
    <row r="44" spans="1:12">
      <c r="A44" s="109">
        <v>44628</v>
      </c>
      <c r="B44" s="106">
        <f>VLOOKUP(A44,Sheet2!A:C,2,FALSE)</f>
        <v>126</v>
      </c>
      <c r="C44" s="106">
        <v>3550</v>
      </c>
      <c r="D44" s="106">
        <f>VLOOKUP(A44,Sheet4!A:C,2,FALSE)</f>
        <v>1214</v>
      </c>
      <c r="E44" s="106">
        <f>VLOOKUP(A44,Sheet5!A:B,2,FALSE)</f>
        <v>6.3187</v>
      </c>
      <c r="F44" s="106">
        <f>VLOOKUP(A44,Sheet6!A:B,2,FALSE)</f>
        <v>99.06</v>
      </c>
      <c r="G44" s="106">
        <f>VLOOKUP(A44,WTI原油期货!A:B,2,FALSE)</f>
        <v>119.65</v>
      </c>
      <c r="H44" s="106">
        <f>VLOOKUP(A44,天然气期货!A:B,2,FALSE)</f>
        <v>4.563</v>
      </c>
      <c r="I44" s="111">
        <f>VLOOKUP(A44,黄金期货!A:B,2,FALSE)</f>
        <v>2043.3</v>
      </c>
      <c r="J44" s="106">
        <f>VLOOKUP(A44,Sheet2!A:C,3,FALSE)</f>
        <v>3030</v>
      </c>
      <c r="L44" s="112">
        <f t="shared" si="0"/>
        <v>0.01</v>
      </c>
    </row>
    <row r="45" spans="1:12">
      <c r="A45" s="109">
        <v>44629</v>
      </c>
      <c r="B45" s="106">
        <f>VLOOKUP(A45,Sheet2!A:C,2,FALSE)</f>
        <v>126</v>
      </c>
      <c r="C45" s="106">
        <v>3550</v>
      </c>
      <c r="D45" s="106">
        <f>VLOOKUP(A45,Sheet4!A:C,2,FALSE)</f>
        <v>1226</v>
      </c>
      <c r="E45" s="106">
        <f>VLOOKUP(A45,Sheet5!A:B,2,FALSE)</f>
        <v>6.3178</v>
      </c>
      <c r="F45" s="106">
        <f>VLOOKUP(A45,Sheet6!A:B,2,FALSE)</f>
        <v>97.97</v>
      </c>
      <c r="G45" s="106">
        <f>VLOOKUP(A45,WTI原油期货!A:B,2,FALSE)</f>
        <v>105.05</v>
      </c>
      <c r="H45" s="106">
        <f>VLOOKUP(A45,天然气期货!A:B,2,FALSE)</f>
        <v>4.561</v>
      </c>
      <c r="I45" s="111">
        <f>VLOOKUP(A45,黄金期货!A:B,2,FALSE)</f>
        <v>1988.2</v>
      </c>
      <c r="J45" s="106">
        <f>VLOOKUP(A45,Sheet2!A:C,3,FALSE)</f>
        <v>3200</v>
      </c>
      <c r="L45" s="113">
        <f t="shared" si="0"/>
        <v>0.0561056105610561</v>
      </c>
    </row>
    <row r="46" spans="1:12">
      <c r="A46" s="109">
        <v>44630</v>
      </c>
      <c r="B46" s="106">
        <f>VLOOKUP(A46,Sheet2!A:C,2,FALSE)</f>
        <v>125</v>
      </c>
      <c r="C46" s="106">
        <v>3550</v>
      </c>
      <c r="D46" s="106">
        <f>VLOOKUP(A46,Sheet4!A:C,2,FALSE)</f>
        <v>1220</v>
      </c>
      <c r="E46" s="106">
        <f>VLOOKUP(A46,Sheet5!A:B,2,FALSE)</f>
        <v>6.3219</v>
      </c>
      <c r="F46" s="106">
        <f>VLOOKUP(A46,Sheet6!A:B,2,FALSE)</f>
        <v>98.51</v>
      </c>
      <c r="G46" s="106">
        <f>VLOOKUP(A46,WTI原油期货!A:B,2,FALSE)</f>
        <v>102.99</v>
      </c>
      <c r="H46" s="106">
        <f>VLOOKUP(A46,天然气期货!A:B,2,FALSE)</f>
        <v>4.669</v>
      </c>
      <c r="I46" s="111">
        <f>VLOOKUP(A46,黄金期货!A:B,2,FALSE)</f>
        <v>2000.4</v>
      </c>
      <c r="J46" s="106">
        <f>VLOOKUP(A46,Sheet2!A:C,3,FALSE)</f>
        <v>3250</v>
      </c>
      <c r="L46" s="112">
        <f t="shared" si="0"/>
        <v>0.015625</v>
      </c>
    </row>
    <row r="47" spans="1:12">
      <c r="A47" s="109">
        <v>44631</v>
      </c>
      <c r="B47" s="106">
        <f>VLOOKUP(A47,Sheet2!A:C,2,FALSE)</f>
        <v>125</v>
      </c>
      <c r="C47" s="106">
        <v>3550</v>
      </c>
      <c r="D47" s="106">
        <f>VLOOKUP(A47,Sheet4!A:C,2,FALSE)</f>
        <v>1219</v>
      </c>
      <c r="E47" s="106">
        <f>VLOOKUP(A47,Sheet5!A:B,2,FALSE)</f>
        <v>6.3398</v>
      </c>
      <c r="F47" s="106">
        <f>VLOOKUP(A47,Sheet6!A:B,2,FALSE)</f>
        <v>99.12</v>
      </c>
      <c r="G47" s="106">
        <f>VLOOKUP(A47,WTI原油期货!A:B,2,FALSE)</f>
        <v>106.3</v>
      </c>
      <c r="H47" s="106">
        <f>VLOOKUP(A47,天然气期货!A:B,2,FALSE)</f>
        <v>4.766</v>
      </c>
      <c r="I47" s="111">
        <f>VLOOKUP(A47,黄金期货!A:B,2,FALSE)</f>
        <v>1985</v>
      </c>
      <c r="J47" s="106">
        <f>VLOOKUP(A47,Sheet2!A:C,3,FALSE)</f>
        <v>3500</v>
      </c>
      <c r="L47" s="113">
        <f t="shared" si="0"/>
        <v>0.0769230769230769</v>
      </c>
    </row>
    <row r="48" spans="1:12">
      <c r="A48" s="109">
        <v>44634</v>
      </c>
      <c r="B48" s="106">
        <f>VLOOKUP(A48,Sheet2!A:C,2,FALSE)</f>
        <v>131</v>
      </c>
      <c r="C48" s="106">
        <v>3550</v>
      </c>
      <c r="D48" s="106">
        <f>VLOOKUP(A48,Sheet4!A:C,2,FALSE)</f>
        <v>1213</v>
      </c>
      <c r="E48" s="106">
        <f>VLOOKUP(A48,Sheet5!A:B,2,FALSE)</f>
        <v>6.3657</v>
      </c>
      <c r="F48" s="106">
        <f>VLOOKUP(A48,Sheet6!A:B,2,FALSE)</f>
        <v>99</v>
      </c>
      <c r="G48" s="106">
        <f>VLOOKUP(A48,WTI原油期货!A:B,2,FALSE)</f>
        <v>101.18</v>
      </c>
      <c r="H48" s="106">
        <f>VLOOKUP(A48,天然气期货!A:B,2,FALSE)</f>
        <v>4.702</v>
      </c>
      <c r="I48" s="111">
        <f>VLOOKUP(A48,黄金期货!A:B,2,FALSE)</f>
        <v>1960.8</v>
      </c>
      <c r="J48" s="106">
        <f>VLOOKUP(A48,Sheet2!A:C,3,FALSE)</f>
        <v>3450</v>
      </c>
      <c r="L48" s="112">
        <f t="shared" si="0"/>
        <v>-0.0142857142857143</v>
      </c>
    </row>
    <row r="49" spans="1:12">
      <c r="A49" s="109">
        <v>44635</v>
      </c>
      <c r="B49" s="106">
        <f>VLOOKUP(A49,Sheet2!A:C,2,FALSE)</f>
        <v>131</v>
      </c>
      <c r="C49" s="106">
        <v>3580</v>
      </c>
      <c r="D49" s="106">
        <f>VLOOKUP(A49,Sheet4!A:C,2,FALSE)</f>
        <v>1210</v>
      </c>
      <c r="E49" s="106">
        <f>VLOOKUP(A49,Sheet5!A:B,2,FALSE)</f>
        <v>6.3706</v>
      </c>
      <c r="F49" s="106">
        <f>VLOOKUP(A49,Sheet6!A:B,2,FALSE)</f>
        <v>99.1</v>
      </c>
      <c r="G49" s="106">
        <f>VLOOKUP(A49,WTI原油期货!A:B,2,FALSE)</f>
        <v>94.79</v>
      </c>
      <c r="H49" s="106">
        <f>VLOOKUP(A49,天然气期货!A:B,2,FALSE)</f>
        <v>4.617</v>
      </c>
      <c r="I49" s="111">
        <f>VLOOKUP(A49,黄金期货!A:B,2,FALSE)</f>
        <v>1929.7</v>
      </c>
      <c r="J49" s="106">
        <f>VLOOKUP(A49,Sheet2!A:C,3,FALSE)</f>
        <v>3400</v>
      </c>
      <c r="L49" s="112">
        <f t="shared" si="0"/>
        <v>-0.0144927536231884</v>
      </c>
    </row>
    <row r="50" spans="1:12">
      <c r="A50" s="109">
        <v>44636</v>
      </c>
      <c r="B50" s="106">
        <f>VLOOKUP(A50,Sheet2!A:C,2,FALSE)</f>
        <v>131</v>
      </c>
      <c r="C50" s="106">
        <v>3580</v>
      </c>
      <c r="D50" s="106">
        <f>VLOOKUP(A50,Sheet4!A:C,2,FALSE)</f>
        <v>1205</v>
      </c>
      <c r="E50" s="106">
        <f>VLOOKUP(A50,Sheet5!A:B,2,FALSE)</f>
        <v>6.3523</v>
      </c>
      <c r="F50" s="106">
        <f>VLOOKUP(A50,Sheet6!A:B,2,FALSE)</f>
        <v>98.62</v>
      </c>
      <c r="G50" s="106">
        <f>VLOOKUP(A50,WTI原油期货!A:B,2,FALSE)</f>
        <v>93.59</v>
      </c>
      <c r="H50" s="106">
        <f>VLOOKUP(A50,天然气期货!A:B,2,FALSE)</f>
        <v>4.784</v>
      </c>
      <c r="I50" s="111">
        <f>VLOOKUP(A50,黄金期货!A:B,2,FALSE)</f>
        <v>1909.2</v>
      </c>
      <c r="J50" s="106">
        <f>VLOOKUP(A50,Sheet2!A:C,3,FALSE)</f>
        <v>3400</v>
      </c>
      <c r="L50" s="112">
        <f t="shared" si="0"/>
        <v>0</v>
      </c>
    </row>
    <row r="51" spans="1:12">
      <c r="A51" s="109">
        <v>44637</v>
      </c>
      <c r="B51" s="106">
        <f>VLOOKUP(A51,Sheet2!A:C,2,FALSE)</f>
        <v>129</v>
      </c>
      <c r="C51" s="106">
        <v>3580</v>
      </c>
      <c r="D51" s="106">
        <f>VLOOKUP(A51,Sheet4!A:C,2,FALSE)</f>
        <v>1204</v>
      </c>
      <c r="E51" s="106">
        <f>VLOOKUP(A51,Sheet5!A:B,2,FALSE)</f>
        <v>6.347</v>
      </c>
      <c r="F51" s="106">
        <f>VLOOKUP(A51,Sheet6!A:B,2,FALSE)</f>
        <v>97.97</v>
      </c>
      <c r="G51" s="106">
        <f>VLOOKUP(A51,WTI原油期货!A:B,2,FALSE)</f>
        <v>101.65</v>
      </c>
      <c r="H51" s="106">
        <f>VLOOKUP(A51,天然气期货!A:B,2,FALSE)</f>
        <v>5.021</v>
      </c>
      <c r="I51" s="111">
        <f>VLOOKUP(A51,黄金期货!A:B,2,FALSE)</f>
        <v>1943.2</v>
      </c>
      <c r="J51" s="106">
        <f>VLOOKUP(A51,Sheet2!A:C,3,FALSE)</f>
        <v>3265</v>
      </c>
      <c r="L51" s="112">
        <f t="shared" si="0"/>
        <v>-0.0397058823529412</v>
      </c>
    </row>
    <row r="52" spans="1:12">
      <c r="A52" s="109">
        <v>44638</v>
      </c>
      <c r="B52" s="106">
        <f>VLOOKUP(A52,Sheet2!A:C,2,FALSE)</f>
        <v>127</v>
      </c>
      <c r="C52" s="106">
        <v>3580</v>
      </c>
      <c r="D52" s="106">
        <f>VLOOKUP(A52,Sheet4!A:C,2,FALSE)</f>
        <v>1207</v>
      </c>
      <c r="E52" s="106">
        <f>VLOOKUP(A52,Sheet5!A:B,2,FALSE)</f>
        <v>6.3612</v>
      </c>
      <c r="F52" s="106">
        <f>VLOOKUP(A52,Sheet6!A:B,2,FALSE)</f>
        <v>98.23</v>
      </c>
      <c r="G52" s="106">
        <f>VLOOKUP(A52,WTI原油期货!A:B,2,FALSE)</f>
        <v>103.09</v>
      </c>
      <c r="H52" s="106">
        <f>VLOOKUP(A52,天然气期货!A:B,2,FALSE)</f>
        <v>4.902</v>
      </c>
      <c r="I52" s="111">
        <f>VLOOKUP(A52,黄金期货!A:B,2,FALSE)</f>
        <v>1929.3</v>
      </c>
      <c r="J52" s="106">
        <f>VLOOKUP(A52,Sheet2!A:C,3,FALSE)</f>
        <v>3250</v>
      </c>
      <c r="L52" s="112">
        <f t="shared" si="0"/>
        <v>-0.00459418070444104</v>
      </c>
    </row>
    <row r="53" spans="1:12">
      <c r="A53" s="109">
        <v>44641</v>
      </c>
      <c r="B53" s="106">
        <f>VLOOKUP(A53,Sheet2!A:C,2,FALSE)</f>
        <v>125</v>
      </c>
      <c r="C53" s="106">
        <v>3580</v>
      </c>
      <c r="D53" s="106">
        <f>VLOOKUP(A53,Sheet4!A:C,2,FALSE)</f>
        <v>1211</v>
      </c>
      <c r="E53" s="106">
        <f>VLOOKUP(A53,Sheet5!A:B,2,FALSE)</f>
        <v>6.356</v>
      </c>
      <c r="F53" s="106">
        <f>VLOOKUP(A53,Sheet6!A:B,2,FALSE)</f>
        <v>98.5</v>
      </c>
      <c r="G53" s="106">
        <f>VLOOKUP(A53,WTI原油期货!A:B,2,FALSE)</f>
        <v>109.97</v>
      </c>
      <c r="H53" s="106">
        <f>VLOOKUP(A53,天然气期货!A:B,2,FALSE)</f>
        <v>4.934</v>
      </c>
      <c r="I53" s="111">
        <f>VLOOKUP(A53,黄金期货!A:B,2,FALSE)</f>
        <v>1929.5</v>
      </c>
      <c r="J53" s="106">
        <f>VLOOKUP(A53,Sheet2!A:C,3,FALSE)</f>
        <v>3350</v>
      </c>
      <c r="L53" s="112">
        <f t="shared" si="0"/>
        <v>0.0307692307692308</v>
      </c>
    </row>
    <row r="54" spans="1:12">
      <c r="A54" s="109">
        <v>44642</v>
      </c>
      <c r="B54" s="106">
        <f>VLOOKUP(A54,Sheet2!A:C,2,FALSE)</f>
        <v>124</v>
      </c>
      <c r="C54" s="106">
        <v>3580</v>
      </c>
      <c r="D54" s="106">
        <f>VLOOKUP(A54,Sheet4!A:C,2,FALSE)</f>
        <v>1214</v>
      </c>
      <c r="E54" s="106">
        <f>VLOOKUP(A54,Sheet5!A:B,2,FALSE)</f>
        <v>6.3665</v>
      </c>
      <c r="F54" s="106">
        <f>VLOOKUP(A54,Sheet6!A:B,2,FALSE)</f>
        <v>98.49</v>
      </c>
      <c r="G54" s="106">
        <f>VLOOKUP(A54,WTI原油期货!A:B,2,FALSE)</f>
        <v>109.27</v>
      </c>
      <c r="H54" s="106">
        <f>VLOOKUP(A54,天然气期货!A:B,2,FALSE)</f>
        <v>5.227</v>
      </c>
      <c r="I54" s="111">
        <f>VLOOKUP(A54,黄金期货!A:B,2,FALSE)</f>
        <v>1921.5</v>
      </c>
      <c r="J54" s="106">
        <f>VLOOKUP(A54,Sheet2!A:C,3,FALSE)</f>
        <v>3350</v>
      </c>
      <c r="L54" s="112">
        <f t="shared" si="0"/>
        <v>0</v>
      </c>
    </row>
    <row r="55" spans="1:12">
      <c r="A55" s="109">
        <v>44643</v>
      </c>
      <c r="B55" s="106">
        <f>VLOOKUP(A55,Sheet2!A:C,2,FALSE)</f>
        <v>125</v>
      </c>
      <c r="C55" s="106">
        <v>3580</v>
      </c>
      <c r="D55" s="106">
        <f>VLOOKUP(A55,Sheet4!A:C,2,FALSE)</f>
        <v>1216</v>
      </c>
      <c r="E55" s="106">
        <f>VLOOKUP(A55,Sheet5!A:B,2,FALSE)</f>
        <v>6.3724</v>
      </c>
      <c r="F55" s="106">
        <f>VLOOKUP(A55,Sheet6!A:B,2,FALSE)</f>
        <v>98.62</v>
      </c>
      <c r="G55" s="106">
        <f>VLOOKUP(A55,WTI原油期货!A:B,2,FALSE)</f>
        <v>111.99</v>
      </c>
      <c r="H55" s="106">
        <f>VLOOKUP(A55,天然气期货!A:B,2,FALSE)</f>
        <v>5.274</v>
      </c>
      <c r="I55" s="111">
        <f>VLOOKUP(A55,黄金期货!A:B,2,FALSE)</f>
        <v>1937.3</v>
      </c>
      <c r="J55" s="106">
        <f>VLOOKUP(A55,Sheet2!A:C,3,FALSE)</f>
        <v>3350</v>
      </c>
      <c r="L55" s="112">
        <f t="shared" si="0"/>
        <v>0</v>
      </c>
    </row>
    <row r="56" spans="1:12">
      <c r="A56" s="109">
        <v>44644</v>
      </c>
      <c r="B56" s="106">
        <f>VLOOKUP(A56,Sheet2!A:C,2,FALSE)</f>
        <v>125</v>
      </c>
      <c r="C56" s="106">
        <v>3580</v>
      </c>
      <c r="D56" s="106">
        <f>VLOOKUP(A56,Sheet4!A:C,2,FALSE)</f>
        <v>1223</v>
      </c>
      <c r="E56" s="106">
        <f>VLOOKUP(A56,Sheet5!A:B,2,FALSE)</f>
        <v>6.3678</v>
      </c>
      <c r="F56" s="106">
        <f>VLOOKUP(A56,Sheet6!A:B,2,FALSE)</f>
        <v>98.79</v>
      </c>
      <c r="G56" s="106">
        <f>VLOOKUP(A56,WTI原油期货!A:B,2,FALSE)</f>
        <v>109.43</v>
      </c>
      <c r="H56" s="106">
        <f>VLOOKUP(A56,天然气期货!A:B,2,FALSE)</f>
        <v>5.446</v>
      </c>
      <c r="I56" s="111">
        <f>VLOOKUP(A56,黄金期货!A:B,2,FALSE)</f>
        <v>1962.2</v>
      </c>
      <c r="J56" s="106">
        <f>VLOOKUP(A56,Sheet2!A:C,3,FALSE)</f>
        <v>3325</v>
      </c>
      <c r="L56" s="112">
        <f t="shared" si="0"/>
        <v>-0.00746268656716418</v>
      </c>
    </row>
    <row r="57" spans="1:12">
      <c r="A57" s="109">
        <v>44645</v>
      </c>
      <c r="B57" s="106">
        <f>VLOOKUP(A57,Sheet2!A:C,2,FALSE)</f>
        <v>123</v>
      </c>
      <c r="C57" s="106">
        <v>3580</v>
      </c>
      <c r="D57" s="106">
        <f>VLOOKUP(A57,Sheet4!A:C,2,FALSE)</f>
        <v>1222</v>
      </c>
      <c r="E57" s="106">
        <f>VLOOKUP(A57,Sheet5!A:B,2,FALSE)</f>
        <v>6.3662</v>
      </c>
      <c r="F57" s="106">
        <f>VLOOKUP(A57,Sheet6!A:B,2,FALSE)</f>
        <v>98.79</v>
      </c>
      <c r="G57" s="106">
        <f>VLOOKUP(A57,WTI原油期货!A:B,2,FALSE)</f>
        <v>111.06</v>
      </c>
      <c r="H57" s="106">
        <f>VLOOKUP(A57,天然气期货!A:B,2,FALSE)</f>
        <v>5.611</v>
      </c>
      <c r="I57" s="111">
        <f>VLOOKUP(A57,黄金期货!A:B,2,FALSE)</f>
        <v>1954.2</v>
      </c>
      <c r="J57" s="106">
        <f>VLOOKUP(A57,Sheet2!A:C,3,FALSE)</f>
        <v>3350</v>
      </c>
      <c r="L57" s="112">
        <f t="shared" si="0"/>
        <v>0.0075187969924812</v>
      </c>
    </row>
    <row r="58" spans="1:12">
      <c r="A58" s="109">
        <v>44648</v>
      </c>
      <c r="B58" s="106">
        <f>VLOOKUP(A58,Sheet2!A:C,2,FALSE)</f>
        <v>122</v>
      </c>
      <c r="C58" s="106">
        <v>3580</v>
      </c>
      <c r="D58" s="106">
        <f>VLOOKUP(A58,Sheet4!A:C,2,FALSE)</f>
        <v>1216</v>
      </c>
      <c r="E58" s="106">
        <f>VLOOKUP(A58,Sheet5!A:B,2,FALSE)</f>
        <v>6.3721</v>
      </c>
      <c r="F58" s="106">
        <f>VLOOKUP(A58,Sheet6!A:B,2,FALSE)</f>
        <v>99.09</v>
      </c>
      <c r="G58" s="106">
        <f>VLOOKUP(A58,WTI原油期货!A:B,2,FALSE)</f>
        <v>103.42</v>
      </c>
      <c r="H58" s="106">
        <f>VLOOKUP(A58,天然气期货!A:B,2,FALSE)</f>
        <v>5.538</v>
      </c>
      <c r="I58" s="111">
        <f>VLOOKUP(A58,黄金期货!A:B,2,FALSE)</f>
        <v>1939.8</v>
      </c>
      <c r="J58" s="106">
        <f>VLOOKUP(A58,Sheet2!A:C,3,FALSE)</f>
        <v>3370</v>
      </c>
      <c r="L58" s="112">
        <f t="shared" si="0"/>
        <v>0.00597014925373134</v>
      </c>
    </row>
    <row r="59" spans="1:12">
      <c r="A59" s="109">
        <v>44649</v>
      </c>
      <c r="B59" s="106">
        <f>VLOOKUP(A59,Sheet2!A:C,2,FALSE)</f>
        <v>126</v>
      </c>
      <c r="C59" s="106">
        <v>3580</v>
      </c>
      <c r="D59" s="106">
        <f>VLOOKUP(A59,Sheet4!A:C,2,FALSE)</f>
        <v>1215</v>
      </c>
      <c r="E59" s="106">
        <f>VLOOKUP(A59,Sheet5!A:B,2,FALSE)</f>
        <v>6.3642</v>
      </c>
      <c r="F59" s="106">
        <f>VLOOKUP(A59,Sheet6!A:B,2,FALSE)</f>
        <v>98.4</v>
      </c>
      <c r="G59" s="106">
        <f>VLOOKUP(A59,WTI原油期货!A:B,2,FALSE)</f>
        <v>102.05</v>
      </c>
      <c r="H59" s="106">
        <f>VLOOKUP(A59,天然气期货!A:B,2,FALSE)</f>
        <v>5.33</v>
      </c>
      <c r="I59" s="111">
        <f>VLOOKUP(A59,黄金期货!A:B,2,FALSE)</f>
        <v>1912.2</v>
      </c>
      <c r="J59" s="106">
        <f>VLOOKUP(A59,Sheet2!A:C,3,FALSE)</f>
        <v>3390</v>
      </c>
      <c r="L59" s="112">
        <f t="shared" si="0"/>
        <v>0.00593471810089021</v>
      </c>
    </row>
    <row r="60" spans="1:12">
      <c r="A60" s="109">
        <v>44650</v>
      </c>
      <c r="B60" s="106">
        <f>VLOOKUP(A60,Sheet2!A:C,2,FALSE)</f>
        <v>126</v>
      </c>
      <c r="C60" s="106">
        <v>3580</v>
      </c>
      <c r="D60" s="106">
        <f>VLOOKUP(A60,Sheet4!A:C,2,FALSE)</f>
        <v>1213</v>
      </c>
      <c r="E60" s="106">
        <f>VLOOKUP(A60,Sheet5!A:B,2,FALSE)</f>
        <v>6.3477</v>
      </c>
      <c r="F60" s="106">
        <f>VLOOKUP(A60,Sheet6!A:B,2,FALSE)</f>
        <v>97.79</v>
      </c>
      <c r="G60" s="106">
        <f>VLOOKUP(A60,WTI原油期货!A:B,2,FALSE)</f>
        <v>105.68</v>
      </c>
      <c r="H60" s="106">
        <f>VLOOKUP(A60,天然气期货!A:B,2,FALSE)</f>
        <v>5.658</v>
      </c>
      <c r="I60" s="111">
        <f>VLOOKUP(A60,黄金期货!A:B,2,FALSE)</f>
        <v>1936.1</v>
      </c>
      <c r="J60" s="106">
        <f>VLOOKUP(A60,Sheet2!A:C,3,FALSE)</f>
        <v>3400</v>
      </c>
      <c r="L60" s="112">
        <f t="shared" si="0"/>
        <v>0.00294985250737463</v>
      </c>
    </row>
    <row r="61" spans="1:12">
      <c r="A61" s="109">
        <v>44651</v>
      </c>
      <c r="B61" s="106">
        <f>VLOOKUP(A61,Sheet2!A:C,2,FALSE)</f>
        <v>125</v>
      </c>
      <c r="C61" s="106">
        <v>3580</v>
      </c>
      <c r="D61" s="106">
        <f>VLOOKUP(A61,Sheet4!A:C,2,FALSE)</f>
        <v>1213</v>
      </c>
      <c r="E61" s="106">
        <f>VLOOKUP(A61,Sheet5!A:B,2,FALSE)</f>
        <v>6.34</v>
      </c>
      <c r="F61" s="106">
        <f>VLOOKUP(A61,Sheet6!A:B,2,FALSE)</f>
        <v>98.31</v>
      </c>
      <c r="G61" s="106">
        <f>VLOOKUP(A61,WTI原油期货!A:B,2,FALSE)</f>
        <v>98.52</v>
      </c>
      <c r="H61" s="106">
        <f>VLOOKUP(A61,天然气期货!A:B,2,FALSE)</f>
        <v>5.701</v>
      </c>
      <c r="I61" s="111">
        <f>VLOOKUP(A61,黄金期货!A:B,2,FALSE)</f>
        <v>1951.1</v>
      </c>
      <c r="J61" s="106">
        <f>VLOOKUP(A61,Sheet2!A:C,3,FALSE)</f>
        <v>3400</v>
      </c>
      <c r="L61" s="112">
        <f t="shared" si="0"/>
        <v>0</v>
      </c>
    </row>
    <row r="62" spans="1:12">
      <c r="A62" s="109">
        <v>44652</v>
      </c>
      <c r="B62" s="106">
        <f>VLOOKUP(A62,Sheet2!A:C,2,FALSE)</f>
        <v>125</v>
      </c>
      <c r="C62" s="106">
        <v>3580</v>
      </c>
      <c r="D62" s="106">
        <f>VLOOKUP(A62,Sheet4!A:C,2,FALSE)</f>
        <v>1212</v>
      </c>
      <c r="E62" s="106">
        <f>VLOOKUP(A62,Sheet5!A:B,2,FALSE)</f>
        <v>6.3631</v>
      </c>
      <c r="F62" s="106">
        <f>VLOOKUP(A62,Sheet6!A:B,2,FALSE)</f>
        <v>98.63</v>
      </c>
      <c r="G62" s="106">
        <f>VLOOKUP(A62,WTI原油期货!A:B,2,FALSE)</f>
        <v>97.9</v>
      </c>
      <c r="H62" s="106">
        <f>VLOOKUP(A62,天然气期货!A:B,2,FALSE)</f>
        <v>5.795</v>
      </c>
      <c r="I62" s="111">
        <f>VLOOKUP(A62,黄金期货!A:B,2,FALSE)</f>
        <v>1920.9</v>
      </c>
      <c r="J62" s="106">
        <f>VLOOKUP(A62,Sheet2!A:C,3,FALSE)</f>
        <v>3400</v>
      </c>
      <c r="L62" s="112">
        <f t="shared" si="0"/>
        <v>0</v>
      </c>
    </row>
    <row r="63" spans="1:12">
      <c r="A63" s="109">
        <v>44653</v>
      </c>
      <c r="B63" s="106">
        <f>VLOOKUP(A63,Sheet2!A:C,2,FALSE)</f>
        <v>125</v>
      </c>
      <c r="C63" s="106">
        <v>3580</v>
      </c>
      <c r="D63" s="106">
        <f>VLOOKUP(A63,Sheet4!A:C,2,FALSE)</f>
        <v>1212</v>
      </c>
      <c r="E63" s="106">
        <f>E62</f>
        <v>6.3631</v>
      </c>
      <c r="F63" s="106">
        <f>F62</f>
        <v>98.63</v>
      </c>
      <c r="G63" s="106">
        <f>G62</f>
        <v>97.9</v>
      </c>
      <c r="H63" s="106">
        <f>H62</f>
        <v>5.795</v>
      </c>
      <c r="I63" s="111">
        <f>I62</f>
        <v>1920.9</v>
      </c>
      <c r="J63" s="106">
        <f>VLOOKUP(A63,Sheet2!A:C,3,FALSE)</f>
        <v>3400</v>
      </c>
      <c r="L63" s="112">
        <f t="shared" si="0"/>
        <v>0</v>
      </c>
    </row>
    <row r="64" spans="1:12">
      <c r="A64" s="109">
        <v>44657</v>
      </c>
      <c r="B64" s="106">
        <f>VLOOKUP(A64,Sheet2!A:C,2,FALSE)</f>
        <v>123</v>
      </c>
      <c r="C64" s="106">
        <v>3580</v>
      </c>
      <c r="D64" s="106">
        <f>VLOOKUP(A64,Sheet4!A:C,2,FALSE)</f>
        <v>1214</v>
      </c>
      <c r="E64" s="106">
        <f>VLOOKUP(A64,Sheet5!A:B,2,FALSE)</f>
        <v>6.3599</v>
      </c>
      <c r="F64" s="106">
        <f>VLOOKUP(A64,Sheet6!A:B,2,FALSE)</f>
        <v>99.6</v>
      </c>
      <c r="G64" s="106">
        <f>VLOOKUP(A64,WTI原油期货!A:B,2,FALSE)</f>
        <v>95.41</v>
      </c>
      <c r="H64" s="106">
        <f>VLOOKUP(A64,天然气期货!A:B,2,FALSE)</f>
        <v>6.107</v>
      </c>
      <c r="I64" s="111">
        <f>VLOOKUP(A64,黄金期货!A:B,2,FALSE)</f>
        <v>1919.7</v>
      </c>
      <c r="J64" s="106">
        <f>VLOOKUP(A64,Sheet2!A:C,3,FALSE)</f>
        <v>3390</v>
      </c>
      <c r="L64" s="112">
        <f t="shared" si="0"/>
        <v>-0.00294117647058824</v>
      </c>
    </row>
    <row r="65" spans="1:12">
      <c r="A65" s="109">
        <v>44658</v>
      </c>
      <c r="B65" s="106">
        <f>VLOOKUP(A65,Sheet2!A:C,2,FALSE)</f>
        <v>125</v>
      </c>
      <c r="C65" s="106">
        <v>3580</v>
      </c>
      <c r="D65" s="106">
        <f>VLOOKUP(A65,Sheet4!A:C,2,FALSE)</f>
        <v>1213</v>
      </c>
      <c r="E65" s="106">
        <f>VLOOKUP(A65,Sheet5!A:B,2,FALSE)</f>
        <v>6.3604</v>
      </c>
      <c r="F65" s="106">
        <f>VLOOKUP(A65,Sheet6!A:B,2,FALSE)</f>
        <v>99.75</v>
      </c>
      <c r="G65" s="106">
        <f>VLOOKUP(A65,WTI原油期货!A:B,2,FALSE)</f>
        <v>95.51</v>
      </c>
      <c r="H65" s="106">
        <f>VLOOKUP(A65,天然气期货!A:B,2,FALSE)</f>
        <v>6.436</v>
      </c>
      <c r="I65" s="111">
        <f>VLOOKUP(A65,黄金期货!A:B,2,FALSE)</f>
        <v>1934.7</v>
      </c>
      <c r="J65" s="106">
        <f>VLOOKUP(A65,Sheet2!A:C,3,FALSE)</f>
        <v>3390</v>
      </c>
      <c r="L65" s="112">
        <f t="shared" si="0"/>
        <v>0</v>
      </c>
    </row>
    <row r="66" spans="1:12">
      <c r="A66" s="109">
        <v>44659</v>
      </c>
      <c r="B66" s="106">
        <f>VLOOKUP(A66,Sheet2!A:C,2,FALSE)</f>
        <v>125</v>
      </c>
      <c r="C66" s="106">
        <v>3580</v>
      </c>
      <c r="D66" s="106">
        <f>VLOOKUP(A66,Sheet4!A:C,2,FALSE)</f>
        <v>1210</v>
      </c>
      <c r="E66" s="106">
        <f>VLOOKUP(A66,Sheet5!A:B,2,FALSE)</f>
        <v>6.365</v>
      </c>
      <c r="F66" s="106">
        <f>VLOOKUP(A66,Sheet6!A:B,2,FALSE)</f>
        <v>99.8</v>
      </c>
      <c r="G66" s="106">
        <f>VLOOKUP(A66,WTI原油期货!A:B,2,FALSE)</f>
        <v>97.73</v>
      </c>
      <c r="H66" s="106">
        <f>VLOOKUP(A66,天然气期货!A:B,2,FALSE)</f>
        <v>6.356</v>
      </c>
      <c r="I66" s="111">
        <f>VLOOKUP(A66,黄金期货!A:B,2,FALSE)</f>
        <v>1942.4</v>
      </c>
      <c r="J66" s="106">
        <f>VLOOKUP(A66,Sheet2!A:C,3,FALSE)</f>
        <v>3390</v>
      </c>
      <c r="L66" s="112">
        <f t="shared" si="0"/>
        <v>0</v>
      </c>
    </row>
    <row r="67" spans="1:12">
      <c r="A67" s="109">
        <v>44662</v>
      </c>
      <c r="B67" s="106">
        <f>VLOOKUP(A67,Sheet2!A:C,2,FALSE)</f>
        <v>128</v>
      </c>
      <c r="C67" s="106">
        <v>3580</v>
      </c>
      <c r="D67" s="106">
        <f>VLOOKUP(A67,Sheet4!A:C,2,FALSE)</f>
        <v>1208</v>
      </c>
      <c r="E67" s="106">
        <f>VLOOKUP(A67,Sheet5!A:B,2,FALSE)</f>
        <v>6.37</v>
      </c>
      <c r="F67" s="106">
        <f>VLOOKUP(A67,Sheet6!A:B,2,FALSE)</f>
        <v>99.93</v>
      </c>
      <c r="G67" s="106">
        <f>VLOOKUP(A67,WTI原油期货!A:B,2,FALSE)</f>
        <v>93.92</v>
      </c>
      <c r="H67" s="106">
        <f>VLOOKUP(A67,天然气期货!A:B,2,FALSE)</f>
        <v>6.723</v>
      </c>
      <c r="I67" s="111">
        <f>VLOOKUP(A67,黄金期货!A:B,2,FALSE)</f>
        <v>1945.1</v>
      </c>
      <c r="J67" s="106">
        <f>VLOOKUP(A67,Sheet2!A:C,3,FALSE)</f>
        <v>3390</v>
      </c>
      <c r="L67" s="112">
        <f t="shared" ref="L67:L130" si="6">(J67-J66)/J66</f>
        <v>0</v>
      </c>
    </row>
    <row r="68" spans="1:12">
      <c r="A68" s="109">
        <v>44663</v>
      </c>
      <c r="B68" s="106">
        <f>VLOOKUP(A68,Sheet2!A:C,2,FALSE)</f>
        <v>128</v>
      </c>
      <c r="C68" s="106">
        <v>3580</v>
      </c>
      <c r="D68" s="106">
        <f>VLOOKUP(A68,Sheet4!A:C,2,FALSE)</f>
        <v>1206</v>
      </c>
      <c r="E68" s="106">
        <f>VLOOKUP(A68,Sheet5!A:B,2,FALSE)</f>
        <v>6.366</v>
      </c>
      <c r="F68" s="106">
        <f>VLOOKUP(A68,Sheet6!A:B,2,FALSE)</f>
        <v>100.29</v>
      </c>
      <c r="G68" s="106">
        <f>VLOOKUP(A68,WTI原油期货!A:B,2,FALSE)</f>
        <v>100.15</v>
      </c>
      <c r="H68" s="106">
        <f>VLOOKUP(A68,天然气期货!A:B,2,FALSE)</f>
        <v>6.763</v>
      </c>
      <c r="I68" s="111">
        <f>VLOOKUP(A68,黄金期货!A:B,2,FALSE)</f>
        <v>1973.2</v>
      </c>
      <c r="J68" s="106">
        <f>VLOOKUP(A68,Sheet2!A:C,3,FALSE)</f>
        <v>3390</v>
      </c>
      <c r="L68" s="112">
        <f t="shared" si="6"/>
        <v>0</v>
      </c>
    </row>
    <row r="69" spans="1:12">
      <c r="A69" s="109">
        <v>44664</v>
      </c>
      <c r="B69" s="106">
        <f>VLOOKUP(A69,Sheet2!A:C,2,FALSE)</f>
        <v>128</v>
      </c>
      <c r="C69" s="106">
        <v>3580</v>
      </c>
      <c r="D69" s="106">
        <f>VLOOKUP(A69,Sheet4!A:C,2,FALSE)</f>
        <v>1207</v>
      </c>
      <c r="E69" s="106">
        <f>VLOOKUP(A69,Sheet5!A:B,2,FALSE)</f>
        <v>6.3682</v>
      </c>
      <c r="F69" s="106">
        <f>VLOOKUP(A69,Sheet6!A:B,2,FALSE)</f>
        <v>99.88</v>
      </c>
      <c r="G69" s="106">
        <f>VLOOKUP(A69,WTI原油期货!A:B,2,FALSE)</f>
        <v>103.79</v>
      </c>
      <c r="H69" s="106">
        <f>VLOOKUP(A69,天然气期货!A:B,2,FALSE)</f>
        <v>7.096</v>
      </c>
      <c r="I69" s="111">
        <f>VLOOKUP(A69,黄金期货!A:B,2,FALSE)</f>
        <v>1981.9</v>
      </c>
      <c r="J69" s="106">
        <f>VLOOKUP(A69,Sheet2!A:C,3,FALSE)</f>
        <v>3340</v>
      </c>
      <c r="L69" s="112">
        <f t="shared" si="6"/>
        <v>-0.0147492625368732</v>
      </c>
    </row>
    <row r="70" spans="1:12">
      <c r="A70" s="109">
        <v>44665</v>
      </c>
      <c r="B70" s="106">
        <f>VLOOKUP(A70,Sheet2!A:C,2,FALSE)</f>
        <v>125</v>
      </c>
      <c r="C70" s="106">
        <v>3580</v>
      </c>
      <c r="D70" s="106">
        <f>VLOOKUP(A70,Sheet4!A:C,2,FALSE)</f>
        <v>1207</v>
      </c>
      <c r="E70" s="106">
        <f>VLOOKUP(A70,Sheet5!A:B,2,FALSE)</f>
        <v>6.3784</v>
      </c>
      <c r="F70" s="106">
        <f>VLOOKUP(A70,Sheet6!A:B,2,FALSE)</f>
        <v>100.32</v>
      </c>
      <c r="G70" s="106">
        <f>VLOOKUP(A70,WTI原油期货!A:B,2,FALSE)</f>
        <v>106.38</v>
      </c>
      <c r="H70" s="106">
        <f>VLOOKUP(A70,天然气期货!A:B,2,FALSE)</f>
        <v>7.423</v>
      </c>
      <c r="I70" s="111">
        <f>VLOOKUP(A70,黄金期货!A:B,2,FALSE)</f>
        <v>1972.2</v>
      </c>
      <c r="J70" s="106">
        <f>VLOOKUP(A70,Sheet2!A:C,3,FALSE)</f>
        <v>3460</v>
      </c>
      <c r="L70" s="112">
        <f t="shared" si="6"/>
        <v>0.0359281437125748</v>
      </c>
    </row>
    <row r="71" spans="1:12">
      <c r="A71" s="109">
        <v>44666</v>
      </c>
      <c r="B71" s="106">
        <f>VLOOKUP(A71,Sheet2!A:C,2,FALSE)</f>
        <v>122</v>
      </c>
      <c r="C71" s="106">
        <v>3580</v>
      </c>
      <c r="D71" s="106">
        <f>VLOOKUP(A71,Sheet4!A:C,2,FALSE)</f>
        <v>1209</v>
      </c>
      <c r="E71" s="106">
        <f>VLOOKUP(A71,Sheet5!A:B,2,FALSE)</f>
        <v>6.3712</v>
      </c>
      <c r="F71" s="106">
        <f>VLOOKUP(A71,Sheet6!A:B,2,FALSE)</f>
        <v>100.32</v>
      </c>
      <c r="G71" s="106">
        <f>G70</f>
        <v>106.38</v>
      </c>
      <c r="H71" s="106">
        <f>H70</f>
        <v>7.423</v>
      </c>
      <c r="I71" s="111">
        <f>I70</f>
        <v>1972.2</v>
      </c>
      <c r="J71" s="106">
        <f>VLOOKUP(A71,Sheet2!A:C,3,FALSE)</f>
        <v>3460</v>
      </c>
      <c r="L71" s="112">
        <f t="shared" si="6"/>
        <v>0</v>
      </c>
    </row>
    <row r="72" spans="1:12">
      <c r="A72" s="109">
        <v>44669</v>
      </c>
      <c r="B72" s="106">
        <f>VLOOKUP(A72,Sheet2!A:C,2,FALSE)</f>
        <v>121</v>
      </c>
      <c r="C72" s="106">
        <v>3580</v>
      </c>
      <c r="D72" s="106">
        <f>VLOOKUP(A72,Sheet4!A:C,2,FALSE)</f>
        <v>1209</v>
      </c>
      <c r="E72" s="106">
        <f>VLOOKUP(A72,Sheet5!A:B,2,FALSE)</f>
        <v>6.367</v>
      </c>
      <c r="F72" s="106">
        <f>VLOOKUP(A72,Sheet6!A:B,2,FALSE)</f>
        <v>100.78</v>
      </c>
      <c r="G72" s="106">
        <f>VLOOKUP(A72,WTI原油期货!A:B,2,FALSE)</f>
        <v>107.61</v>
      </c>
      <c r="H72" s="106">
        <f>VLOOKUP(A72,天然气期货!A:B,2,FALSE)</f>
        <v>7.958</v>
      </c>
      <c r="I72" s="111">
        <f>VLOOKUP(A72,黄金期货!A:B,2,FALSE)</f>
        <v>1983.6</v>
      </c>
      <c r="J72" s="106">
        <f>VLOOKUP(A72,Sheet2!A:C,3,FALSE)</f>
        <v>3460</v>
      </c>
      <c r="L72" s="112">
        <f t="shared" si="6"/>
        <v>0</v>
      </c>
    </row>
    <row r="73" spans="1:12">
      <c r="A73" s="109">
        <v>44670</v>
      </c>
      <c r="B73" s="106">
        <f>VLOOKUP(A73,Sheet2!A:C,2,FALSE)</f>
        <v>122</v>
      </c>
      <c r="C73" s="106">
        <v>3580</v>
      </c>
      <c r="D73" s="106">
        <f>VLOOKUP(A73,Sheet4!A:C,2,FALSE)</f>
        <v>1212</v>
      </c>
      <c r="E73" s="106">
        <f>VLOOKUP(A73,Sheet5!A:B,2,FALSE)</f>
        <v>6.3935</v>
      </c>
      <c r="F73" s="106">
        <f>VLOOKUP(A73,Sheet6!A:B,2,FALSE)</f>
        <v>100.96</v>
      </c>
      <c r="G73" s="106">
        <f>VLOOKUP(A73,WTI原油期货!A:B,2,FALSE)</f>
        <v>102.05</v>
      </c>
      <c r="H73" s="106">
        <f>VLOOKUP(A73,天然气期货!A:B,2,FALSE)</f>
        <v>7.277</v>
      </c>
      <c r="I73" s="111">
        <f>VLOOKUP(A73,黄金期货!A:B,2,FALSE)</f>
        <v>1956.3</v>
      </c>
      <c r="J73" s="106">
        <f>VLOOKUP(A73,Sheet2!A:C,3,FALSE)</f>
        <v>3470</v>
      </c>
      <c r="L73" s="112">
        <f t="shared" si="6"/>
        <v>0.00289017341040462</v>
      </c>
    </row>
    <row r="74" spans="1:12">
      <c r="A74" s="109">
        <v>44671</v>
      </c>
      <c r="B74" s="106">
        <f>VLOOKUP(A74,Sheet2!A:C,2,FALSE)</f>
        <v>123</v>
      </c>
      <c r="C74" s="106">
        <v>3580</v>
      </c>
      <c r="D74" s="106">
        <f>VLOOKUP(A74,Sheet4!A:C,2,FALSE)</f>
        <v>1210</v>
      </c>
      <c r="E74" s="106">
        <f>VLOOKUP(A74,Sheet5!A:B,2,FALSE)</f>
        <v>6.4192</v>
      </c>
      <c r="F74" s="106">
        <f>VLOOKUP(A74,Sheet6!A:B,2,FALSE)</f>
        <v>100.39</v>
      </c>
      <c r="G74" s="106">
        <f>VLOOKUP(A74,WTI原油期货!A:B,2,FALSE)</f>
        <v>102.19</v>
      </c>
      <c r="H74" s="106">
        <f>VLOOKUP(A74,天然气期货!A:B,2,FALSE)</f>
        <v>7.065</v>
      </c>
      <c r="I74" s="111">
        <f>VLOOKUP(A74,黄金期货!A:B,2,FALSE)</f>
        <v>1952.9</v>
      </c>
      <c r="J74" s="106">
        <f>VLOOKUP(A74,Sheet2!A:C,3,FALSE)</f>
        <v>3490</v>
      </c>
      <c r="L74" s="112">
        <f t="shared" si="6"/>
        <v>0.00576368876080692</v>
      </c>
    </row>
    <row r="75" spans="1:12">
      <c r="A75" s="109">
        <v>44672</v>
      </c>
      <c r="B75" s="106">
        <f>VLOOKUP(A75,Sheet2!A:C,2,FALSE)</f>
        <v>124</v>
      </c>
      <c r="C75" s="106">
        <v>3750</v>
      </c>
      <c r="D75" s="106">
        <f>VLOOKUP(A75,Sheet4!A:C,2,FALSE)</f>
        <v>1211</v>
      </c>
      <c r="E75" s="106">
        <f>VLOOKUP(A75,Sheet5!A:B,2,FALSE)</f>
        <v>6.4506</v>
      </c>
      <c r="F75" s="106">
        <f>VLOOKUP(A75,Sheet6!A:B,2,FALSE)</f>
        <v>100.58</v>
      </c>
      <c r="G75" s="106">
        <f>VLOOKUP(A75,WTI原油期货!A:B,2,FALSE)</f>
        <v>102.96</v>
      </c>
      <c r="H75" s="106">
        <f>VLOOKUP(A75,天然气期货!A:B,2,FALSE)</f>
        <v>7.096</v>
      </c>
      <c r="I75" s="111">
        <f>VLOOKUP(A75,黄金期货!A:B,2,FALSE)</f>
        <v>1945.4</v>
      </c>
      <c r="J75" s="106">
        <f>VLOOKUP(A75,Sheet2!A:C,3,FALSE)</f>
        <v>3520</v>
      </c>
      <c r="L75" s="112">
        <f t="shared" si="6"/>
        <v>0.00859598853868195</v>
      </c>
    </row>
    <row r="76" spans="1:12">
      <c r="A76" s="109">
        <v>44673</v>
      </c>
      <c r="B76" s="106">
        <f>VLOOKUP(A76,Sheet2!A:C,2,FALSE)</f>
        <v>125</v>
      </c>
      <c r="C76" s="106">
        <v>3750</v>
      </c>
      <c r="D76" s="106">
        <f>VLOOKUP(A76,Sheet4!A:C,2,FALSE)</f>
        <v>1212</v>
      </c>
      <c r="E76" s="106">
        <f>VLOOKUP(A76,Sheet5!A:B,2,FALSE)</f>
        <v>6.5013</v>
      </c>
      <c r="F76" s="106">
        <f>VLOOKUP(A76,Sheet6!A:B,2,FALSE)</f>
        <v>101.22</v>
      </c>
      <c r="G76" s="106">
        <f>VLOOKUP(A76,WTI原油期货!A:B,2,FALSE)</f>
        <v>101.05</v>
      </c>
      <c r="H76" s="106">
        <f>VLOOKUP(A76,天然气期货!A:B,2,FALSE)</f>
        <v>6.663</v>
      </c>
      <c r="I76" s="111">
        <f>VLOOKUP(A76,黄金期货!A:B,2,FALSE)</f>
        <v>1931.6</v>
      </c>
      <c r="J76" s="106">
        <f>VLOOKUP(A76,Sheet2!A:C,3,FALSE)</f>
        <v>3560</v>
      </c>
      <c r="L76" s="112">
        <f t="shared" si="6"/>
        <v>0.0113636363636364</v>
      </c>
    </row>
    <row r="77" spans="1:12">
      <c r="A77" s="109">
        <v>44675</v>
      </c>
      <c r="B77" s="106">
        <f>VLOOKUP(A77,Sheet2!A:C,2,FALSE)</f>
        <v>123</v>
      </c>
      <c r="C77" s="106">
        <v>3750</v>
      </c>
      <c r="D77" s="106">
        <f>VLOOKUP(A77,Sheet4!A:C,2,FALSE)</f>
        <v>1211</v>
      </c>
      <c r="E77" s="106">
        <f>E76</f>
        <v>6.5013</v>
      </c>
      <c r="F77" s="106">
        <f>F76</f>
        <v>101.22</v>
      </c>
      <c r="G77" s="106">
        <f>G76</f>
        <v>101.05</v>
      </c>
      <c r="H77" s="106">
        <f>H76</f>
        <v>6.663</v>
      </c>
      <c r="I77" s="111">
        <f>I76</f>
        <v>1931.6</v>
      </c>
      <c r="J77" s="106">
        <f>VLOOKUP(A77,Sheet2!A:C,3,FALSE)</f>
        <v>3560</v>
      </c>
      <c r="L77" s="112">
        <f t="shared" si="6"/>
        <v>0</v>
      </c>
    </row>
    <row r="78" spans="1:12">
      <c r="A78" s="109">
        <v>44676</v>
      </c>
      <c r="B78" s="106">
        <f>VLOOKUP(A78,Sheet2!A:C,2,FALSE)</f>
        <v>123</v>
      </c>
      <c r="C78" s="106">
        <v>3750</v>
      </c>
      <c r="D78" s="106">
        <f>VLOOKUP(A78,Sheet4!A:C,2,FALSE)</f>
        <v>1206</v>
      </c>
      <c r="E78" s="106">
        <f>VLOOKUP(A78,Sheet5!A:B,2,FALSE)</f>
        <v>6.5594</v>
      </c>
      <c r="F78" s="106">
        <f>VLOOKUP(A78,Sheet6!A:B,2,FALSE)</f>
        <v>101.75</v>
      </c>
      <c r="G78" s="106">
        <f>VLOOKUP(A78,WTI原油期货!A:B,2,FALSE)</f>
        <v>97.67</v>
      </c>
      <c r="H78" s="106">
        <f>VLOOKUP(A78,天然气期货!A:B,2,FALSE)</f>
        <v>6.805</v>
      </c>
      <c r="I78" s="111">
        <f>VLOOKUP(A78,黄金期货!A:B,2,FALSE)</f>
        <v>1893.3</v>
      </c>
      <c r="J78" s="106">
        <f>VLOOKUP(A78,Sheet2!A:C,3,FALSE)</f>
        <v>3585</v>
      </c>
      <c r="L78" s="112">
        <f t="shared" si="6"/>
        <v>0.00702247191011236</v>
      </c>
    </row>
    <row r="79" spans="1:12">
      <c r="A79" s="109">
        <v>44677</v>
      </c>
      <c r="B79" s="106">
        <f>VLOOKUP(A79,Sheet2!A:C,2,FALSE)</f>
        <v>121</v>
      </c>
      <c r="C79" s="106">
        <v>3750</v>
      </c>
      <c r="D79" s="106">
        <f>VLOOKUP(A79,Sheet4!A:C,2,FALSE)</f>
        <v>1203</v>
      </c>
      <c r="E79" s="106">
        <f>VLOOKUP(A79,Sheet5!A:B,2,FALSE)</f>
        <v>6.5566</v>
      </c>
      <c r="F79" s="106">
        <f>VLOOKUP(A79,Sheet6!A:B,2,FALSE)</f>
        <v>102.3</v>
      </c>
      <c r="G79" s="106">
        <f>VLOOKUP(A79,WTI原油期货!A:B,2,FALSE)</f>
        <v>100.41</v>
      </c>
      <c r="H79" s="106">
        <f>VLOOKUP(A79,天然气期货!A:B,2,FALSE)</f>
        <v>6.978</v>
      </c>
      <c r="I79" s="111">
        <f>VLOOKUP(A79,黄金期货!A:B,2,FALSE)</f>
        <v>1901.5</v>
      </c>
      <c r="J79" s="106">
        <f>VLOOKUP(A79,Sheet2!A:C,3,FALSE)</f>
        <v>3630</v>
      </c>
      <c r="L79" s="112">
        <f t="shared" si="6"/>
        <v>0.0125523012552301</v>
      </c>
    </row>
    <row r="80" spans="1:12">
      <c r="A80" s="109">
        <v>44678</v>
      </c>
      <c r="B80" s="106">
        <f>VLOOKUP(A80,Sheet2!A:C,2,FALSE)</f>
        <v>121</v>
      </c>
      <c r="C80" s="106">
        <v>3750</v>
      </c>
      <c r="D80" s="106">
        <f>VLOOKUP(A80,Sheet4!A:C,2,FALSE)</f>
        <v>1201</v>
      </c>
      <c r="E80" s="106">
        <f>VLOOKUP(A80,Sheet5!A:B,2,FALSE)</f>
        <v>6.5606</v>
      </c>
      <c r="F80" s="106">
        <f>VLOOKUP(A80,Sheet6!A:B,2,FALSE)</f>
        <v>102.95</v>
      </c>
      <c r="G80" s="106">
        <f>VLOOKUP(A80,WTI原油期货!A:B,2,FALSE)</f>
        <v>100.68</v>
      </c>
      <c r="H80" s="106">
        <f>VLOOKUP(A80,天然气期货!A:B,2,FALSE)</f>
        <v>7.339</v>
      </c>
      <c r="I80" s="111">
        <f>VLOOKUP(A80,黄金期货!A:B,2,FALSE)</f>
        <v>1885.8</v>
      </c>
      <c r="J80" s="106">
        <f>VLOOKUP(A80,Sheet2!A:C,3,FALSE)</f>
        <v>3680</v>
      </c>
      <c r="L80" s="112">
        <f t="shared" si="6"/>
        <v>0.0137741046831956</v>
      </c>
    </row>
    <row r="81" spans="1:12">
      <c r="A81" s="109">
        <v>44679</v>
      </c>
      <c r="B81" s="106">
        <f>VLOOKUP(A81,Sheet2!A:C,2,FALSE)</f>
        <v>118</v>
      </c>
      <c r="C81" s="106">
        <v>3750</v>
      </c>
      <c r="D81" s="106">
        <f>VLOOKUP(A81,Sheet4!A:C,2,FALSE)</f>
        <v>1202</v>
      </c>
      <c r="E81" s="106">
        <f>VLOOKUP(A81,Sheet5!A:B,2,FALSE)</f>
        <v>6.626</v>
      </c>
      <c r="F81" s="106">
        <f>VLOOKUP(A81,Sheet6!A:B,2,FALSE)</f>
        <v>103.62</v>
      </c>
      <c r="G81" s="106">
        <f>VLOOKUP(A81,WTI原油期货!A:B,2,FALSE)</f>
        <v>103.47</v>
      </c>
      <c r="H81" s="106">
        <f>VLOOKUP(A81,天然气期货!A:B,2,FALSE)</f>
        <v>6.994</v>
      </c>
      <c r="I81" s="111">
        <f>VLOOKUP(A81,黄金期货!A:B,2,FALSE)</f>
        <v>1891.3</v>
      </c>
      <c r="J81" s="106">
        <f>VLOOKUP(A81,Sheet2!A:C,3,FALSE)</f>
        <v>3750</v>
      </c>
      <c r="L81" s="112">
        <f t="shared" si="6"/>
        <v>0.0190217391304348</v>
      </c>
    </row>
    <row r="82" spans="1:12">
      <c r="A82" s="109">
        <v>44680</v>
      </c>
      <c r="B82" s="106">
        <f>VLOOKUP(A82,Sheet2!A:C,2,FALSE)</f>
        <v>118</v>
      </c>
      <c r="C82" s="106">
        <v>3750</v>
      </c>
      <c r="D82" s="106">
        <f>VLOOKUP(A82,Sheet4!A:C,2,FALSE)</f>
        <v>1205</v>
      </c>
      <c r="E82" s="106">
        <f>VLOOKUP(A82,Sheet5!A:B,2,FALSE)</f>
        <v>6.6085</v>
      </c>
      <c r="F82" s="106">
        <f>VLOOKUP(A82,Sheet6!A:B,2,FALSE)</f>
        <v>102.96</v>
      </c>
      <c r="G82" s="106">
        <f>VLOOKUP(A82,WTI原油期货!A:B,2,FALSE)</f>
        <v>102.94</v>
      </c>
      <c r="H82" s="106">
        <f>VLOOKUP(A82,天然气期货!A:B,2,FALSE)</f>
        <v>7.355</v>
      </c>
      <c r="I82" s="111">
        <f>VLOOKUP(A82,黄金期货!A:B,2,FALSE)</f>
        <v>1911.7</v>
      </c>
      <c r="J82" s="106">
        <f>VLOOKUP(A82,Sheet2!A:C,3,FALSE)</f>
        <v>3870</v>
      </c>
      <c r="L82" s="112">
        <f t="shared" si="6"/>
        <v>0.032</v>
      </c>
    </row>
    <row r="83" spans="1:12">
      <c r="A83" s="109">
        <v>44686</v>
      </c>
      <c r="B83" s="106">
        <f>VLOOKUP(A83,Sheet2!A:C,2,FALSE)</f>
        <v>126</v>
      </c>
      <c r="C83" s="106">
        <v>3800</v>
      </c>
      <c r="D83" s="106">
        <f>VLOOKUP(A83,Sheet4!A:C,2,FALSE)</f>
        <v>1207</v>
      </c>
      <c r="E83" s="106">
        <f>VLOOKUP(A83,Sheet5!A:B,2,FALSE)</f>
        <v>6.6558</v>
      </c>
      <c r="F83" s="106">
        <f>VLOOKUP(A83,Sheet6!A:B,2,FALSE)</f>
        <v>103.75</v>
      </c>
      <c r="G83" s="106">
        <f>VLOOKUP(A83,WTI原油期货!A:B,2,FALSE)</f>
        <v>106.74</v>
      </c>
      <c r="H83" s="106">
        <f>VLOOKUP(A83,天然气期货!A:B,2,FALSE)</f>
        <v>8.841</v>
      </c>
      <c r="I83" s="111">
        <f>VLOOKUP(A83,黄金期货!A:B,2,FALSE)</f>
        <v>1875.7</v>
      </c>
      <c r="J83" s="106">
        <f>VLOOKUP(A83,Sheet2!A:C,3,FALSE)</f>
        <v>3930</v>
      </c>
      <c r="L83" s="112">
        <f t="shared" si="6"/>
        <v>0.0155038759689922</v>
      </c>
    </row>
    <row r="84" spans="1:12">
      <c r="A84" s="109">
        <v>44687</v>
      </c>
      <c r="B84" s="106">
        <f>VLOOKUP(A84,Sheet2!A:C,2,FALSE)</f>
        <v>125</v>
      </c>
      <c r="C84" s="106">
        <v>3800</v>
      </c>
      <c r="D84" s="106">
        <f>VLOOKUP(A84,Sheet4!A:C,2,FALSE)</f>
        <v>1208</v>
      </c>
      <c r="E84" s="106">
        <f>VLOOKUP(A84,Sheet5!A:B,2,FALSE)</f>
        <v>6.6666</v>
      </c>
      <c r="F84" s="106">
        <f>VLOOKUP(A84,Sheet6!A:B,2,FALSE)</f>
        <v>103.66</v>
      </c>
      <c r="G84" s="106">
        <f>VLOOKUP(A84,WTI原油期货!A:B,2,FALSE)</f>
        <v>108.33</v>
      </c>
      <c r="H84" s="106">
        <f>VLOOKUP(A84,天然气期货!A:B,2,FALSE)</f>
        <v>8.128</v>
      </c>
      <c r="I84" s="111">
        <f>VLOOKUP(A84,黄金期货!A:B,2,FALSE)</f>
        <v>1882.8</v>
      </c>
      <c r="J84" s="106">
        <f>VLOOKUP(A84,Sheet2!A:C,3,FALSE)</f>
        <v>3950</v>
      </c>
      <c r="L84" s="112">
        <f t="shared" si="6"/>
        <v>0.00508905852417303</v>
      </c>
    </row>
    <row r="85" spans="1:12">
      <c r="A85" s="109">
        <v>44688</v>
      </c>
      <c r="B85" s="106">
        <f>VLOOKUP(A85,Sheet2!A:C,2,FALSE)</f>
        <v>130</v>
      </c>
      <c r="C85" s="106">
        <v>3800</v>
      </c>
      <c r="D85" s="106">
        <f>VLOOKUP(A85,Sheet4!A:C,2,FALSE)</f>
        <v>1208</v>
      </c>
      <c r="E85" s="106">
        <f>E84</f>
        <v>6.6666</v>
      </c>
      <c r="F85" s="106">
        <f>F84</f>
        <v>103.66</v>
      </c>
      <c r="G85" s="106">
        <f>G84</f>
        <v>108.33</v>
      </c>
      <c r="H85" s="106">
        <f>H84</f>
        <v>8.128</v>
      </c>
      <c r="I85" s="111">
        <f>I84</f>
        <v>1882.8</v>
      </c>
      <c r="J85" s="106">
        <f>VLOOKUP(A85,Sheet2!A:C,3,FALSE)</f>
        <v>3960</v>
      </c>
      <c r="L85" s="112">
        <f t="shared" si="6"/>
        <v>0.00253164556962025</v>
      </c>
    </row>
    <row r="86" spans="1:12">
      <c r="A86" s="109">
        <v>44690</v>
      </c>
      <c r="B86" s="106">
        <f>VLOOKUP(A86,Sheet2!A:C,2,FALSE)</f>
        <v>130</v>
      </c>
      <c r="C86" s="106">
        <v>3800</v>
      </c>
      <c r="D86" s="106">
        <f>VLOOKUP(A86,Sheet4!A:C,2,FALSE)</f>
        <v>1206</v>
      </c>
      <c r="E86" s="106">
        <f>VLOOKUP(A86,Sheet5!A:B,2,FALSE)</f>
        <v>6.7308</v>
      </c>
      <c r="F86" s="106">
        <f>VLOOKUP(A86,Sheet6!A:B,2,FALSE)</f>
        <v>103.65</v>
      </c>
      <c r="G86" s="106">
        <f>VLOOKUP(A86,WTI原油期货!A:B,2,FALSE)</f>
        <v>101.77</v>
      </c>
      <c r="H86" s="106">
        <f>VLOOKUP(A86,天然气期货!A:B,2,FALSE)</f>
        <v>7.106</v>
      </c>
      <c r="I86" s="111">
        <f>VLOOKUP(A86,黄金期货!A:B,2,FALSE)</f>
        <v>1858.6</v>
      </c>
      <c r="J86" s="106">
        <f>VLOOKUP(A86,Sheet2!A:C,3,FALSE)</f>
        <v>4000</v>
      </c>
      <c r="L86" s="112">
        <f t="shared" si="6"/>
        <v>0.0101010101010101</v>
      </c>
    </row>
    <row r="87" spans="1:12">
      <c r="A87" s="109">
        <v>44691</v>
      </c>
      <c r="B87" s="106">
        <f>VLOOKUP(A87,Sheet2!A:C,2,FALSE)</f>
        <v>130</v>
      </c>
      <c r="C87" s="106">
        <v>3950</v>
      </c>
      <c r="D87" s="106">
        <f>VLOOKUP(A87,Sheet4!A:C,2,FALSE)</f>
        <v>1202</v>
      </c>
      <c r="E87" s="106">
        <f>VLOOKUP(A87,Sheet5!A:B,2,FALSE)</f>
        <v>6.7347</v>
      </c>
      <c r="F87" s="106">
        <f>VLOOKUP(A87,Sheet6!A:B,2,FALSE)</f>
        <v>103.92</v>
      </c>
      <c r="G87" s="106">
        <f>VLOOKUP(A87,WTI原油期货!A:B,2,FALSE)</f>
        <v>98.45</v>
      </c>
      <c r="H87" s="106">
        <f>VLOOKUP(A87,天然气期货!A:B,2,FALSE)</f>
        <v>7.467</v>
      </c>
      <c r="I87" s="111">
        <f>VLOOKUP(A87,黄金期货!A:B,2,FALSE)</f>
        <v>1841</v>
      </c>
      <c r="J87" s="106">
        <f>VLOOKUP(A87,Sheet2!A:C,3,FALSE)</f>
        <v>4050</v>
      </c>
      <c r="L87" s="112">
        <f t="shared" si="6"/>
        <v>0.0125</v>
      </c>
    </row>
    <row r="88" spans="1:12">
      <c r="A88" s="109">
        <v>44692</v>
      </c>
      <c r="B88" s="106">
        <f>VLOOKUP(A88,Sheet2!A:C,2,FALSE)</f>
        <v>131</v>
      </c>
      <c r="C88" s="106">
        <v>3950</v>
      </c>
      <c r="D88" s="106">
        <f>VLOOKUP(A88,Sheet4!A:C,2,FALSE)</f>
        <v>1200</v>
      </c>
      <c r="E88" s="106">
        <f>VLOOKUP(A88,Sheet5!A:B,2,FALSE)</f>
        <v>6.7211</v>
      </c>
      <c r="F88" s="106">
        <f>VLOOKUP(A88,Sheet6!A:B,2,FALSE)</f>
        <v>103.85</v>
      </c>
      <c r="G88" s="106">
        <f>VLOOKUP(A88,WTI原油期货!A:B,2,FALSE)</f>
        <v>104.03</v>
      </c>
      <c r="H88" s="106">
        <f>VLOOKUP(A88,天然气期货!A:B,2,FALSE)</f>
        <v>7.727</v>
      </c>
      <c r="I88" s="111">
        <f>VLOOKUP(A88,黄金期货!A:B,2,FALSE)</f>
        <v>1853.7</v>
      </c>
      <c r="J88" s="106">
        <f>VLOOKUP(A88,Sheet2!A:C,3,FALSE)</f>
        <v>4100</v>
      </c>
      <c r="L88" s="112">
        <f t="shared" si="6"/>
        <v>0.0123456790123457</v>
      </c>
    </row>
    <row r="89" spans="1:12">
      <c r="A89" s="109">
        <v>44693</v>
      </c>
      <c r="B89" s="106">
        <f>VLOOKUP(A89,Sheet2!A:C,2,FALSE)</f>
        <v>140</v>
      </c>
      <c r="C89" s="106">
        <v>3950</v>
      </c>
      <c r="D89" s="106">
        <f>VLOOKUP(A89,Sheet4!A:C,2,FALSE)</f>
        <v>1201</v>
      </c>
      <c r="E89" s="106">
        <f>VLOOKUP(A89,Sheet5!A:B,2,FALSE)</f>
        <v>6.787</v>
      </c>
      <c r="F89" s="106">
        <f>VLOOKUP(A89,Sheet6!A:B,2,FALSE)</f>
        <v>104.85</v>
      </c>
      <c r="G89" s="106">
        <f>VLOOKUP(A89,WTI原油期货!A:B,2,FALSE)</f>
        <v>104.4</v>
      </c>
      <c r="H89" s="106">
        <f>VLOOKUP(A89,天然气期货!A:B,2,FALSE)</f>
        <v>7.835</v>
      </c>
      <c r="I89" s="111">
        <f>VLOOKUP(A89,黄金期货!A:B,2,FALSE)</f>
        <v>1824.6</v>
      </c>
      <c r="J89" s="106">
        <f>VLOOKUP(A89,Sheet2!A:C,3,FALSE)</f>
        <v>4100</v>
      </c>
      <c r="L89" s="112">
        <f t="shared" si="6"/>
        <v>0</v>
      </c>
    </row>
    <row r="90" spans="1:12">
      <c r="A90" s="109">
        <v>44694</v>
      </c>
      <c r="B90" s="106">
        <f>VLOOKUP(A90,Sheet2!A:C,2,FALSE)</f>
        <v>139</v>
      </c>
      <c r="C90" s="106">
        <v>3950</v>
      </c>
      <c r="D90" s="106">
        <f>VLOOKUP(A90,Sheet4!A:C,2,FALSE)</f>
        <v>1201</v>
      </c>
      <c r="E90" s="106">
        <f>VLOOKUP(A90,Sheet5!A:B,2,FALSE)</f>
        <v>6.789</v>
      </c>
      <c r="F90" s="106">
        <f>VLOOKUP(A90,Sheet6!A:B,2,FALSE)</f>
        <v>104.56</v>
      </c>
      <c r="G90" s="106">
        <f>VLOOKUP(A90,WTI原油期货!A:B,2,FALSE)</f>
        <v>108.63</v>
      </c>
      <c r="H90" s="106">
        <f>VLOOKUP(A90,天然气期货!A:B,2,FALSE)</f>
        <v>7.765</v>
      </c>
      <c r="I90" s="111">
        <f>VLOOKUP(A90,黄金期货!A:B,2,FALSE)</f>
        <v>1808.2</v>
      </c>
      <c r="J90" s="106">
        <f>VLOOKUP(A90,Sheet2!A:C,3,FALSE)</f>
        <v>4100</v>
      </c>
      <c r="L90" s="112">
        <f t="shared" si="6"/>
        <v>0</v>
      </c>
    </row>
    <row r="91" spans="1:12">
      <c r="A91" s="109">
        <v>44697</v>
      </c>
      <c r="B91" s="106">
        <f>VLOOKUP(A91,Sheet2!A:C,2,FALSE)</f>
        <v>142</v>
      </c>
      <c r="C91" s="106">
        <v>3950</v>
      </c>
      <c r="D91" s="106">
        <f>VLOOKUP(A91,Sheet4!A:C,2,FALSE)</f>
        <v>1200</v>
      </c>
      <c r="E91" s="106">
        <f>VLOOKUP(A91,Sheet5!A:B,2,FALSE)</f>
        <v>6.7862</v>
      </c>
      <c r="F91" s="106">
        <f>VLOOKUP(A91,Sheet6!A:B,2,FALSE)</f>
        <v>104.19</v>
      </c>
      <c r="G91" s="106">
        <f>VLOOKUP(A91,WTI原油期货!A:B,2,FALSE)</f>
        <v>111.82</v>
      </c>
      <c r="H91" s="106">
        <f>VLOOKUP(A91,天然气期货!A:B,2,FALSE)</f>
        <v>8.053</v>
      </c>
      <c r="I91" s="111">
        <f>VLOOKUP(A91,黄金期货!A:B,2,FALSE)</f>
        <v>1814</v>
      </c>
      <c r="J91" s="106">
        <f>VLOOKUP(A91,Sheet2!A:C,3,FALSE)</f>
        <v>4100</v>
      </c>
      <c r="L91" s="112">
        <f t="shared" si="6"/>
        <v>0</v>
      </c>
    </row>
    <row r="92" spans="1:12">
      <c r="A92" s="109">
        <v>44698</v>
      </c>
      <c r="B92" s="106">
        <f>VLOOKUP(A92,Sheet2!A:C,2,FALSE)</f>
        <v>140</v>
      </c>
      <c r="C92" s="106">
        <v>3950</v>
      </c>
      <c r="D92" s="106">
        <f>VLOOKUP(A92,Sheet4!A:C,2,FALSE)</f>
        <v>1201</v>
      </c>
      <c r="E92" s="106">
        <f>VLOOKUP(A92,Sheet5!A:B,2,FALSE)</f>
        <v>6.7377</v>
      </c>
      <c r="F92" s="106">
        <f>VLOOKUP(A92,Sheet6!A:B,2,FALSE)</f>
        <v>103.36</v>
      </c>
      <c r="G92" s="106">
        <f>VLOOKUP(A92,WTI原油期货!A:B,2,FALSE)</f>
        <v>109.63</v>
      </c>
      <c r="H92" s="106">
        <f>VLOOKUP(A92,天然气期货!A:B,2,FALSE)</f>
        <v>8.394</v>
      </c>
      <c r="I92" s="111">
        <f>VLOOKUP(A92,黄金期货!A:B,2,FALSE)</f>
        <v>1818.9</v>
      </c>
      <c r="J92" s="106">
        <f>VLOOKUP(A92,Sheet2!A:C,3,FALSE)</f>
        <v>4085</v>
      </c>
      <c r="L92" s="112">
        <f t="shared" si="6"/>
        <v>-0.00365853658536585</v>
      </c>
    </row>
    <row r="93" spans="1:12">
      <c r="A93" s="109">
        <v>44699</v>
      </c>
      <c r="B93" s="106">
        <f>VLOOKUP(A93,Sheet2!A:C,2,FALSE)</f>
        <v>137</v>
      </c>
      <c r="C93" s="106">
        <v>3950</v>
      </c>
      <c r="D93" s="106">
        <f>VLOOKUP(A93,Sheet4!A:C,2,FALSE)</f>
        <v>1201</v>
      </c>
      <c r="E93" s="106">
        <f>VLOOKUP(A93,Sheet5!A:B,2,FALSE)</f>
        <v>6.7545</v>
      </c>
      <c r="F93" s="106">
        <f>VLOOKUP(A93,Sheet6!A:B,2,FALSE)</f>
        <v>103.81</v>
      </c>
      <c r="G93" s="106">
        <f>VLOOKUP(A93,WTI原油期货!A:B,2,FALSE)</f>
        <v>107.04</v>
      </c>
      <c r="H93" s="106">
        <f>VLOOKUP(A93,天然气期货!A:B,2,FALSE)</f>
        <v>8.455</v>
      </c>
      <c r="I93" s="111">
        <f>VLOOKUP(A93,黄金期货!A:B,2,FALSE)</f>
        <v>1815.9</v>
      </c>
      <c r="J93" s="106">
        <f>VLOOKUP(A93,Sheet2!A:C,3,FALSE)</f>
        <v>4085</v>
      </c>
      <c r="L93" s="112">
        <f t="shared" si="6"/>
        <v>0</v>
      </c>
    </row>
    <row r="94" spans="1:12">
      <c r="A94" s="109">
        <v>44700</v>
      </c>
      <c r="B94" s="106">
        <f>VLOOKUP(A94,Sheet2!A:C,2,FALSE)</f>
        <v>140</v>
      </c>
      <c r="C94" s="106">
        <v>3950</v>
      </c>
      <c r="D94" s="106">
        <f>VLOOKUP(A94,Sheet4!A:C,2,FALSE)</f>
        <v>1199</v>
      </c>
      <c r="E94" s="106">
        <f>VLOOKUP(A94,Sheet5!A:B,2,FALSE)</f>
        <v>6.7125</v>
      </c>
      <c r="F94" s="106">
        <f>VLOOKUP(A94,Sheet6!A:B,2,FALSE)</f>
        <v>102.72</v>
      </c>
      <c r="G94" s="106">
        <f>VLOOKUP(A94,WTI原油期货!A:B,2,FALSE)</f>
        <v>109.89</v>
      </c>
      <c r="H94" s="106">
        <f>VLOOKUP(A94,天然气期货!A:B,2,FALSE)</f>
        <v>8.4</v>
      </c>
      <c r="I94" s="111">
        <f>VLOOKUP(A94,黄金期货!A:B,2,FALSE)</f>
        <v>1841.2</v>
      </c>
      <c r="J94" s="106">
        <f>VLOOKUP(A94,Sheet2!A:C,3,FALSE)</f>
        <v>4085</v>
      </c>
      <c r="L94" s="112">
        <f t="shared" si="6"/>
        <v>0</v>
      </c>
    </row>
    <row r="95" spans="1:12">
      <c r="A95" s="109">
        <v>44701</v>
      </c>
      <c r="B95" s="106">
        <f>VLOOKUP(A95,Sheet2!A:C,2,FALSE)</f>
        <v>139</v>
      </c>
      <c r="C95" s="106">
        <v>3950</v>
      </c>
      <c r="D95" s="106">
        <f>VLOOKUP(A95,Sheet4!A:C,2,FALSE)</f>
        <v>1199</v>
      </c>
      <c r="E95" s="106">
        <f>VLOOKUP(A95,Sheet5!A:B,2,FALSE)</f>
        <v>6.693</v>
      </c>
      <c r="F95" s="106">
        <f>VLOOKUP(A95,Sheet6!A:B,2,FALSE)</f>
        <v>103.15</v>
      </c>
      <c r="G95" s="106">
        <f>VLOOKUP(A95,WTI原油期货!A:B,2,FALSE)</f>
        <v>110.28</v>
      </c>
      <c r="H95" s="106">
        <f>VLOOKUP(A95,天然气期货!A:B,2,FALSE)</f>
        <v>8.178</v>
      </c>
      <c r="I95" s="111">
        <f>VLOOKUP(A95,黄金期货!A:B,2,FALSE)</f>
        <v>1842.1</v>
      </c>
      <c r="J95" s="106">
        <f>VLOOKUP(A95,Sheet2!A:C,3,FALSE)</f>
        <v>4080</v>
      </c>
      <c r="L95" s="112">
        <f t="shared" si="6"/>
        <v>-0.00122399020807834</v>
      </c>
    </row>
    <row r="96" spans="1:12">
      <c r="A96" s="109">
        <v>44704</v>
      </c>
      <c r="B96" s="106">
        <f>VLOOKUP(A96,Sheet2!A:C,2,FALSE)</f>
        <v>136</v>
      </c>
      <c r="C96" s="106">
        <v>3950</v>
      </c>
      <c r="D96" s="106">
        <f>VLOOKUP(A96,Sheet4!A:C,2,FALSE)</f>
        <v>1200</v>
      </c>
      <c r="E96" s="106">
        <f>VLOOKUP(A96,Sheet5!A:B,2,FALSE)</f>
        <v>6.6508</v>
      </c>
      <c r="F96" s="106">
        <f>VLOOKUP(A96,Sheet6!A:B,2,FALSE)</f>
        <v>102.08</v>
      </c>
      <c r="G96" s="106">
        <f>VLOOKUP(A96,WTI原油期货!A:B,2,FALSE)</f>
        <v>107.54</v>
      </c>
      <c r="H96" s="106">
        <f>VLOOKUP(A96,天然气期货!A:B,2,FALSE)</f>
        <v>8.827</v>
      </c>
      <c r="I96" s="111">
        <f>VLOOKUP(A96,黄金期货!A:B,2,FALSE)</f>
        <v>1847.8</v>
      </c>
      <c r="J96" s="106">
        <f>VLOOKUP(A96,Sheet2!A:C,3,FALSE)</f>
        <v>4050</v>
      </c>
      <c r="L96" s="112">
        <f t="shared" si="6"/>
        <v>-0.00735294117647059</v>
      </c>
    </row>
    <row r="97" spans="1:12">
      <c r="A97" s="109">
        <v>44705</v>
      </c>
      <c r="B97" s="106">
        <f>VLOOKUP(A97,Sheet2!A:C,2,FALSE)</f>
        <v>136</v>
      </c>
      <c r="C97" s="106">
        <v>3950</v>
      </c>
      <c r="D97" s="106">
        <f>VLOOKUP(A97,Sheet4!A:C,2,FALSE)</f>
        <v>1201</v>
      </c>
      <c r="E97" s="106">
        <f>VLOOKUP(A97,Sheet5!A:B,2,FALSE)</f>
        <v>6.6538</v>
      </c>
      <c r="F97" s="106">
        <f>VLOOKUP(A97,Sheet6!A:B,2,FALSE)</f>
        <v>101.86</v>
      </c>
      <c r="G97" s="106">
        <f>VLOOKUP(A97,WTI原油期货!A:B,2,FALSE)</f>
        <v>107.2</v>
      </c>
      <c r="H97" s="106">
        <f>VLOOKUP(A97,天然气期货!A:B,2,FALSE)</f>
        <v>8.836</v>
      </c>
      <c r="I97" s="111">
        <f>VLOOKUP(A97,黄金期货!A:B,2,FALSE)</f>
        <v>1865.4</v>
      </c>
      <c r="J97" s="106">
        <f>VLOOKUP(A97,Sheet2!A:C,3,FALSE)</f>
        <v>4030</v>
      </c>
      <c r="L97" s="112">
        <f t="shared" si="6"/>
        <v>-0.00493827160493827</v>
      </c>
    </row>
    <row r="98" spans="1:12">
      <c r="A98" s="109">
        <v>44706</v>
      </c>
      <c r="B98" s="106">
        <f>VLOOKUP(A98,Sheet2!A:C,2,FALSE)</f>
        <v>134</v>
      </c>
      <c r="C98" s="106">
        <v>3950</v>
      </c>
      <c r="D98" s="106">
        <f>VLOOKUP(A98,Sheet4!A:C,2,FALSE)</f>
        <v>1198</v>
      </c>
      <c r="E98" s="106">
        <f>VLOOKUP(A98,Sheet5!A:B,2,FALSE)</f>
        <v>6.6928</v>
      </c>
      <c r="F98" s="106">
        <f>VLOOKUP(A98,Sheet6!A:B,2,FALSE)</f>
        <v>102.06</v>
      </c>
      <c r="G98" s="106">
        <f>VLOOKUP(A98,WTI原油期货!A:B,2,FALSE)</f>
        <v>107.75</v>
      </c>
      <c r="H98" s="106">
        <f>VLOOKUP(A98,天然气期货!A:B,2,FALSE)</f>
        <v>8.993</v>
      </c>
      <c r="I98" s="111">
        <f>VLOOKUP(A98,黄金期货!A:B,2,FALSE)</f>
        <v>1846.3</v>
      </c>
      <c r="J98" s="106">
        <f>VLOOKUP(A98,Sheet2!A:C,3,FALSE)</f>
        <v>4020</v>
      </c>
      <c r="L98" s="112">
        <f t="shared" si="6"/>
        <v>-0.00248138957816377</v>
      </c>
    </row>
    <row r="99" spans="1:12">
      <c r="A99" s="109">
        <v>44707</v>
      </c>
      <c r="B99" s="106">
        <f>VLOOKUP(A99,Sheet2!A:C,2,FALSE)</f>
        <v>131</v>
      </c>
      <c r="C99" s="106">
        <v>3950</v>
      </c>
      <c r="D99" s="106">
        <f>VLOOKUP(A99,Sheet4!A:C,2,FALSE)</f>
        <v>1195</v>
      </c>
      <c r="E99" s="106">
        <f>VLOOKUP(A99,Sheet5!A:B,2,FALSE)</f>
        <v>6.7389</v>
      </c>
      <c r="F99" s="106">
        <f>VLOOKUP(A99,Sheet6!A:B,2,FALSE)</f>
        <v>101.83</v>
      </c>
      <c r="G99" s="106">
        <f>VLOOKUP(A99,WTI原油期货!A:B,2,FALSE)</f>
        <v>111.25</v>
      </c>
      <c r="H99" s="106">
        <f>VLOOKUP(A99,天然气期货!A:B,2,FALSE)</f>
        <v>8.895</v>
      </c>
      <c r="I99" s="111">
        <f>VLOOKUP(A99,黄金期货!A:B,2,FALSE)</f>
        <v>1847.6</v>
      </c>
      <c r="J99" s="106">
        <f>VLOOKUP(A99,Sheet2!A:C,3,FALSE)</f>
        <v>4020</v>
      </c>
      <c r="L99" s="112">
        <f t="shared" si="6"/>
        <v>0</v>
      </c>
    </row>
    <row r="100" spans="1:12">
      <c r="A100" s="109">
        <v>44708</v>
      </c>
      <c r="B100" s="106">
        <f>VLOOKUP(A100,Sheet2!A:C,2,FALSE)</f>
        <v>129</v>
      </c>
      <c r="C100" s="106">
        <v>3950</v>
      </c>
      <c r="D100" s="106">
        <f>VLOOKUP(A100,Sheet4!A:C,2,FALSE)</f>
        <v>1196</v>
      </c>
      <c r="E100" s="106">
        <f>VLOOKUP(A100,Sheet5!A:B,2,FALSE)</f>
        <v>6.6986</v>
      </c>
      <c r="F100" s="106">
        <f>VLOOKUP(A100,Sheet6!A:B,2,FALSE)</f>
        <v>101.67</v>
      </c>
      <c r="G100" s="106">
        <f>VLOOKUP(A100,WTI原油期货!A:B,2,FALSE)</f>
        <v>112.23</v>
      </c>
      <c r="H100" s="106">
        <f>VLOOKUP(A100,天然气期货!A:B,2,FALSE)</f>
        <v>8.712</v>
      </c>
      <c r="I100" s="111">
        <f>VLOOKUP(A100,黄金期货!A:B,2,FALSE)</f>
        <v>1854</v>
      </c>
      <c r="J100" s="106">
        <f>VLOOKUP(A100,Sheet2!A:C,3,FALSE)</f>
        <v>4000</v>
      </c>
      <c r="L100" s="112">
        <f t="shared" si="6"/>
        <v>-0.00497512437810945</v>
      </c>
    </row>
    <row r="101" spans="1:12">
      <c r="A101" s="109">
        <v>44711</v>
      </c>
      <c r="B101" s="106">
        <f>VLOOKUP(A101,Sheet2!A:C,2,FALSE)</f>
        <v>127</v>
      </c>
      <c r="C101" s="106">
        <v>3950</v>
      </c>
      <c r="D101" s="106">
        <f>VLOOKUP(A101,Sheet4!A:C,2,FALSE)</f>
        <v>1197</v>
      </c>
      <c r="E101" s="106">
        <f>VLOOKUP(A101,Sheet5!A:B,2,FALSE)</f>
        <v>6.6606</v>
      </c>
      <c r="F101" s="106">
        <f>VLOOKUP(A101,Sheet6!A:B,2,FALSE)</f>
        <v>101.67</v>
      </c>
      <c r="G101" s="106">
        <f>VLOOKUP(A101,WTI原油期货!A:B,2,FALSE)</f>
        <v>117.61</v>
      </c>
      <c r="H101" s="106">
        <f>VLOOKUP(A101,天然气期货!A:B,2,FALSE)</f>
        <v>8.686</v>
      </c>
      <c r="I101" s="111">
        <f>VLOOKUP(A101,黄金期货!A:B,2,FALSE)</f>
        <v>1848.4</v>
      </c>
      <c r="J101" s="106">
        <f>VLOOKUP(A101,Sheet2!A:C,3,FALSE)</f>
        <v>4000</v>
      </c>
      <c r="L101" s="112">
        <f t="shared" si="6"/>
        <v>0</v>
      </c>
    </row>
    <row r="102" spans="1:12">
      <c r="A102" s="109">
        <v>44712</v>
      </c>
      <c r="B102" s="106">
        <f>VLOOKUP(A102,Sheet2!A:C,2,FALSE)</f>
        <v>130</v>
      </c>
      <c r="C102" s="106">
        <v>3950</v>
      </c>
      <c r="D102" s="106">
        <f>VLOOKUP(A102,Sheet4!A:C,2,FALSE)</f>
        <v>1198</v>
      </c>
      <c r="E102" s="106">
        <f>VLOOKUP(A102,Sheet5!A:B,2,FALSE)</f>
        <v>6.672</v>
      </c>
      <c r="F102" s="106">
        <f>VLOOKUP(A102,Sheet6!A:B,2,FALSE)</f>
        <v>101.75</v>
      </c>
      <c r="G102" s="106">
        <f>VLOOKUP(A102,WTI原油期货!A:B,2,FALSE)</f>
        <v>111.91</v>
      </c>
      <c r="H102" s="106">
        <f>VLOOKUP(A102,天然气期货!A:B,2,FALSE)</f>
        <v>8.138</v>
      </c>
      <c r="I102" s="111">
        <f>VLOOKUP(A102,黄金期货!A:B,2,FALSE)</f>
        <v>1845.2</v>
      </c>
      <c r="J102" s="106">
        <f>VLOOKUP(A102,Sheet2!A:C,3,FALSE)</f>
        <v>3990</v>
      </c>
      <c r="L102" s="112">
        <f t="shared" si="6"/>
        <v>-0.0025</v>
      </c>
    </row>
    <row r="103" spans="1:12">
      <c r="A103" s="109">
        <v>44713</v>
      </c>
      <c r="B103" s="106">
        <f>VLOOKUP(A103,Sheet2!A:C,2,FALSE)</f>
        <v>133</v>
      </c>
      <c r="C103" s="106">
        <v>3950</v>
      </c>
      <c r="D103" s="106">
        <f>VLOOKUP(A103,Sheet4!A:C,2,FALSE)</f>
        <v>1198</v>
      </c>
      <c r="E103" s="106">
        <f>VLOOKUP(A103,Sheet5!A:B,2,FALSE)</f>
        <v>6.6864</v>
      </c>
      <c r="F103" s="106">
        <f>VLOOKUP(A103,Sheet6!A:B,2,FALSE)</f>
        <v>102.5</v>
      </c>
      <c r="G103" s="106">
        <f>VLOOKUP(A103,WTI原油期货!A:B,2,FALSE)</f>
        <v>112.72</v>
      </c>
      <c r="H103" s="106">
        <f>VLOOKUP(A103,天然气期货!A:B,2,FALSE)</f>
        <v>8.686</v>
      </c>
      <c r="I103" s="111">
        <f>VLOOKUP(A103,黄金期货!A:B,2,FALSE)</f>
        <v>1845.8</v>
      </c>
      <c r="J103" s="106">
        <f>VLOOKUP(A103,Sheet2!A:C,3,FALSE)</f>
        <v>3990</v>
      </c>
      <c r="L103" s="112">
        <f t="shared" si="6"/>
        <v>0</v>
      </c>
    </row>
    <row r="104" spans="1:12">
      <c r="A104" s="109">
        <v>44714</v>
      </c>
      <c r="B104" s="106">
        <f>VLOOKUP(A104,Sheet2!A:C,2,FALSE)</f>
        <v>131</v>
      </c>
      <c r="C104" s="106">
        <v>3950</v>
      </c>
      <c r="D104" s="106">
        <f>VLOOKUP(A104,Sheet4!A:C,2,FALSE)</f>
        <v>1198</v>
      </c>
      <c r="E104" s="106">
        <f>VLOOKUP(A104,Sheet5!A:B,2,FALSE)</f>
        <v>6.6603</v>
      </c>
      <c r="F104" s="106">
        <f>VLOOKUP(A104,Sheet6!A:B,2,FALSE)</f>
        <v>101.82</v>
      </c>
      <c r="G104" s="106">
        <f>VLOOKUP(A104,WTI原油期货!A:B,2,FALSE)</f>
        <v>114.3</v>
      </c>
      <c r="H104" s="106">
        <f>VLOOKUP(A104,天然气期货!A:B,2,FALSE)</f>
        <v>8.474</v>
      </c>
      <c r="I104" s="111">
        <f>VLOOKUP(A104,黄金期货!A:B,2,FALSE)</f>
        <v>1868.4</v>
      </c>
      <c r="J104" s="106">
        <f>VLOOKUP(A104,Sheet2!A:C,3,FALSE)</f>
        <v>3980</v>
      </c>
      <c r="L104" s="112">
        <f t="shared" si="6"/>
        <v>-0.0025062656641604</v>
      </c>
    </row>
    <row r="105" spans="1:12">
      <c r="A105" s="109">
        <v>44718</v>
      </c>
      <c r="B105" s="106">
        <f>VLOOKUP(A105,Sheet2!A:C,2,FALSE)</f>
        <v>130</v>
      </c>
      <c r="C105" s="106">
        <v>3950</v>
      </c>
      <c r="D105" s="106">
        <f>VLOOKUP(A105,Sheet4!A:C,2,FALSE)</f>
        <v>1203</v>
      </c>
      <c r="E105" s="106">
        <f>VLOOKUP(A105,Sheet5!A:B,2,FALSE)</f>
        <v>6.654</v>
      </c>
      <c r="F105" s="106">
        <f>VLOOKUP(A105,Sheet6!A:B,2,FALSE)</f>
        <v>102.44</v>
      </c>
      <c r="G105" s="106">
        <f>VLOOKUP(A105,WTI原油期货!A:B,2,FALSE)</f>
        <v>116.06</v>
      </c>
      <c r="H105" s="106">
        <f>VLOOKUP(A105,天然气期货!A:B,2,FALSE)</f>
        <v>9.306</v>
      </c>
      <c r="I105" s="111">
        <f>VLOOKUP(A105,黄金期货!A:B,2,FALSE)</f>
        <v>1840.8</v>
      </c>
      <c r="J105" s="106">
        <f>VLOOKUP(A105,Sheet2!A:C,3,FALSE)</f>
        <v>3940</v>
      </c>
      <c r="L105" s="112">
        <f t="shared" si="6"/>
        <v>-0.0100502512562814</v>
      </c>
    </row>
    <row r="106" spans="1:12">
      <c r="A106" s="109">
        <v>44719</v>
      </c>
      <c r="B106" s="106">
        <f>VLOOKUP(A106,Sheet2!A:C,2,FALSE)</f>
        <v>129</v>
      </c>
      <c r="C106" s="106">
        <v>3950</v>
      </c>
      <c r="D106" s="106">
        <f>VLOOKUP(A106,Sheet4!A:C,2,FALSE)</f>
        <v>1204</v>
      </c>
      <c r="E106" s="106">
        <f>VLOOKUP(A106,Sheet5!A:B,2,FALSE)</f>
        <v>6.6703</v>
      </c>
      <c r="F106" s="106">
        <f>VLOOKUP(A106,Sheet6!A:B,2,FALSE)</f>
        <v>102.32</v>
      </c>
      <c r="G106" s="106">
        <f>VLOOKUP(A106,WTI原油期货!A:B,2,FALSE)</f>
        <v>117.1</v>
      </c>
      <c r="H106" s="106">
        <f>VLOOKUP(A106,天然气期货!A:B,2,FALSE)</f>
        <v>9.278</v>
      </c>
      <c r="I106" s="111">
        <f>VLOOKUP(A106,黄金期货!A:B,2,FALSE)</f>
        <v>1849.2</v>
      </c>
      <c r="J106" s="106">
        <f>VLOOKUP(A106,Sheet2!A:C,3,FALSE)</f>
        <v>3900</v>
      </c>
      <c r="L106" s="112">
        <f t="shared" si="6"/>
        <v>-0.0101522842639594</v>
      </c>
    </row>
    <row r="107" spans="1:12">
      <c r="A107" s="109">
        <v>44720</v>
      </c>
      <c r="B107" s="106">
        <f>VLOOKUP(A107,Sheet2!A:C,2,FALSE)</f>
        <v>126</v>
      </c>
      <c r="C107" s="106">
        <v>3950</v>
      </c>
      <c r="D107" s="106">
        <f>VLOOKUP(A107,Sheet4!A:C,2,FALSE)</f>
        <v>1205</v>
      </c>
      <c r="E107" s="106">
        <f>VLOOKUP(A107,Sheet5!A:B,2,FALSE)</f>
        <v>6.6838</v>
      </c>
      <c r="F107" s="106">
        <f>VLOOKUP(A107,Sheet6!A:B,2,FALSE)</f>
        <v>102.54</v>
      </c>
      <c r="G107" s="106">
        <f>VLOOKUP(A107,WTI原油期货!A:B,2,FALSE)</f>
        <v>119.78</v>
      </c>
      <c r="H107" s="106">
        <f>VLOOKUP(A107,天然气期货!A:B,2,FALSE)</f>
        <v>8.679</v>
      </c>
      <c r="I107" s="111">
        <f>VLOOKUP(A107,黄金期货!A:B,2,FALSE)</f>
        <v>1853.6</v>
      </c>
      <c r="J107" s="106">
        <f>VLOOKUP(A107,Sheet2!A:C,3,FALSE)</f>
        <v>3720</v>
      </c>
      <c r="L107" s="112">
        <f t="shared" si="6"/>
        <v>-0.0461538461538462</v>
      </c>
    </row>
    <row r="108" spans="1:12">
      <c r="A108" s="109">
        <v>44721</v>
      </c>
      <c r="B108" s="106">
        <f>VLOOKUP(A108,Sheet2!A:C,2,FALSE)</f>
        <v>138</v>
      </c>
      <c r="C108" s="106">
        <v>3950</v>
      </c>
      <c r="D108" s="106">
        <f>VLOOKUP(A108,Sheet4!A:C,2,FALSE)</f>
        <v>1208</v>
      </c>
      <c r="E108" s="106">
        <f>VLOOKUP(A108,Sheet5!A:B,2,FALSE)</f>
        <v>6.6923</v>
      </c>
      <c r="F108" s="106">
        <f>VLOOKUP(A108,Sheet6!A:B,2,FALSE)</f>
        <v>103.22</v>
      </c>
      <c r="G108" s="106">
        <f>VLOOKUP(A108,WTI原油期货!A:B,2,FALSE)</f>
        <v>119.09</v>
      </c>
      <c r="H108" s="106">
        <f>VLOOKUP(A108,天然气期货!A:B,2,FALSE)</f>
        <v>8.978</v>
      </c>
      <c r="I108" s="111">
        <f>VLOOKUP(A108,黄金期货!A:B,2,FALSE)</f>
        <v>1850.1</v>
      </c>
      <c r="J108" s="106">
        <f>VLOOKUP(A108,Sheet2!A:C,3,FALSE)</f>
        <v>3750</v>
      </c>
      <c r="L108" s="112">
        <f t="shared" si="6"/>
        <v>0.00806451612903226</v>
      </c>
    </row>
    <row r="109" spans="1:12">
      <c r="A109" s="109">
        <v>44722</v>
      </c>
      <c r="B109" s="106">
        <f>VLOOKUP(A109,Sheet2!A:C,2,FALSE)</f>
        <v>138</v>
      </c>
      <c r="C109" s="106">
        <v>3950</v>
      </c>
      <c r="D109" s="106">
        <f>VLOOKUP(A109,Sheet4!A:C,2,FALSE)</f>
        <v>1211</v>
      </c>
      <c r="E109" s="106">
        <f>VLOOKUP(A109,Sheet5!A:B,2,FALSE)</f>
        <v>6.7089</v>
      </c>
      <c r="F109" s="106">
        <f>VLOOKUP(A109,Sheet6!A:B,2,FALSE)</f>
        <v>104.15</v>
      </c>
      <c r="G109" s="106">
        <f>VLOOKUP(A109,WTI原油期货!A:B,2,FALSE)</f>
        <v>118.12</v>
      </c>
      <c r="H109" s="106">
        <f>VLOOKUP(A109,天然气期货!A:B,2,FALSE)</f>
        <v>8.867</v>
      </c>
      <c r="I109" s="111">
        <f>VLOOKUP(A109,黄金期货!A:B,2,FALSE)</f>
        <v>1872.7</v>
      </c>
      <c r="J109" s="106">
        <f>VLOOKUP(A109,Sheet2!A:C,3,FALSE)</f>
        <v>3750</v>
      </c>
      <c r="L109" s="112">
        <f t="shared" si="6"/>
        <v>0</v>
      </c>
    </row>
    <row r="110" spans="1:12">
      <c r="A110" s="109">
        <v>44725</v>
      </c>
      <c r="B110" s="106">
        <f>VLOOKUP(A110,Sheet2!A:C,2,FALSE)</f>
        <v>137</v>
      </c>
      <c r="C110" s="106">
        <v>3950</v>
      </c>
      <c r="D110" s="106">
        <f>VLOOKUP(A110,Sheet4!A:C,2,FALSE)</f>
        <v>1207</v>
      </c>
      <c r="E110" s="106">
        <f>VLOOKUP(A110,Sheet5!A:B,2,FALSE)</f>
        <v>6.7546</v>
      </c>
      <c r="F110" s="106">
        <f>VLOOKUP(A110,Sheet6!A:B,2,FALSE)</f>
        <v>105.08</v>
      </c>
      <c r="G110" s="106">
        <f>VLOOKUP(A110,WTI原油期货!A:B,2,FALSE)</f>
        <v>118.25</v>
      </c>
      <c r="H110" s="106">
        <f>VLOOKUP(A110,天然气期货!A:B,2,FALSE)</f>
        <v>8.619</v>
      </c>
      <c r="I110" s="111">
        <f>VLOOKUP(A110,黄金期货!A:B,2,FALSE)</f>
        <v>1829.2</v>
      </c>
      <c r="J110" s="106">
        <f>VLOOKUP(A110,Sheet2!A:C,3,FALSE)</f>
        <v>3770</v>
      </c>
      <c r="L110" s="112">
        <f t="shared" si="6"/>
        <v>0.00533333333333333</v>
      </c>
    </row>
    <row r="111" spans="1:12">
      <c r="A111" s="109">
        <v>44726</v>
      </c>
      <c r="B111" s="106">
        <f>VLOOKUP(A111,Sheet2!A:C,2,FALSE)</f>
        <v>137</v>
      </c>
      <c r="C111" s="106">
        <v>4850</v>
      </c>
      <c r="D111" s="106">
        <f>VLOOKUP(A111,Sheet4!A:C,2,FALSE)</f>
        <v>1204</v>
      </c>
      <c r="E111" s="106">
        <f>VLOOKUP(A111,Sheet5!A:B,2,FALSE)</f>
        <v>6.741</v>
      </c>
      <c r="F111" s="106">
        <f>VLOOKUP(A111,Sheet6!A:B,2,FALSE)</f>
        <v>105.52</v>
      </c>
      <c r="G111" s="106">
        <f>VLOOKUP(A111,WTI原油期货!A:B,2,FALSE)</f>
        <v>116.26</v>
      </c>
      <c r="H111" s="106">
        <f>VLOOKUP(A111,天然气期货!A:B,2,FALSE)</f>
        <v>7.18</v>
      </c>
      <c r="I111" s="111">
        <f>VLOOKUP(A111,黄金期货!A:B,2,FALSE)</f>
        <v>1810.5</v>
      </c>
      <c r="J111" s="106">
        <f>VLOOKUP(A111,Sheet2!A:C,3,FALSE)</f>
        <v>3700</v>
      </c>
      <c r="L111" s="112">
        <f t="shared" si="6"/>
        <v>-0.0185676392572944</v>
      </c>
    </row>
    <row r="112" spans="1:12">
      <c r="A112" s="109">
        <v>44727</v>
      </c>
      <c r="B112" s="106">
        <f>VLOOKUP(A112,Sheet2!A:C,2,FALSE)</f>
        <v>136</v>
      </c>
      <c r="C112" s="106">
        <v>4850</v>
      </c>
      <c r="D112" s="106">
        <f>VLOOKUP(A112,Sheet4!A:C,2,FALSE)</f>
        <v>1201</v>
      </c>
      <c r="E112" s="106">
        <f>VLOOKUP(A112,Sheet5!A:B,2,FALSE)</f>
        <v>6.7141</v>
      </c>
      <c r="F112" s="106">
        <f>VLOOKUP(A112,Sheet6!A:B,2,FALSE)</f>
        <v>105.16</v>
      </c>
      <c r="G112" s="106">
        <f>VLOOKUP(A112,WTI原油期货!A:B,2,FALSE)</f>
        <v>113.09</v>
      </c>
      <c r="H112" s="106">
        <f>VLOOKUP(A112,天然气期货!A:B,2,FALSE)</f>
        <v>7.406</v>
      </c>
      <c r="I112" s="111">
        <f>VLOOKUP(A112,黄金期货!A:B,2,FALSE)</f>
        <v>1816.3</v>
      </c>
      <c r="J112" s="106">
        <f>VLOOKUP(A112,Sheet2!A:C,3,FALSE)</f>
        <v>3600</v>
      </c>
      <c r="L112" s="112">
        <f t="shared" si="6"/>
        <v>-0.027027027027027</v>
      </c>
    </row>
    <row r="113" spans="1:12">
      <c r="A113" s="109">
        <v>44728</v>
      </c>
      <c r="B113" s="106">
        <f>VLOOKUP(A113,Sheet2!A:C,2,FALSE)</f>
        <v>136</v>
      </c>
      <c r="C113" s="106">
        <v>4850</v>
      </c>
      <c r="D113" s="106">
        <f>VLOOKUP(A113,Sheet4!A:C,2,FALSE)</f>
        <v>1200</v>
      </c>
      <c r="E113" s="106">
        <f>VLOOKUP(A113,Sheet5!A:B,2,FALSE)</f>
        <v>6.7035</v>
      </c>
      <c r="F113" s="106">
        <f>VLOOKUP(A113,Sheet6!A:B,2,FALSE)</f>
        <v>103.63</v>
      </c>
      <c r="G113" s="106">
        <f>VLOOKUP(A113,WTI原油期货!A:B,2,FALSE)</f>
        <v>115.25</v>
      </c>
      <c r="H113" s="106">
        <f>VLOOKUP(A113,天然气期货!A:B,2,FALSE)</f>
        <v>7.438</v>
      </c>
      <c r="I113" s="111">
        <f>VLOOKUP(A113,黄金期货!A:B,2,FALSE)</f>
        <v>1846.6</v>
      </c>
      <c r="J113" s="106">
        <f>VLOOKUP(A113,Sheet2!A:C,3,FALSE)</f>
        <v>3600</v>
      </c>
      <c r="L113" s="112">
        <f t="shared" si="6"/>
        <v>0</v>
      </c>
    </row>
    <row r="114" spans="1:12">
      <c r="A114" s="109">
        <v>44729</v>
      </c>
      <c r="B114" s="106">
        <f>VLOOKUP(A114,Sheet2!A:C,2,FALSE)</f>
        <v>135</v>
      </c>
      <c r="C114" s="106">
        <v>4850</v>
      </c>
      <c r="D114" s="106">
        <f>VLOOKUP(A114,Sheet4!A:C,2,FALSE)</f>
        <v>1195</v>
      </c>
      <c r="E114" s="106">
        <f>VLOOKUP(A114,Sheet5!A:B,2,FALSE)</f>
        <v>6.7167</v>
      </c>
      <c r="F114" s="106">
        <f>VLOOKUP(A114,Sheet6!A:B,2,FALSE)</f>
        <v>104.7</v>
      </c>
      <c r="G114" s="106">
        <f>VLOOKUP(A114,WTI原油期货!A:B,2,FALSE)</f>
        <v>107.99</v>
      </c>
      <c r="H114" s="106">
        <f>VLOOKUP(A114,天然气期货!A:B,2,FALSE)</f>
        <v>6.906</v>
      </c>
      <c r="I114" s="111">
        <f>VLOOKUP(A114,黄金期货!A:B,2,FALSE)</f>
        <v>1836.5</v>
      </c>
      <c r="J114" s="106">
        <f>VLOOKUP(A114,Sheet2!A:C,3,FALSE)</f>
        <v>3580</v>
      </c>
      <c r="L114" s="112">
        <f t="shared" si="6"/>
        <v>-0.00555555555555556</v>
      </c>
    </row>
    <row r="115" spans="1:12">
      <c r="A115" s="109">
        <v>44732</v>
      </c>
      <c r="B115" s="106">
        <f>VLOOKUP(A115,Sheet2!A:C,2,FALSE)</f>
        <v>133</v>
      </c>
      <c r="C115" s="106">
        <v>4800</v>
      </c>
      <c r="D115" s="106">
        <f>VLOOKUP(A115,Sheet4!A:C,2,FALSE)</f>
        <v>1186</v>
      </c>
      <c r="E115" s="106">
        <f>VLOOKUP(A115,Sheet5!A:B,2,FALSE)</f>
        <v>6.6925</v>
      </c>
      <c r="F115" s="106">
        <f>VLOOKUP(A115,Sheet6!A:B,2,FALSE)</f>
        <v>104.7</v>
      </c>
      <c r="G115" s="106">
        <f>VLOOKUP(A115,WTI原油期货!A:B,2,FALSE)</f>
        <v>108.84</v>
      </c>
      <c r="H115" s="106">
        <f>VLOOKUP(A115,天然气期货!A:B,2,FALSE)</f>
        <v>6.713</v>
      </c>
      <c r="I115" s="111">
        <f>VLOOKUP(A115,黄金期货!A:B,2,FALSE)</f>
        <v>1838.8</v>
      </c>
      <c r="J115" s="106">
        <f>VLOOKUP(A115,Sheet2!A:C,3,FALSE)</f>
        <v>3500</v>
      </c>
      <c r="L115" s="112">
        <f t="shared" si="6"/>
        <v>-0.0223463687150838</v>
      </c>
    </row>
    <row r="116" spans="1:12">
      <c r="A116" s="109">
        <v>44733</v>
      </c>
      <c r="B116" s="106">
        <f>VLOOKUP(A116,Sheet2!A:C,2,FALSE)</f>
        <v>137</v>
      </c>
      <c r="C116" s="106">
        <v>4800</v>
      </c>
      <c r="D116" s="106">
        <f>VLOOKUP(A116,Sheet4!A:C,2,FALSE)</f>
        <v>1178</v>
      </c>
      <c r="E116" s="106">
        <f>VLOOKUP(A116,Sheet5!A:B,2,FALSE)</f>
        <v>6.6895</v>
      </c>
      <c r="F116" s="106">
        <f>VLOOKUP(A116,Sheet6!A:B,2,FALSE)</f>
        <v>104.43</v>
      </c>
      <c r="G116" s="106">
        <f>VLOOKUP(A116,WTI原油期货!A:B,2,FALSE)</f>
        <v>109.52</v>
      </c>
      <c r="H116" s="106">
        <f>VLOOKUP(A116,天然气期货!A:B,2,FALSE)</f>
        <v>6.783</v>
      </c>
      <c r="I116" s="111">
        <f>VLOOKUP(A116,黄金期货!A:B,2,FALSE)</f>
        <v>1835.4</v>
      </c>
      <c r="J116" s="106">
        <f>VLOOKUP(A116,Sheet2!A:C,3,FALSE)</f>
        <v>3450</v>
      </c>
      <c r="L116" s="112">
        <f t="shared" si="6"/>
        <v>-0.0142857142857143</v>
      </c>
    </row>
    <row r="117" spans="1:12">
      <c r="A117" s="109">
        <v>44734</v>
      </c>
      <c r="B117" s="106">
        <f>VLOOKUP(A117,Sheet2!A:C,2,FALSE)</f>
        <v>151</v>
      </c>
      <c r="C117" s="106">
        <v>4800</v>
      </c>
      <c r="D117" s="106">
        <f>VLOOKUP(A117,Sheet4!A:C,2,FALSE)</f>
        <v>1174</v>
      </c>
      <c r="E117" s="106">
        <f>VLOOKUP(A117,Sheet5!A:B,2,FALSE)</f>
        <v>6.7023</v>
      </c>
      <c r="F117" s="106">
        <f>VLOOKUP(A117,Sheet6!A:B,2,FALSE)</f>
        <v>104.2</v>
      </c>
      <c r="G117" s="106">
        <f>VLOOKUP(A117,WTI原油期货!A:B,2,FALSE)</f>
        <v>103.99</v>
      </c>
      <c r="H117" s="106">
        <f>VLOOKUP(A117,天然气期货!A:B,2,FALSE)</f>
        <v>6.872</v>
      </c>
      <c r="I117" s="111">
        <f>VLOOKUP(A117,黄金期货!A:B,2,FALSE)</f>
        <v>1835.2</v>
      </c>
      <c r="J117" s="106">
        <f>VLOOKUP(A117,Sheet2!A:C,3,FALSE)</f>
        <v>3300</v>
      </c>
      <c r="L117" s="112">
        <f t="shared" si="6"/>
        <v>-0.0434782608695652</v>
      </c>
    </row>
    <row r="118" spans="1:12">
      <c r="A118" s="109">
        <v>44735</v>
      </c>
      <c r="B118" s="106">
        <f>VLOOKUP(A118,Sheet2!A:C,2,FALSE)</f>
        <v>155</v>
      </c>
      <c r="C118" s="106">
        <v>4800</v>
      </c>
      <c r="D118" s="106">
        <f>VLOOKUP(A118,Sheet4!A:C,2,FALSE)</f>
        <v>1168</v>
      </c>
      <c r="E118" s="106">
        <f>VLOOKUP(A118,Sheet5!A:B,2,FALSE)</f>
        <v>6.6985</v>
      </c>
      <c r="F118" s="106">
        <f>VLOOKUP(A118,Sheet6!A:B,2,FALSE)</f>
        <v>104.43</v>
      </c>
      <c r="G118" s="106">
        <f>VLOOKUP(A118,WTI原油期货!A:B,2,FALSE)</f>
        <v>101.58</v>
      </c>
      <c r="H118" s="106">
        <f>VLOOKUP(A118,天然气期货!A:B,2,FALSE)</f>
        <v>6.283</v>
      </c>
      <c r="I118" s="111">
        <f>VLOOKUP(A118,黄金期货!A:B,2,FALSE)</f>
        <v>1826.3</v>
      </c>
      <c r="J118" s="106">
        <f>VLOOKUP(A118,Sheet2!A:C,3,FALSE)</f>
        <v>3300</v>
      </c>
      <c r="L118" s="112">
        <f t="shared" si="6"/>
        <v>0</v>
      </c>
    </row>
    <row r="119" spans="1:12">
      <c r="A119" s="109">
        <v>44736</v>
      </c>
      <c r="B119" s="106">
        <f>VLOOKUP(A119,Sheet2!A:C,2,FALSE)</f>
        <v>154</v>
      </c>
      <c r="C119" s="106">
        <v>4800</v>
      </c>
      <c r="D119" s="106">
        <f>VLOOKUP(A119,Sheet4!A:C,2,FALSE)</f>
        <v>1159</v>
      </c>
      <c r="E119" s="106">
        <f>VLOOKUP(A119,Sheet5!A:B,2,FALSE)</f>
        <v>6.6898</v>
      </c>
      <c r="F119" s="106">
        <f>VLOOKUP(A119,Sheet6!A:B,2,FALSE)</f>
        <v>104.18</v>
      </c>
      <c r="G119" s="106">
        <f>VLOOKUP(A119,WTI原油期货!A:B,2,FALSE)</f>
        <v>104.45</v>
      </c>
      <c r="H119" s="106">
        <f>VLOOKUP(A119,天然气期货!A:B,2,FALSE)</f>
        <v>6.281</v>
      </c>
      <c r="I119" s="111">
        <f>VLOOKUP(A119,黄金期货!A:B,2,FALSE)</f>
        <v>1827</v>
      </c>
      <c r="J119" s="106">
        <f>VLOOKUP(A119,Sheet2!A:C,3,FALSE)</f>
        <v>3300</v>
      </c>
      <c r="L119" s="112">
        <f t="shared" si="6"/>
        <v>0</v>
      </c>
    </row>
    <row r="120" spans="1:12">
      <c r="A120" s="109">
        <v>44739</v>
      </c>
      <c r="B120" s="106">
        <f>VLOOKUP(A120,Sheet2!A:C,2,FALSE)</f>
        <v>155</v>
      </c>
      <c r="C120" s="106">
        <v>4800</v>
      </c>
      <c r="D120" s="106">
        <f>VLOOKUP(A120,Sheet4!A:C,2,FALSE)</f>
        <v>1155</v>
      </c>
      <c r="E120" s="106">
        <f>VLOOKUP(A120,Sheet5!A:B,2,FALSE)</f>
        <v>6.6918</v>
      </c>
      <c r="F120" s="106">
        <f>VLOOKUP(A120,Sheet6!A:B,2,FALSE)</f>
        <v>103.94</v>
      </c>
      <c r="G120" s="106">
        <f>VLOOKUP(A120,WTI原油期货!A:B,2,FALSE)</f>
        <v>106.38</v>
      </c>
      <c r="H120" s="106">
        <f>VLOOKUP(A120,天然气期货!A:B,2,FALSE)</f>
        <v>6.546</v>
      </c>
      <c r="I120" s="111">
        <f>VLOOKUP(A120,黄金期货!A:B,2,FALSE)</f>
        <v>1821</v>
      </c>
      <c r="J120" s="106">
        <f>VLOOKUP(A120,Sheet2!A:C,3,FALSE)</f>
        <v>3200</v>
      </c>
      <c r="L120" s="112">
        <f t="shared" si="6"/>
        <v>-0.0303030303030303</v>
      </c>
    </row>
    <row r="121" spans="1:12">
      <c r="A121" s="109">
        <v>44740</v>
      </c>
      <c r="B121" s="106">
        <f>VLOOKUP(A121,Sheet2!A:C,2,FALSE)</f>
        <v>155</v>
      </c>
      <c r="C121" s="106">
        <v>4800</v>
      </c>
      <c r="D121" s="106">
        <f>VLOOKUP(A121,Sheet4!A:C,2,FALSE)</f>
        <v>1153</v>
      </c>
      <c r="E121" s="106">
        <f>VLOOKUP(A121,Sheet5!A:B,2,FALSE)</f>
        <v>6.7081</v>
      </c>
      <c r="F121" s="106">
        <f>VLOOKUP(A121,Sheet6!A:B,2,FALSE)</f>
        <v>104.51</v>
      </c>
      <c r="G121" s="106">
        <f>VLOOKUP(A121,WTI原油期货!A:B,2,FALSE)</f>
        <v>108.89</v>
      </c>
      <c r="H121" s="106">
        <f>VLOOKUP(A121,天然气期货!A:B,2,FALSE)</f>
        <v>6.57</v>
      </c>
      <c r="I121" s="111">
        <f>VLOOKUP(A121,黄金期货!A:B,2,FALSE)</f>
        <v>1817.5</v>
      </c>
      <c r="J121" s="106">
        <f>VLOOKUP(A121,Sheet2!A:C,3,FALSE)</f>
        <v>3000</v>
      </c>
      <c r="L121" s="113">
        <f t="shared" si="6"/>
        <v>-0.0625</v>
      </c>
    </row>
    <row r="122" spans="1:12">
      <c r="A122" s="109">
        <v>44741</v>
      </c>
      <c r="B122" s="106">
        <f>VLOOKUP(A122,Sheet2!A:C,2,FALSE)</f>
        <v>155</v>
      </c>
      <c r="C122" s="106">
        <v>4800</v>
      </c>
      <c r="D122" s="106">
        <f>VLOOKUP(A122,Sheet4!A:C,2,FALSE)</f>
        <v>1152</v>
      </c>
      <c r="E122" s="106">
        <f>VLOOKUP(A122,Sheet5!A:B,2,FALSE)</f>
        <v>6.7</v>
      </c>
      <c r="F122" s="106">
        <f>VLOOKUP(A122,Sheet6!A:B,2,FALSE)</f>
        <v>105.11</v>
      </c>
      <c r="G122" s="106">
        <f>VLOOKUP(A122,WTI原油期货!A:B,2,FALSE)</f>
        <v>107.01</v>
      </c>
      <c r="H122" s="106">
        <f>VLOOKUP(A122,天然气期货!A:B,2,FALSE)</f>
        <v>6.493</v>
      </c>
      <c r="I122" s="111">
        <f>VLOOKUP(A122,黄金期货!A:B,2,FALSE)</f>
        <v>1817.5</v>
      </c>
      <c r="J122" s="106">
        <f>VLOOKUP(A122,Sheet2!A:C,3,FALSE)</f>
        <v>3000</v>
      </c>
      <c r="L122" s="112">
        <f t="shared" si="6"/>
        <v>0</v>
      </c>
    </row>
    <row r="123" spans="1:12">
      <c r="A123" s="109">
        <v>44742</v>
      </c>
      <c r="B123" s="106">
        <f>VLOOKUP(A123,Sheet2!A:C,2,FALSE)</f>
        <v>156</v>
      </c>
      <c r="C123" s="106">
        <v>4800</v>
      </c>
      <c r="D123" s="106" t="e">
        <f>VLOOKUP(A123,Sheet4!A:C,2,FALSE)</f>
        <v>#N/A</v>
      </c>
      <c r="E123" s="106">
        <f>VLOOKUP(A123,Sheet5!A:B,2,FALSE)</f>
        <v>6.6993</v>
      </c>
      <c r="F123" s="106">
        <f>VLOOKUP(A123,Sheet6!A:B,2,FALSE)</f>
        <v>104.68</v>
      </c>
      <c r="G123" s="106">
        <f>VLOOKUP(A123,WTI原油期货!A:B,2,FALSE)</f>
        <v>103.1</v>
      </c>
      <c r="H123" s="106">
        <f>VLOOKUP(A123,天然气期货!A:B,2,FALSE)</f>
        <v>5.392</v>
      </c>
      <c r="I123" s="111">
        <f>VLOOKUP(A123,黄金期货!A:B,2,FALSE)</f>
        <v>1807.3</v>
      </c>
      <c r="J123" s="106">
        <f>VLOOKUP(A123,Sheet2!A:C,3,FALSE)</f>
        <v>3000</v>
      </c>
      <c r="L123" s="112">
        <f t="shared" si="6"/>
        <v>0</v>
      </c>
    </row>
    <row r="124" spans="1:12">
      <c r="A124" s="109">
        <v>44743</v>
      </c>
      <c r="B124" s="106">
        <f>VLOOKUP(A124,Sheet2!A:C,2,FALSE)</f>
        <v>155</v>
      </c>
      <c r="C124" s="106">
        <v>4800</v>
      </c>
      <c r="D124" s="106" t="e">
        <f>VLOOKUP(A124,Sheet4!A:C,2,FALSE)</f>
        <v>#N/A</v>
      </c>
      <c r="E124" s="106">
        <f>VLOOKUP(A124,Sheet5!A:B,2,FALSE)</f>
        <v>6.7015</v>
      </c>
      <c r="F124" s="106">
        <f>VLOOKUP(A124,Sheet6!A:B,2,FALSE)</f>
        <v>105.14</v>
      </c>
      <c r="G124" s="106">
        <f>VLOOKUP(A124,WTI原油期货!A:B,2,FALSE)</f>
        <v>105.39</v>
      </c>
      <c r="H124" s="106">
        <f>VLOOKUP(A124,天然气期货!A:B,2,FALSE)</f>
        <v>5.712</v>
      </c>
      <c r="I124" s="111">
        <f>VLOOKUP(A124,黄金期货!A:B,2,FALSE)</f>
        <v>1801.5</v>
      </c>
      <c r="J124" s="106">
        <f>VLOOKUP(A124,Sheet2!A:C,3,FALSE)</f>
        <v>3000</v>
      </c>
      <c r="L124" s="112">
        <f t="shared" si="6"/>
        <v>0</v>
      </c>
    </row>
    <row r="125" spans="1:12">
      <c r="A125" s="109">
        <v>44746</v>
      </c>
      <c r="B125" s="106">
        <f>VLOOKUP(A125,Sheet2!A:C,2,FALSE)</f>
        <v>153</v>
      </c>
      <c r="C125" s="106">
        <v>4800</v>
      </c>
      <c r="D125" s="106">
        <f>VLOOKUP(A125,Sheet4!A:C,2,FALSE)</f>
        <v>1135</v>
      </c>
      <c r="E125" s="106">
        <f>VLOOKUP(A125,Sheet5!A:B,2,FALSE)</f>
        <v>6.7</v>
      </c>
      <c r="F125" s="106">
        <f>VLOOKUP(A125,Sheet6!A:B,2,FALSE)</f>
        <v>105.14</v>
      </c>
      <c r="G125" s="106">
        <f>VLOOKUP(A125,WTI原油期货!A:B,2,FALSE)</f>
        <v>110.4</v>
      </c>
      <c r="H125" s="106">
        <f>VLOOKUP(A125,天然气期货!A:B,2,FALSE)</f>
        <v>5.853</v>
      </c>
      <c r="I125" s="111">
        <f>VLOOKUP(A125,黄金期货!A:B,2,FALSE)</f>
        <v>1763.9</v>
      </c>
      <c r="J125" s="106">
        <f>VLOOKUP(A125,Sheet2!A:C,3,FALSE)</f>
        <v>3000</v>
      </c>
      <c r="L125" s="112">
        <f t="shared" si="6"/>
        <v>0</v>
      </c>
    </row>
    <row r="126" spans="1:12">
      <c r="A126" s="109">
        <v>44747</v>
      </c>
      <c r="B126" s="106">
        <f>VLOOKUP(A126,Sheet2!A:C,2,FALSE)</f>
        <v>152</v>
      </c>
      <c r="C126" s="106">
        <v>4800</v>
      </c>
      <c r="D126" s="106">
        <f>VLOOKUP(A126,Sheet4!A:C,2,FALSE)</f>
        <v>1133</v>
      </c>
      <c r="E126" s="106">
        <f>VLOOKUP(A126,Sheet5!A:B,2,FALSE)</f>
        <v>6.7199</v>
      </c>
      <c r="F126" s="106">
        <f>VLOOKUP(A126,Sheet6!A:B,2,FALSE)</f>
        <v>106.54</v>
      </c>
      <c r="G126" s="106">
        <f>VLOOKUP(A126,WTI原油期货!A:B,2,FALSE)</f>
        <v>96.52</v>
      </c>
      <c r="H126" s="106">
        <f>VLOOKUP(A126,天然气期货!A:B,2,FALSE)</f>
        <v>5.487</v>
      </c>
      <c r="I126" s="111">
        <f>VLOOKUP(A126,黄金期货!A:B,2,FALSE)</f>
        <v>1763.9</v>
      </c>
      <c r="J126" s="106">
        <f>VLOOKUP(A126,Sheet2!A:C,3,FALSE)</f>
        <v>3000</v>
      </c>
      <c r="L126" s="112">
        <f t="shared" si="6"/>
        <v>0</v>
      </c>
    </row>
    <row r="127" spans="1:12">
      <c r="A127" s="109">
        <v>44748</v>
      </c>
      <c r="B127" s="106">
        <f>VLOOKUP(A127,Sheet2!A:C,2,FALSE)</f>
        <v>152</v>
      </c>
      <c r="C127" s="106">
        <v>4800</v>
      </c>
      <c r="D127" s="106">
        <f>VLOOKUP(A127,Sheet4!A:C,2,FALSE)</f>
        <v>1125</v>
      </c>
      <c r="E127" s="106">
        <f>VLOOKUP(A127,Sheet5!A:B,2,FALSE)</f>
        <v>6.708</v>
      </c>
      <c r="F127" s="106">
        <f>VLOOKUP(A127,Sheet6!A:B,2,FALSE)</f>
        <v>107.1</v>
      </c>
      <c r="G127" s="106">
        <f>VLOOKUP(A127,WTI原油期货!A:B,2,FALSE)</f>
        <v>94.98</v>
      </c>
      <c r="H127" s="106">
        <f>VLOOKUP(A127,天然气期货!A:B,2,FALSE)</f>
        <v>5.482</v>
      </c>
      <c r="I127" s="111">
        <f>VLOOKUP(A127,黄金期货!A:B,2,FALSE)</f>
        <v>1736.5</v>
      </c>
      <c r="J127" s="106">
        <f>VLOOKUP(A127,Sheet2!A:C,3,FALSE)</f>
        <v>3000</v>
      </c>
      <c r="L127" s="112">
        <f t="shared" si="6"/>
        <v>0</v>
      </c>
    </row>
    <row r="128" spans="1:12">
      <c r="A128" s="109">
        <v>44749</v>
      </c>
      <c r="B128" s="106">
        <f>VLOOKUP(A128,Sheet2!A:C,2,FALSE)</f>
        <v>154</v>
      </c>
      <c r="C128" s="106">
        <v>4600</v>
      </c>
      <c r="D128" s="106">
        <f>VLOOKUP(A128,Sheet4!A:C,2,FALSE)</f>
        <v>1121</v>
      </c>
      <c r="E128" s="106">
        <f>VLOOKUP(A128,Sheet5!A:B,2,FALSE)</f>
        <v>6.702</v>
      </c>
      <c r="F128" s="106">
        <f>VLOOKUP(A128,Sheet6!A:B,2,FALSE)</f>
        <v>107.13</v>
      </c>
      <c r="G128" s="106">
        <f>VLOOKUP(A128,WTI原油期货!A:B,2,FALSE)</f>
        <v>99.25</v>
      </c>
      <c r="H128" s="106">
        <f>VLOOKUP(A128,天然气期货!A:B,2,FALSE)</f>
        <v>6.262</v>
      </c>
      <c r="I128" s="111">
        <f>VLOOKUP(A128,黄金期货!A:B,2,FALSE)</f>
        <v>1739.7</v>
      </c>
      <c r="J128" s="106">
        <f>VLOOKUP(A128,Sheet2!A:C,3,FALSE)</f>
        <v>2700</v>
      </c>
      <c r="L128" s="113">
        <f t="shared" si="6"/>
        <v>-0.1</v>
      </c>
    </row>
    <row r="129" spans="1:12">
      <c r="A129" s="109">
        <v>44750</v>
      </c>
      <c r="B129" s="106">
        <f>VLOOKUP(A129,Sheet2!A:C,2,FALSE)</f>
        <v>154</v>
      </c>
      <c r="C129" s="106">
        <v>4600</v>
      </c>
      <c r="D129" s="106">
        <f>VLOOKUP(A129,Sheet4!A:C,2,FALSE)</f>
        <v>1118</v>
      </c>
      <c r="E129" s="106">
        <f>VLOOKUP(A129,Sheet5!A:B,2,FALSE)</f>
        <v>6.6953</v>
      </c>
      <c r="F129" s="106">
        <f>VLOOKUP(A129,Sheet6!A:B,2,FALSE)</f>
        <v>107.01</v>
      </c>
      <c r="G129" s="106">
        <f>VLOOKUP(A129,WTI原油期货!A:B,2,FALSE)</f>
        <v>101.53</v>
      </c>
      <c r="H129" s="106">
        <f>VLOOKUP(A129,天然气期货!A:B,2,FALSE)</f>
        <v>5.967</v>
      </c>
      <c r="I129" s="111">
        <f>VLOOKUP(A129,黄金期货!A:B,2,FALSE)</f>
        <v>1742.3</v>
      </c>
      <c r="J129" s="106">
        <f>VLOOKUP(A129,Sheet2!A:C,3,FALSE)</f>
        <v>2600</v>
      </c>
      <c r="L129" s="112">
        <f t="shared" si="6"/>
        <v>-0.037037037037037</v>
      </c>
    </row>
    <row r="130" spans="1:12">
      <c r="A130" s="109">
        <v>44753</v>
      </c>
      <c r="B130" s="106">
        <f>VLOOKUP(A130,Sheet2!A:C,2,FALSE)</f>
        <v>159</v>
      </c>
      <c r="C130" s="106">
        <v>4600</v>
      </c>
      <c r="D130" s="106">
        <f>VLOOKUP(A130,Sheet4!A:C,2,FALSE)</f>
        <v>1110</v>
      </c>
      <c r="E130" s="106">
        <f>VLOOKUP(A130,Sheet5!A:B,2,FALSE)</f>
        <v>6.7183</v>
      </c>
      <c r="F130" s="106">
        <f>VLOOKUP(A130,Sheet6!A:B,2,FALSE)</f>
        <v>108.02</v>
      </c>
      <c r="G130" s="106">
        <f>VLOOKUP(A130,WTI原油期货!A:B,2,FALSE)</f>
        <v>101.21</v>
      </c>
      <c r="H130" s="106">
        <f>VLOOKUP(A130,天然气期货!A:B,2,FALSE)</f>
        <v>6.319</v>
      </c>
      <c r="I130" s="111">
        <f>VLOOKUP(A130,黄金期货!A:B,2,FALSE)</f>
        <v>1731.7</v>
      </c>
      <c r="J130" s="106">
        <f>VLOOKUP(A130,Sheet2!A:C,3,FALSE)</f>
        <v>2200</v>
      </c>
      <c r="L130" s="113">
        <f t="shared" si="6"/>
        <v>-0.153846153846154</v>
      </c>
    </row>
    <row r="131" spans="1:12">
      <c r="A131" s="109">
        <v>44754</v>
      </c>
      <c r="B131" s="106">
        <f>VLOOKUP(A131,Sheet2!A:C,2,FALSE)</f>
        <v>159</v>
      </c>
      <c r="C131" s="106">
        <v>4600</v>
      </c>
      <c r="D131" s="106">
        <f>VLOOKUP(A131,Sheet4!A:C,2,FALSE)</f>
        <v>1105</v>
      </c>
      <c r="E131" s="106">
        <f>VLOOKUP(A131,Sheet5!A:B,2,FALSE)</f>
        <v>6.7248</v>
      </c>
      <c r="F131" s="106">
        <f>VLOOKUP(A131,Sheet6!A:B,2,FALSE)</f>
        <v>108.07</v>
      </c>
      <c r="G131" s="106">
        <f>VLOOKUP(A131,WTI原油期货!A:B,2,FALSE)</f>
        <v>93.31</v>
      </c>
      <c r="H131" s="106">
        <f>VLOOKUP(A131,天然气期货!A:B,2,FALSE)</f>
        <v>6.021</v>
      </c>
      <c r="I131" s="111">
        <f>VLOOKUP(A131,黄金期货!A:B,2,FALSE)</f>
        <v>1724.8</v>
      </c>
      <c r="J131" s="106">
        <f>VLOOKUP(A131,Sheet2!A:C,3,FALSE)</f>
        <v>2000</v>
      </c>
      <c r="L131" s="113">
        <f t="shared" ref="L131:L194" si="7">(J131-J130)/J130</f>
        <v>-0.0909090909090909</v>
      </c>
    </row>
    <row r="132" spans="1:12">
      <c r="A132" s="109">
        <v>44755</v>
      </c>
      <c r="B132" s="106">
        <f>VLOOKUP(A132,Sheet2!A:C,2,FALSE)</f>
        <v>162</v>
      </c>
      <c r="C132" s="106">
        <v>4600</v>
      </c>
      <c r="D132" s="106">
        <f>VLOOKUP(A132,Sheet4!A:C,2,FALSE)</f>
        <v>1095</v>
      </c>
      <c r="E132" s="106">
        <f>VLOOKUP(A132,Sheet5!A:B,2,FALSE)</f>
        <v>6.7187</v>
      </c>
      <c r="F132" s="106">
        <f>VLOOKUP(A132,Sheet6!A:B,2,FALSE)</f>
        <v>107.96</v>
      </c>
      <c r="G132" s="106">
        <f>VLOOKUP(A132,WTI原油期货!A:B,2,FALSE)</f>
        <v>93.83</v>
      </c>
      <c r="H132" s="106">
        <f>VLOOKUP(A132,天然气期货!A:B,2,FALSE)</f>
        <v>6.589</v>
      </c>
      <c r="I132" s="111">
        <f>VLOOKUP(A132,黄金期货!A:B,2,FALSE)</f>
        <v>1735.5</v>
      </c>
      <c r="J132" s="106">
        <f>VLOOKUP(A132,Sheet2!A:C,3,FALSE)</f>
        <v>1900</v>
      </c>
      <c r="L132" s="113">
        <f t="shared" si="7"/>
        <v>-0.05</v>
      </c>
    </row>
    <row r="133" spans="1:12">
      <c r="A133" s="109">
        <v>44756</v>
      </c>
      <c r="B133" s="106">
        <f>VLOOKUP(A133,Sheet2!A:C,2,FALSE)</f>
        <v>163</v>
      </c>
      <c r="C133" s="106">
        <v>4600</v>
      </c>
      <c r="D133" s="106">
        <f>VLOOKUP(A133,Sheet4!A:C,2,FALSE)</f>
        <v>1086</v>
      </c>
      <c r="E133" s="106">
        <f>VLOOKUP(A133,Sheet5!A:B,2,FALSE)</f>
        <v>6.7561</v>
      </c>
      <c r="F133" s="106">
        <f>VLOOKUP(A133,Sheet6!A:B,2,FALSE)</f>
        <v>108.54</v>
      </c>
      <c r="G133" s="106">
        <f>VLOOKUP(A133,WTI原油期货!A:B,2,FALSE)</f>
        <v>92.83</v>
      </c>
      <c r="H133" s="106">
        <f>VLOOKUP(A133,天然气期货!A:B,2,FALSE)</f>
        <v>6.511</v>
      </c>
      <c r="I133" s="111">
        <f>VLOOKUP(A133,黄金期货!A:B,2,FALSE)</f>
        <v>1705.8</v>
      </c>
      <c r="J133" s="106">
        <f>VLOOKUP(A133,Sheet2!A:C,3,FALSE)</f>
        <v>1800</v>
      </c>
      <c r="L133" s="113">
        <f t="shared" si="7"/>
        <v>-0.0526315789473684</v>
      </c>
    </row>
    <row r="134" spans="1:12">
      <c r="A134" s="109">
        <v>44757</v>
      </c>
      <c r="B134" s="106">
        <f>VLOOKUP(A134,Sheet2!A:C,2,FALSE)</f>
        <v>163</v>
      </c>
      <c r="C134" s="106">
        <v>4600</v>
      </c>
      <c r="D134" s="106">
        <f>VLOOKUP(A134,Sheet4!A:C,2,FALSE)</f>
        <v>1077</v>
      </c>
      <c r="E134" s="106">
        <f>VLOOKUP(A134,Sheet5!A:B,2,FALSE)</f>
        <v>6.7575</v>
      </c>
      <c r="F134" s="106">
        <f>VLOOKUP(A134,Sheet6!A:B,2,FALSE)</f>
        <v>108.06</v>
      </c>
      <c r="G134" s="106">
        <f>VLOOKUP(A134,WTI原油期货!A:B,2,FALSE)</f>
        <v>94.57</v>
      </c>
      <c r="H134" s="106">
        <f>VLOOKUP(A134,天然气期货!A:B,2,FALSE)</f>
        <v>6.926</v>
      </c>
      <c r="I134" s="111">
        <f>VLOOKUP(A134,黄金期货!A:B,2,FALSE)</f>
        <v>1703.6</v>
      </c>
      <c r="J134" s="106">
        <f>VLOOKUP(A134,Sheet2!A:C,3,FALSE)</f>
        <v>1800</v>
      </c>
      <c r="L134" s="112">
        <f t="shared" si="7"/>
        <v>0</v>
      </c>
    </row>
    <row r="135" spans="1:12">
      <c r="A135" s="109">
        <v>44760</v>
      </c>
      <c r="B135" s="106">
        <f>VLOOKUP(A135,Sheet2!A:C,2,FALSE)</f>
        <v>157</v>
      </c>
      <c r="C135" s="106">
        <v>4600</v>
      </c>
      <c r="D135" s="106">
        <f>VLOOKUP(A135,Sheet4!A:C,2,FALSE)</f>
        <v>1073</v>
      </c>
      <c r="E135" s="106">
        <f>VLOOKUP(A135,Sheet5!A:B,2,FALSE)</f>
        <v>6.7433</v>
      </c>
      <c r="F135" s="106">
        <f>VLOOKUP(A135,Sheet6!A:B,2,FALSE)</f>
        <v>107.37</v>
      </c>
      <c r="G135" s="106">
        <f>VLOOKUP(A135,WTI原油期货!A:B,2,FALSE)</f>
        <v>99.42</v>
      </c>
      <c r="H135" s="106">
        <f>VLOOKUP(A135,天然气期货!A:B,2,FALSE)</f>
        <v>7.382</v>
      </c>
      <c r="I135" s="111">
        <f>VLOOKUP(A135,黄金期货!A:B,2,FALSE)</f>
        <v>1710.2</v>
      </c>
      <c r="J135" s="106">
        <f>VLOOKUP(A135,Sheet2!A:C,3,FALSE)</f>
        <v>1700</v>
      </c>
      <c r="L135" s="113">
        <f t="shared" si="7"/>
        <v>-0.0555555555555556</v>
      </c>
    </row>
    <row r="136" spans="1:12">
      <c r="A136" s="109">
        <v>44761</v>
      </c>
      <c r="B136" s="106">
        <f>VLOOKUP(A136,Sheet2!A:C,2,FALSE)</f>
        <v>160</v>
      </c>
      <c r="C136" s="106">
        <v>4600</v>
      </c>
      <c r="D136" s="106">
        <f>VLOOKUP(A136,Sheet4!A:C,2,FALSE)</f>
        <v>1071</v>
      </c>
      <c r="E136" s="106">
        <f>VLOOKUP(A136,Sheet5!A:B,2,FALSE)</f>
        <v>6.7445</v>
      </c>
      <c r="F136" s="106">
        <f>VLOOKUP(A136,Sheet6!A:B,2,FALSE)</f>
        <v>106.68</v>
      </c>
      <c r="G136" s="106">
        <f>VLOOKUP(A136,WTI原油期货!A:B,2,FALSE)</f>
        <v>100.74</v>
      </c>
      <c r="H136" s="106">
        <f>VLOOKUP(A136,天然气期货!A:B,2,FALSE)</f>
        <v>7.15</v>
      </c>
      <c r="I136" s="111">
        <f>VLOOKUP(A136,黄金期货!A:B,2,FALSE)</f>
        <v>1710.7</v>
      </c>
      <c r="J136" s="106">
        <f>VLOOKUP(A136,Sheet2!A:C,3,FALSE)</f>
        <v>1600</v>
      </c>
      <c r="L136" s="113">
        <f t="shared" si="7"/>
        <v>-0.0588235294117647</v>
      </c>
    </row>
    <row r="137" spans="1:12">
      <c r="A137" s="109">
        <v>44762</v>
      </c>
      <c r="B137" s="106">
        <f>VLOOKUP(A137,Sheet2!A:C,2,FALSE)</f>
        <v>159</v>
      </c>
      <c r="C137" s="106">
        <v>4600</v>
      </c>
      <c r="D137" s="106">
        <f>VLOOKUP(A137,Sheet4!A:C,2,FALSE)</f>
        <v>1070</v>
      </c>
      <c r="E137" s="106">
        <f>VLOOKUP(A137,Sheet5!A:B,2,FALSE)</f>
        <v>6.7559</v>
      </c>
      <c r="F137" s="106">
        <f>VLOOKUP(A137,Sheet6!A:B,2,FALSE)</f>
        <v>107.08</v>
      </c>
      <c r="G137" s="106">
        <f>VLOOKUP(A137,WTI原油期货!A:B,2,FALSE)</f>
        <v>99.88</v>
      </c>
      <c r="H137" s="106">
        <f>VLOOKUP(A137,天然气期货!A:B,2,FALSE)</f>
        <v>7.899</v>
      </c>
      <c r="I137" s="111">
        <f>VLOOKUP(A137,黄金期货!A:B,2,FALSE)</f>
        <v>1700.2</v>
      </c>
      <c r="J137" s="106">
        <f>VLOOKUP(A137,Sheet2!A:C,3,FALSE)</f>
        <v>1300</v>
      </c>
      <c r="L137" s="113">
        <f t="shared" si="7"/>
        <v>-0.1875</v>
      </c>
    </row>
    <row r="138" spans="1:12">
      <c r="A138" s="109">
        <v>44763</v>
      </c>
      <c r="B138" s="106">
        <f>VLOOKUP(A138,Sheet2!A:C,2,FALSE)</f>
        <v>157</v>
      </c>
      <c r="C138" s="106">
        <v>4600</v>
      </c>
      <c r="D138" s="106">
        <f>VLOOKUP(A138,Sheet4!A:C,2,FALSE)</f>
        <v>1069</v>
      </c>
      <c r="E138" s="106">
        <f>VLOOKUP(A138,Sheet5!A:B,2,FALSE)</f>
        <v>6.7668</v>
      </c>
      <c r="F138" s="106">
        <f>VLOOKUP(A138,Sheet6!A:B,2,FALSE)</f>
        <v>106.91</v>
      </c>
      <c r="G138" s="106">
        <f>VLOOKUP(A138,WTI原油期货!A:B,2,FALSE)</f>
        <v>93.78</v>
      </c>
      <c r="H138" s="106">
        <f>VLOOKUP(A138,天然气期货!A:B,2,FALSE)</f>
        <v>7.815</v>
      </c>
      <c r="I138" s="111">
        <f>VLOOKUP(A138,黄金期货!A:B,2,FALSE)</f>
        <v>1713.4</v>
      </c>
      <c r="J138" s="106">
        <f>VLOOKUP(A138,Sheet2!A:C,3,FALSE)</f>
        <v>1300</v>
      </c>
      <c r="L138" s="112">
        <f t="shared" si="7"/>
        <v>0</v>
      </c>
    </row>
    <row r="139" spans="1:12">
      <c r="A139" s="109">
        <v>44764</v>
      </c>
      <c r="B139" s="106">
        <f>VLOOKUP(A139,Sheet2!A:C,2,FALSE)</f>
        <v>156</v>
      </c>
      <c r="C139" s="106">
        <v>4600</v>
      </c>
      <c r="D139" s="106">
        <f>VLOOKUP(A139,Sheet4!A:C,2,FALSE)</f>
        <v>1063</v>
      </c>
      <c r="E139" s="106">
        <f>VLOOKUP(A139,Sheet5!A:B,2,FALSE)</f>
        <v>6.7515</v>
      </c>
      <c r="F139" s="106">
        <f>VLOOKUP(A139,Sheet6!A:B,2,FALSE)</f>
        <v>106.73</v>
      </c>
      <c r="G139" s="106">
        <f>VLOOKUP(A139,WTI原油期货!A:B,2,FALSE)</f>
        <v>92.43</v>
      </c>
      <c r="H139" s="106">
        <f>VLOOKUP(A139,天然气期货!A:B,2,FALSE)</f>
        <v>8.195</v>
      </c>
      <c r="I139" s="111">
        <f>VLOOKUP(A139,黄金期货!A:B,2,FALSE)</f>
        <v>1727.4</v>
      </c>
      <c r="J139" s="106">
        <f>VLOOKUP(A139,Sheet2!A:C,3,FALSE)</f>
        <v>1200</v>
      </c>
      <c r="L139" s="113">
        <f t="shared" si="7"/>
        <v>-0.0769230769230769</v>
      </c>
    </row>
    <row r="140" spans="1:12">
      <c r="A140" s="109">
        <v>44767</v>
      </c>
      <c r="B140" s="106">
        <f>VLOOKUP(A140,Sheet2!A:C,2,FALSE)</f>
        <v>158</v>
      </c>
      <c r="C140" s="106">
        <v>4600</v>
      </c>
      <c r="D140" s="106">
        <f>VLOOKUP(A140,Sheet4!A:C,2,FALSE)</f>
        <v>1060</v>
      </c>
      <c r="E140" s="106">
        <f>VLOOKUP(A140,Sheet5!A:B,2,FALSE)</f>
        <v>6.751</v>
      </c>
      <c r="F140" s="106">
        <f>VLOOKUP(A140,Sheet6!A:B,2,FALSE)</f>
        <v>106.48</v>
      </c>
      <c r="G140" s="106">
        <f>VLOOKUP(A140,WTI原油期货!A:B,2,FALSE)</f>
        <v>94.42</v>
      </c>
      <c r="H140" s="106">
        <f>VLOOKUP(A140,天然气期货!A:B,2,FALSE)</f>
        <v>8.571</v>
      </c>
      <c r="I140" s="111">
        <f>VLOOKUP(A140,黄金期货!A:B,2,FALSE)</f>
        <v>1719.1</v>
      </c>
      <c r="J140" s="106">
        <f>VLOOKUP(A140,Sheet2!A:C,3,FALSE)</f>
        <v>1150</v>
      </c>
      <c r="L140" s="112">
        <f t="shared" si="7"/>
        <v>-0.0416666666666667</v>
      </c>
    </row>
    <row r="141" spans="1:12">
      <c r="A141" s="109">
        <v>44768</v>
      </c>
      <c r="B141" s="106">
        <f>VLOOKUP(A141,Sheet2!A:C,2,FALSE)</f>
        <v>158</v>
      </c>
      <c r="C141" s="106">
        <v>4600</v>
      </c>
      <c r="D141" s="106">
        <f>VLOOKUP(A141,Sheet4!A:C,2,FALSE)</f>
        <v>1058</v>
      </c>
      <c r="E141" s="106">
        <f>VLOOKUP(A141,Sheet5!A:B,2,FALSE)</f>
        <v>6.7633</v>
      </c>
      <c r="F141" s="106">
        <f>VLOOKUP(A141,Sheet6!A:B,2,FALSE)</f>
        <v>107.19</v>
      </c>
      <c r="G141" s="106">
        <f>VLOOKUP(A141,WTI原油期货!A:B,2,FALSE)</f>
        <v>92.88</v>
      </c>
      <c r="H141" s="106">
        <f>VLOOKUP(A141,天然气期货!A:B,2,FALSE)</f>
        <v>8.825</v>
      </c>
      <c r="I141" s="111">
        <f>VLOOKUP(A141,黄金期货!A:B,2,FALSE)</f>
        <v>1717.7</v>
      </c>
      <c r="J141" s="106">
        <f>VLOOKUP(A141,Sheet2!A:C,3,FALSE)</f>
        <v>1150</v>
      </c>
      <c r="L141" s="112">
        <f t="shared" si="7"/>
        <v>0</v>
      </c>
    </row>
    <row r="142" spans="1:12">
      <c r="A142" s="109">
        <v>44769</v>
      </c>
      <c r="B142" s="106">
        <f>VLOOKUP(A142,Sheet2!A:C,2,FALSE)</f>
        <v>159</v>
      </c>
      <c r="C142" s="106">
        <v>4400</v>
      </c>
      <c r="D142" s="106">
        <f>VLOOKUP(A142,Sheet4!A:C,2,FALSE)</f>
        <v>1053</v>
      </c>
      <c r="E142" s="106">
        <f>VLOOKUP(A142,Sheet5!A:B,2,FALSE)</f>
        <v>6.7585</v>
      </c>
      <c r="F142" s="106">
        <f>VLOOKUP(A142,Sheet6!A:B,2,FALSE)</f>
        <v>106.45</v>
      </c>
      <c r="G142" s="106">
        <f>VLOOKUP(A142,WTI原油期货!A:B,2,FALSE)</f>
        <v>95.29</v>
      </c>
      <c r="H142" s="106">
        <f>VLOOKUP(A142,天然气期货!A:B,2,FALSE)</f>
        <v>8.554</v>
      </c>
      <c r="I142" s="111">
        <f>VLOOKUP(A142,黄金期货!A:B,2,FALSE)</f>
        <v>1719.1</v>
      </c>
      <c r="J142" s="106">
        <f>VLOOKUP(A142,Sheet2!A:C,3,FALSE)</f>
        <v>1050</v>
      </c>
      <c r="L142" s="113">
        <f t="shared" si="7"/>
        <v>-0.0869565217391304</v>
      </c>
    </row>
    <row r="143" spans="1:12">
      <c r="A143" s="109">
        <v>44770</v>
      </c>
      <c r="B143" s="106">
        <f>VLOOKUP(A143,Sheet2!A:C,2,FALSE)</f>
        <v>159</v>
      </c>
      <c r="C143" s="106">
        <v>4050</v>
      </c>
      <c r="D143" s="106">
        <f>VLOOKUP(A143,Sheet4!A:C,2,FALSE)</f>
        <v>1051</v>
      </c>
      <c r="E143" s="106">
        <f>VLOOKUP(A143,Sheet5!A:B,2,FALSE)</f>
        <v>6.7473</v>
      </c>
      <c r="F143" s="106">
        <f>VLOOKUP(A143,Sheet6!A:B,2,FALSE)</f>
        <v>106.35</v>
      </c>
      <c r="G143" s="106">
        <f>VLOOKUP(A143,WTI原油期货!A:B,2,FALSE)</f>
        <v>94.65</v>
      </c>
      <c r="H143" s="106">
        <f>VLOOKUP(A143,天然气期货!A:B,2,FALSE)</f>
        <v>8.118</v>
      </c>
      <c r="I143" s="111">
        <f>VLOOKUP(A143,黄金期货!A:B,2,FALSE)</f>
        <v>1754.4</v>
      </c>
      <c r="J143" s="106">
        <f>VLOOKUP(A143,Sheet2!A:C,3,FALSE)</f>
        <v>1050</v>
      </c>
      <c r="L143" s="112">
        <f t="shared" si="7"/>
        <v>0</v>
      </c>
    </row>
    <row r="144" spans="1:12">
      <c r="A144" s="109">
        <v>44771</v>
      </c>
      <c r="B144" s="106">
        <f>VLOOKUP(A144,Sheet2!A:C,2,FALSE)</f>
        <v>161</v>
      </c>
      <c r="C144" s="106">
        <v>4050</v>
      </c>
      <c r="D144" s="106">
        <f>VLOOKUP(A144,Sheet4!A:C,2,FALSE)</f>
        <v>1050</v>
      </c>
      <c r="E144" s="106">
        <f>VLOOKUP(A144,Sheet5!A:B,2,FALSE)</f>
        <v>6.7442</v>
      </c>
      <c r="F144" s="106">
        <f>VLOOKUP(A144,Sheet6!A:B,2,FALSE)</f>
        <v>105.9</v>
      </c>
      <c r="G144" s="106">
        <f>VLOOKUP(A144,WTI原油期货!A:B,2,FALSE)</f>
        <v>96.75</v>
      </c>
      <c r="H144" s="106">
        <f>VLOOKUP(A144,天然气期货!A:B,2,FALSE)</f>
        <v>8.208</v>
      </c>
      <c r="I144" s="111">
        <f>VLOOKUP(A144,黄金期货!A:B,2,FALSE)</f>
        <v>1766.9</v>
      </c>
      <c r="J144" s="106">
        <f>VLOOKUP(A144,Sheet2!A:C,3,FALSE)</f>
        <v>1000</v>
      </c>
      <c r="L144" s="112">
        <f t="shared" si="7"/>
        <v>-0.0476190476190476</v>
      </c>
    </row>
    <row r="145" spans="1:12">
      <c r="A145" s="109">
        <v>44774</v>
      </c>
      <c r="B145" s="106">
        <f>VLOOKUP(A145,Sheet2!A:C,2,FALSE)</f>
        <v>159</v>
      </c>
      <c r="C145" s="106">
        <v>4050</v>
      </c>
      <c r="D145" s="106">
        <f>VLOOKUP(A145,Sheet4!A:C,2,FALSE)</f>
        <v>1049</v>
      </c>
      <c r="E145" s="106">
        <f>VLOOKUP(A145,Sheet5!A:B,2,FALSE)</f>
        <v>6.7688</v>
      </c>
      <c r="F145" s="106">
        <f>VLOOKUP(A145,Sheet6!A:B,2,FALSE)</f>
        <v>105.45</v>
      </c>
      <c r="G145" s="106">
        <f>VLOOKUP(A145,WTI原油期货!A:B,2,FALSE)</f>
        <v>92.39</v>
      </c>
      <c r="H145" s="106">
        <f>VLOOKUP(A145,天然气期货!A:B,2,FALSE)</f>
        <v>8.26</v>
      </c>
      <c r="I145" s="111">
        <f>VLOOKUP(A145,黄金期货!A:B,2,FALSE)</f>
        <v>1772.7</v>
      </c>
      <c r="J145" s="106">
        <f>VLOOKUP(A145,Sheet2!A:C,3,FALSE)</f>
        <v>1000</v>
      </c>
      <c r="L145" s="112">
        <f t="shared" si="7"/>
        <v>0</v>
      </c>
    </row>
    <row r="146" spans="1:12">
      <c r="A146" s="109">
        <v>44775</v>
      </c>
      <c r="B146" s="106">
        <f>VLOOKUP(A146,Sheet2!A:C,2,FALSE)</f>
        <v>157</v>
      </c>
      <c r="C146" s="106">
        <v>4050</v>
      </c>
      <c r="D146" s="106">
        <f>VLOOKUP(A146,Sheet4!A:C,2,FALSE)</f>
        <v>1047</v>
      </c>
      <c r="E146" s="106">
        <f>VLOOKUP(A146,Sheet5!A:B,2,FALSE)</f>
        <v>6.7525</v>
      </c>
      <c r="F146" s="106">
        <f>VLOOKUP(A146,Sheet6!A:B,2,FALSE)</f>
        <v>106.24</v>
      </c>
      <c r="G146" s="106">
        <f>VLOOKUP(A146,WTI原油期货!A:B,2,FALSE)</f>
        <v>93.22</v>
      </c>
      <c r="H146" s="106">
        <f>VLOOKUP(A146,天然气期货!A:B,2,FALSE)</f>
        <v>7.698</v>
      </c>
      <c r="I146" s="111">
        <f>VLOOKUP(A146,黄金期货!A:B,2,FALSE)</f>
        <v>1774.8</v>
      </c>
      <c r="J146" s="106">
        <f>VLOOKUP(A146,Sheet2!A:C,3,FALSE)</f>
        <v>950</v>
      </c>
      <c r="L146" s="113">
        <f t="shared" si="7"/>
        <v>-0.05</v>
      </c>
    </row>
    <row r="147" spans="1:12">
      <c r="A147" s="109">
        <v>44776</v>
      </c>
      <c r="B147" s="106">
        <f>VLOOKUP(A147,Sheet2!A:C,2,FALSE)</f>
        <v>158</v>
      </c>
      <c r="C147" s="106">
        <v>4050</v>
      </c>
      <c r="D147" s="106">
        <f>VLOOKUP(A147,Sheet4!A:C,2,FALSE)</f>
        <v>1045</v>
      </c>
      <c r="E147" s="106">
        <f>VLOOKUP(A147,Sheet5!A:B,2,FALSE)</f>
        <v>6.7573</v>
      </c>
      <c r="F147" s="106">
        <f>VLOOKUP(A147,Sheet6!A:B,2,FALSE)</f>
        <v>106.51</v>
      </c>
      <c r="G147" s="106">
        <f>VLOOKUP(A147,WTI原油期货!A:B,2,FALSE)</f>
        <v>89.74</v>
      </c>
      <c r="H147" s="106">
        <f>VLOOKUP(A147,天然气期货!A:B,2,FALSE)</f>
        <v>8.262</v>
      </c>
      <c r="I147" s="111">
        <f>VLOOKUP(A147,黄金期货!A:B,2,FALSE)</f>
        <v>1760.9</v>
      </c>
      <c r="J147" s="106">
        <f>VLOOKUP(A147,Sheet2!A:C,3,FALSE)</f>
        <v>900</v>
      </c>
      <c r="L147" s="113">
        <f t="shared" si="7"/>
        <v>-0.0526315789473684</v>
      </c>
    </row>
    <row r="148" spans="1:12">
      <c r="A148" s="109">
        <v>44777</v>
      </c>
      <c r="B148" s="106">
        <f>VLOOKUP(A148,Sheet2!A:C,2,FALSE)</f>
        <v>163</v>
      </c>
      <c r="C148" s="106">
        <v>4050</v>
      </c>
      <c r="D148" s="106">
        <f>VLOOKUP(A148,Sheet4!A:C,2,FALSE)</f>
        <v>1042</v>
      </c>
      <c r="E148" s="106">
        <f>VLOOKUP(A148,Sheet5!A:B,2,FALSE)</f>
        <v>6.7493</v>
      </c>
      <c r="F148" s="106">
        <f>VLOOKUP(A148,Sheet6!A:B,2,FALSE)</f>
        <v>105.69</v>
      </c>
      <c r="G148" s="106">
        <f>VLOOKUP(A148,WTI原油期货!A:B,2,FALSE)</f>
        <v>87.56</v>
      </c>
      <c r="H148" s="106">
        <f>VLOOKUP(A148,天然气期货!A:B,2,FALSE)</f>
        <v>8.114</v>
      </c>
      <c r="I148" s="111">
        <f>VLOOKUP(A148,黄金期货!A:B,2,FALSE)</f>
        <v>1791.2</v>
      </c>
      <c r="J148" s="106">
        <f>VLOOKUP(A148,Sheet2!A:C,3,FALSE)</f>
        <v>900</v>
      </c>
      <c r="L148" s="112">
        <f t="shared" si="7"/>
        <v>0</v>
      </c>
    </row>
    <row r="149" spans="1:12">
      <c r="A149" s="109">
        <v>44778</v>
      </c>
      <c r="B149" s="106">
        <f>VLOOKUP(A149,Sheet2!A:C,2,FALSE)</f>
        <v>162</v>
      </c>
      <c r="C149" s="106">
        <v>4050</v>
      </c>
      <c r="D149" s="106">
        <f>VLOOKUP(A149,Sheet4!A:C,2,FALSE)</f>
        <v>1040</v>
      </c>
      <c r="E149" s="106">
        <f>VLOOKUP(A149,Sheet5!A:B,2,FALSE)</f>
        <v>6.7619</v>
      </c>
      <c r="F149" s="106">
        <f>VLOOKUP(A149,Sheet6!A:B,2,FALSE)</f>
        <v>106.62</v>
      </c>
      <c r="G149" s="106">
        <f>VLOOKUP(A149,WTI原油期货!A:B,2,FALSE)</f>
        <v>88.08</v>
      </c>
      <c r="H149" s="106">
        <f>VLOOKUP(A149,天然气期货!A:B,2,FALSE)</f>
        <v>8.051</v>
      </c>
      <c r="I149" s="111">
        <f>VLOOKUP(A149,黄金期货!A:B,2,FALSE)</f>
        <v>1775.8</v>
      </c>
      <c r="J149" s="106">
        <f>VLOOKUP(A149,Sheet2!A:C,3,FALSE)</f>
        <v>900</v>
      </c>
      <c r="L149" s="112">
        <f t="shared" si="7"/>
        <v>0</v>
      </c>
    </row>
    <row r="150" spans="1:12">
      <c r="A150" s="109">
        <v>44781</v>
      </c>
      <c r="B150" s="106">
        <f>VLOOKUP(A150,Sheet2!A:C,2,FALSE)</f>
        <v>164</v>
      </c>
      <c r="C150" s="106">
        <v>4050</v>
      </c>
      <c r="D150" s="106">
        <f>VLOOKUP(A150,Sheet4!A:C,2,FALSE)</f>
        <v>1036</v>
      </c>
      <c r="E150" s="106">
        <f>VLOOKUP(A150,Sheet5!A:B,2,FALSE)</f>
        <v>6.7506</v>
      </c>
      <c r="F150" s="106">
        <f>VLOOKUP(A150,Sheet6!A:B,2,FALSE)</f>
        <v>106.43</v>
      </c>
      <c r="G150" s="106">
        <f>VLOOKUP(A150,WTI原油期货!A:B,2,FALSE)</f>
        <v>89.93</v>
      </c>
      <c r="H150" s="106">
        <f>VLOOKUP(A150,天然气期货!A:B,2,FALSE)</f>
        <v>7.578</v>
      </c>
      <c r="I150" s="111">
        <f>VLOOKUP(A150,黄金期货!A:B,2,FALSE)</f>
        <v>1789.6</v>
      </c>
      <c r="J150" s="106">
        <f>VLOOKUP(A150,Sheet2!A:C,3,FALSE)</f>
        <v>900</v>
      </c>
      <c r="L150" s="112">
        <f t="shared" si="7"/>
        <v>0</v>
      </c>
    </row>
    <row r="151" spans="1:12">
      <c r="A151" s="109">
        <v>44782</v>
      </c>
      <c r="B151" s="106">
        <f>VLOOKUP(A151,Sheet2!A:C,2,FALSE)</f>
        <v>164</v>
      </c>
      <c r="C151" s="106">
        <v>4050</v>
      </c>
      <c r="D151" s="106">
        <f>VLOOKUP(A151,Sheet4!A:C,2,FALSE)</f>
        <v>1037</v>
      </c>
      <c r="E151" s="106">
        <f>VLOOKUP(A151,Sheet5!A:B,2,FALSE)</f>
        <v>6.7527</v>
      </c>
      <c r="F151" s="106">
        <f>VLOOKUP(A151,Sheet6!A:B,2,FALSE)</f>
        <v>106.37</v>
      </c>
      <c r="G151" s="106">
        <f>VLOOKUP(A151,WTI原油期货!A:B,2,FALSE)</f>
        <v>89.67</v>
      </c>
      <c r="H151" s="106">
        <f>VLOOKUP(A151,天然气期货!A:B,2,FALSE)</f>
        <v>7.825</v>
      </c>
      <c r="I151" s="111">
        <f>VLOOKUP(A151,黄金期货!A:B,2,FALSE)</f>
        <v>1796.8</v>
      </c>
      <c r="J151" s="106">
        <f>VLOOKUP(A151,Sheet2!A:C,3,FALSE)</f>
        <v>900</v>
      </c>
      <c r="L151" s="112">
        <f t="shared" si="7"/>
        <v>0</v>
      </c>
    </row>
    <row r="152" spans="1:12">
      <c r="A152" s="109">
        <v>44783</v>
      </c>
      <c r="B152" s="106">
        <f>VLOOKUP(A152,Sheet2!A:C,2,FALSE)</f>
        <v>165</v>
      </c>
      <c r="C152" s="106">
        <v>4050</v>
      </c>
      <c r="D152" s="106">
        <f>VLOOKUP(A152,Sheet4!A:C,2,FALSE)</f>
        <v>1036</v>
      </c>
      <c r="E152" s="106">
        <f>VLOOKUP(A152,Sheet5!A:B,2,FALSE)</f>
        <v>6.7238</v>
      </c>
      <c r="F152" s="106">
        <f>VLOOKUP(A152,Sheet6!A:B,2,FALSE)</f>
        <v>105.2</v>
      </c>
      <c r="G152" s="106">
        <f>VLOOKUP(A152,WTI原油期货!A:B,2,FALSE)</f>
        <v>91.2</v>
      </c>
      <c r="H152" s="106">
        <f>VLOOKUP(A152,天然气期货!A:B,2,FALSE)</f>
        <v>8.193</v>
      </c>
      <c r="I152" s="111">
        <f>VLOOKUP(A152,黄金期货!A:B,2,FALSE)</f>
        <v>1798.5</v>
      </c>
      <c r="J152" s="106">
        <f>VLOOKUP(A152,Sheet2!A:C,3,FALSE)</f>
        <v>950</v>
      </c>
      <c r="L152" s="113">
        <f t="shared" si="7"/>
        <v>0.0555555555555556</v>
      </c>
    </row>
    <row r="153" spans="1:12">
      <c r="A153" s="109">
        <v>44784</v>
      </c>
      <c r="B153" s="106">
        <f>VLOOKUP(A153,Sheet2!A:C,2,FALSE)</f>
        <v>166</v>
      </c>
      <c r="C153" s="106">
        <v>4050</v>
      </c>
      <c r="D153" s="106">
        <f>VLOOKUP(A153,Sheet4!A:C,2,FALSE)</f>
        <v>1037</v>
      </c>
      <c r="E153" s="106">
        <f>VLOOKUP(A153,Sheet5!A:B,2,FALSE)</f>
        <v>6.7448</v>
      </c>
      <c r="F153" s="106">
        <f>VLOOKUP(A153,Sheet6!A:B,2,FALSE)</f>
        <v>105.09</v>
      </c>
      <c r="G153" s="106">
        <f>VLOOKUP(A153,WTI原油期货!A:B,2,FALSE)</f>
        <v>93.53</v>
      </c>
      <c r="H153" s="106">
        <f>VLOOKUP(A153,天然气期货!A:B,2,FALSE)</f>
        <v>8.863</v>
      </c>
      <c r="I153" s="111">
        <f>VLOOKUP(A153,黄金期货!A:B,2,FALSE)</f>
        <v>1792.1</v>
      </c>
      <c r="J153" s="106">
        <f>VLOOKUP(A153,Sheet2!A:C,3,FALSE)</f>
        <v>1000</v>
      </c>
      <c r="L153" s="113">
        <f t="shared" si="7"/>
        <v>0.0526315789473684</v>
      </c>
    </row>
    <row r="154" spans="1:12">
      <c r="A154" s="109">
        <v>44785</v>
      </c>
      <c r="B154" s="106">
        <f>VLOOKUP(A154,Sheet2!A:C,2,FALSE)</f>
        <v>165</v>
      </c>
      <c r="C154" s="106">
        <v>4050</v>
      </c>
      <c r="D154" s="106">
        <f>VLOOKUP(A154,Sheet4!A:C,2,FALSE)</f>
        <v>1038</v>
      </c>
      <c r="E154" s="106">
        <f>VLOOKUP(A154,Sheet5!A:B,2,FALSE)</f>
        <v>6.7428</v>
      </c>
      <c r="F154" s="106">
        <f>VLOOKUP(A154,Sheet6!A:B,2,FALSE)</f>
        <v>105.63</v>
      </c>
      <c r="G154" s="106">
        <f>VLOOKUP(A154,WTI原油期货!A:B,2,FALSE)</f>
        <v>91.46</v>
      </c>
      <c r="H154" s="106">
        <f>VLOOKUP(A154,天然气期货!A:B,2,FALSE)</f>
        <v>8.744</v>
      </c>
      <c r="I154" s="111">
        <f>VLOOKUP(A154,黄金期货!A:B,2,FALSE)</f>
        <v>1800.8</v>
      </c>
      <c r="J154" s="106">
        <f>VLOOKUP(A154,Sheet2!A:C,3,FALSE)</f>
        <v>1030</v>
      </c>
      <c r="L154" s="112">
        <f t="shared" si="7"/>
        <v>0.03</v>
      </c>
    </row>
    <row r="155" spans="1:12">
      <c r="A155" s="109">
        <v>44788</v>
      </c>
      <c r="B155" s="106">
        <f>VLOOKUP(A155,Sheet2!A:C,2,FALSE)</f>
        <v>161</v>
      </c>
      <c r="C155" s="106">
        <v>4050</v>
      </c>
      <c r="D155" s="106">
        <f>VLOOKUP(A155,Sheet4!A:C,2,FALSE)</f>
        <v>1037</v>
      </c>
      <c r="E155" s="106">
        <f>VLOOKUP(A155,Sheet5!A:B,2,FALSE)</f>
        <v>6.7735</v>
      </c>
      <c r="F155" s="106">
        <f>VLOOKUP(A155,Sheet6!A:B,2,FALSE)</f>
        <v>106.55</v>
      </c>
      <c r="G155" s="106">
        <f>VLOOKUP(A155,WTI原油期货!A:B,2,FALSE)</f>
        <v>88.85</v>
      </c>
      <c r="H155" s="106">
        <f>VLOOKUP(A155,天然气期货!A:B,2,FALSE)</f>
        <v>8.712</v>
      </c>
      <c r="I155" s="111">
        <f>VLOOKUP(A155,黄金期货!A:B,2,FALSE)</f>
        <v>1783.3</v>
      </c>
      <c r="J155" s="106">
        <f>VLOOKUP(A155,Sheet2!A:C,3,FALSE)</f>
        <v>1030</v>
      </c>
      <c r="L155" s="112">
        <f t="shared" si="7"/>
        <v>0</v>
      </c>
    </row>
    <row r="156" spans="1:12">
      <c r="A156" s="109">
        <v>44789</v>
      </c>
      <c r="B156" s="106">
        <f>VLOOKUP(A156,Sheet2!A:C,2,FALSE)</f>
        <v>164</v>
      </c>
      <c r="C156" s="106">
        <v>4050</v>
      </c>
      <c r="D156" s="106">
        <f>VLOOKUP(A156,Sheet4!A:C,2,FALSE)</f>
        <v>1036</v>
      </c>
      <c r="E156" s="106">
        <f>VLOOKUP(A156,Sheet5!A:B,2,FALSE)</f>
        <v>6.7883</v>
      </c>
      <c r="F156" s="106">
        <f>VLOOKUP(A156,Sheet6!A:B,2,FALSE)</f>
        <v>106.5</v>
      </c>
      <c r="G156" s="106">
        <f>VLOOKUP(A156,WTI原油期货!A:B,2,FALSE)</f>
        <v>86.16</v>
      </c>
      <c r="H156" s="106">
        <f>VLOOKUP(A156,天然气期货!A:B,2,FALSE)</f>
        <v>9.311</v>
      </c>
      <c r="I156" s="111">
        <f>VLOOKUP(A156,黄金期货!A:B,2,FALSE)</f>
        <v>1774.9</v>
      </c>
      <c r="J156" s="106">
        <f>VLOOKUP(A156,Sheet2!A:C,3,FALSE)</f>
        <v>1040</v>
      </c>
      <c r="L156" s="112">
        <f t="shared" si="7"/>
        <v>0.00970873786407767</v>
      </c>
    </row>
    <row r="157" spans="1:12">
      <c r="A157" s="109">
        <v>44790</v>
      </c>
      <c r="B157" s="106">
        <f>VLOOKUP(A157,Sheet2!A:C,2,FALSE)</f>
        <v>163</v>
      </c>
      <c r="C157" s="106">
        <v>3800</v>
      </c>
      <c r="D157" s="106">
        <f>VLOOKUP(A157,Sheet4!A:C,2,FALSE)</f>
        <v>1035</v>
      </c>
      <c r="E157" s="106">
        <f>VLOOKUP(A157,Sheet5!A:B,2,FALSE)</f>
        <v>6.781</v>
      </c>
      <c r="F157" s="106">
        <f>VLOOKUP(A157,Sheet6!A:B,2,FALSE)</f>
        <v>106.57</v>
      </c>
      <c r="G157" s="106">
        <f>VLOOKUP(A157,WTI原油期货!A:B,2,FALSE)</f>
        <v>87.69</v>
      </c>
      <c r="H157" s="106">
        <f>VLOOKUP(A157,天然气期货!A:B,2,FALSE)</f>
        <v>9.228</v>
      </c>
      <c r="I157" s="111">
        <f>VLOOKUP(A157,黄金期货!A:B,2,FALSE)</f>
        <v>1761.9</v>
      </c>
      <c r="J157" s="106">
        <f>VLOOKUP(A157,Sheet2!A:C,3,FALSE)</f>
        <v>1070</v>
      </c>
      <c r="L157" s="112">
        <f t="shared" si="7"/>
        <v>0.0288461538461538</v>
      </c>
    </row>
    <row r="158" spans="1:12">
      <c r="A158" s="109">
        <v>44791</v>
      </c>
      <c r="B158" s="106">
        <f>VLOOKUP(A158,Sheet2!A:C,2,FALSE)</f>
        <v>162</v>
      </c>
      <c r="C158" s="106">
        <v>3800</v>
      </c>
      <c r="D158" s="106">
        <f>VLOOKUP(A158,Sheet4!A:C,2,FALSE)</f>
        <v>1037</v>
      </c>
      <c r="E158" s="106">
        <f>VLOOKUP(A158,Sheet5!A:B,2,FALSE)</f>
        <v>6.7861</v>
      </c>
      <c r="F158" s="106">
        <f>VLOOKUP(A158,Sheet6!A:B,2,FALSE)</f>
        <v>107.48</v>
      </c>
      <c r="G158" s="106">
        <f>VLOOKUP(A158,WTI原油期货!A:B,2,FALSE)</f>
        <v>90.11</v>
      </c>
      <c r="H158" s="106">
        <f>VLOOKUP(A158,天然气期货!A:B,2,FALSE)</f>
        <v>9.17</v>
      </c>
      <c r="I158" s="111">
        <f>VLOOKUP(A158,黄金期货!A:B,2,FALSE)</f>
        <v>1756.5</v>
      </c>
      <c r="J158" s="106">
        <f>VLOOKUP(A158,Sheet2!A:C,3,FALSE)</f>
        <v>1100</v>
      </c>
      <c r="L158" s="112">
        <f t="shared" si="7"/>
        <v>0.0280373831775701</v>
      </c>
    </row>
    <row r="159" spans="1:12">
      <c r="A159" s="109">
        <v>44792</v>
      </c>
      <c r="B159" s="106">
        <f>VLOOKUP(A159,Sheet2!A:C,2,FALSE)</f>
        <v>161</v>
      </c>
      <c r="C159" s="106">
        <v>3800</v>
      </c>
      <c r="D159" s="106">
        <f>VLOOKUP(A159,Sheet4!A:C,2,FALSE)</f>
        <v>1034</v>
      </c>
      <c r="E159" s="106">
        <f>VLOOKUP(A159,Sheet5!A:B,2,FALSE)</f>
        <v>6.8167</v>
      </c>
      <c r="F159" s="106">
        <f>VLOOKUP(A159,Sheet6!A:B,2,FALSE)</f>
        <v>108.17</v>
      </c>
      <c r="G159" s="106">
        <f>VLOOKUP(A159,WTI原油期货!A:B,2,FALSE)</f>
        <v>90.44</v>
      </c>
      <c r="H159" s="106">
        <f>VLOOKUP(A159,天然气期货!A:B,2,FALSE)</f>
        <v>9.315</v>
      </c>
      <c r="I159" s="111">
        <f>VLOOKUP(A159,黄金期货!A:B,2,FALSE)</f>
        <v>1748.4</v>
      </c>
      <c r="J159" s="106">
        <f>VLOOKUP(A159,Sheet2!A:C,3,FALSE)</f>
        <v>1100</v>
      </c>
      <c r="L159" s="112">
        <f t="shared" si="7"/>
        <v>0</v>
      </c>
    </row>
    <row r="160" spans="1:12">
      <c r="A160" s="109">
        <v>44795</v>
      </c>
      <c r="B160" s="106">
        <f>VLOOKUP(A160,Sheet2!A:C,2,FALSE)</f>
        <v>160</v>
      </c>
      <c r="C160" s="106">
        <v>3700</v>
      </c>
      <c r="D160" s="106">
        <f>VLOOKUP(A160,Sheet4!A:C,2,FALSE)</f>
        <v>1034</v>
      </c>
      <c r="E160" s="106">
        <f>VLOOKUP(A160,Sheet5!A:B,2,FALSE)</f>
        <v>6.8486</v>
      </c>
      <c r="F160" s="106">
        <f>VLOOKUP(A160,Sheet6!A:B,2,FALSE)</f>
        <v>109.05</v>
      </c>
      <c r="G160" s="106">
        <f>VLOOKUP(A160,WTI原油期货!A:B,2,FALSE)</f>
        <v>90.36</v>
      </c>
      <c r="H160" s="106">
        <f>VLOOKUP(A160,天然气期货!A:B,2,FALSE)</f>
        <v>9.647</v>
      </c>
      <c r="I160" s="111">
        <f>VLOOKUP(A160,黄金期货!A:B,2,FALSE)</f>
        <v>1734.4</v>
      </c>
      <c r="J160" s="106">
        <f>VLOOKUP(A160,Sheet2!A:C,3,FALSE)</f>
        <v>1100</v>
      </c>
      <c r="L160" s="112">
        <f t="shared" si="7"/>
        <v>0</v>
      </c>
    </row>
    <row r="161" spans="1:12">
      <c r="A161" s="109">
        <v>44796</v>
      </c>
      <c r="B161" s="106">
        <f>VLOOKUP(A161,Sheet2!A:C,2,FALSE)</f>
        <v>158</v>
      </c>
      <c r="C161" s="106">
        <v>3700</v>
      </c>
      <c r="D161" s="106">
        <f>VLOOKUP(A161,Sheet4!A:C,2,FALSE)</f>
        <v>1035</v>
      </c>
      <c r="E161" s="106">
        <f>VLOOKUP(A161,Sheet5!A:B,2,FALSE)</f>
        <v>6.8351</v>
      </c>
      <c r="F161" s="106">
        <f>VLOOKUP(A161,Sheet6!A:B,2,FALSE)</f>
        <v>108.62</v>
      </c>
      <c r="G161" s="106">
        <f>VLOOKUP(A161,WTI原油期货!A:B,2,FALSE)</f>
        <v>93.25</v>
      </c>
      <c r="H161" s="106">
        <f>VLOOKUP(A161,天然气期货!A:B,2,FALSE)</f>
        <v>9.155</v>
      </c>
      <c r="I161" s="111">
        <f>VLOOKUP(A161,黄金期货!A:B,2,FALSE)</f>
        <v>1747.3</v>
      </c>
      <c r="J161" s="106">
        <f>VLOOKUP(A161,Sheet2!A:C,3,FALSE)</f>
        <v>1110</v>
      </c>
      <c r="L161" s="112">
        <f t="shared" si="7"/>
        <v>0.00909090909090909</v>
      </c>
    </row>
    <row r="162" spans="1:12">
      <c r="A162" s="109">
        <v>44797</v>
      </c>
      <c r="B162" s="106">
        <f>VLOOKUP(A162,Sheet2!A:C,2,FALSE)</f>
        <v>157</v>
      </c>
      <c r="C162" s="106">
        <v>3700</v>
      </c>
      <c r="D162" s="106">
        <f>VLOOKUP(A162,Sheet4!A:C,2,FALSE)</f>
        <v>1036</v>
      </c>
      <c r="E162" s="106">
        <f>VLOOKUP(A162,Sheet5!A:B,2,FALSE)</f>
        <v>6.8596</v>
      </c>
      <c r="F162" s="106">
        <f>VLOOKUP(A162,Sheet6!A:B,2,FALSE)</f>
        <v>108.68</v>
      </c>
      <c r="G162" s="106">
        <f>VLOOKUP(A162,WTI原油期货!A:B,2,FALSE)</f>
        <v>94.4</v>
      </c>
      <c r="H162" s="106">
        <f>VLOOKUP(A162,天然气期货!A:B,2,FALSE)</f>
        <v>9.3</v>
      </c>
      <c r="I162" s="111">
        <f>VLOOKUP(A162,黄金期货!A:B,2,FALSE)</f>
        <v>1747.8</v>
      </c>
      <c r="J162" s="106">
        <f>VLOOKUP(A162,Sheet2!A:C,3,FALSE)</f>
        <v>1150</v>
      </c>
      <c r="L162" s="112">
        <f t="shared" si="7"/>
        <v>0.036036036036036</v>
      </c>
    </row>
    <row r="163" spans="1:12">
      <c r="A163" s="109">
        <v>44798</v>
      </c>
      <c r="B163" s="106">
        <f>VLOOKUP(A163,Sheet2!A:C,2,FALSE)</f>
        <v>155</v>
      </c>
      <c r="C163" s="106">
        <v>3700</v>
      </c>
      <c r="D163" s="106">
        <f>VLOOKUP(A163,Sheet4!A:C,2,FALSE)</f>
        <v>1037</v>
      </c>
      <c r="E163" s="106">
        <f>VLOOKUP(A163,Sheet5!A:B,2,FALSE)</f>
        <v>6.8493</v>
      </c>
      <c r="F163" s="106">
        <f>VLOOKUP(A163,Sheet6!A:B,2,FALSE)</f>
        <v>108.47</v>
      </c>
      <c r="G163" s="106">
        <f>VLOOKUP(A163,WTI原油期货!A:B,2,FALSE)</f>
        <v>92.19</v>
      </c>
      <c r="H163" s="106">
        <f>VLOOKUP(A163,天然气期货!A:B,2,FALSE)</f>
        <v>9.344</v>
      </c>
      <c r="I163" s="111">
        <f>VLOOKUP(A163,黄金期货!A:B,2,FALSE)</f>
        <v>1757.8</v>
      </c>
      <c r="J163" s="106">
        <f>VLOOKUP(A163,Sheet2!A:C,3,FALSE)</f>
        <v>1200</v>
      </c>
      <c r="L163" s="112">
        <f t="shared" si="7"/>
        <v>0.0434782608695652</v>
      </c>
    </row>
    <row r="164" spans="1:12">
      <c r="A164" s="109">
        <v>44799</v>
      </c>
      <c r="B164" s="106">
        <f>VLOOKUP(A164,Sheet2!A:C,2,FALSE)</f>
        <v>155</v>
      </c>
      <c r="C164" s="106">
        <v>3700</v>
      </c>
      <c r="D164" s="106">
        <f>VLOOKUP(A164,Sheet4!A:C,2,FALSE)</f>
        <v>1037</v>
      </c>
      <c r="E164" s="106">
        <f>VLOOKUP(A164,Sheet5!A:B,2,FALSE)</f>
        <v>6.8718</v>
      </c>
      <c r="F164" s="106">
        <f>VLOOKUP(A164,Sheet6!A:B,2,FALSE)</f>
        <v>108.8</v>
      </c>
      <c r="G164" s="106">
        <f>VLOOKUP(A164,WTI原油期货!A:B,2,FALSE)</f>
        <v>92.39</v>
      </c>
      <c r="H164" s="106">
        <f>VLOOKUP(A164,天然气期货!A:B,2,FALSE)</f>
        <v>9.269</v>
      </c>
      <c r="I164" s="111">
        <f>VLOOKUP(A164,黄金期货!A:B,2,FALSE)</f>
        <v>1736.5</v>
      </c>
      <c r="J164" s="106">
        <f>VLOOKUP(A164,Sheet2!A:C,3,FALSE)</f>
        <v>1230</v>
      </c>
      <c r="L164" s="112">
        <f t="shared" si="7"/>
        <v>0.025</v>
      </c>
    </row>
    <row r="165" spans="1:12">
      <c r="A165" s="109">
        <v>44802</v>
      </c>
      <c r="B165" s="106">
        <f>VLOOKUP(A165,Sheet2!A:C,2,FALSE)</f>
        <v>152</v>
      </c>
      <c r="C165" s="106">
        <v>3700</v>
      </c>
      <c r="D165" s="106">
        <f>VLOOKUP(A165,Sheet4!A:C,2,FALSE)</f>
        <v>1035</v>
      </c>
      <c r="E165" s="106">
        <f>VLOOKUP(A165,Sheet5!A:B,2,FALSE)</f>
        <v>6.9081</v>
      </c>
      <c r="F165" s="106">
        <f>VLOOKUP(A165,Sheet6!A:B,2,FALSE)</f>
        <v>108.83</v>
      </c>
      <c r="G165" s="106">
        <f>VLOOKUP(A165,WTI原油期货!A:B,2,FALSE)</f>
        <v>96.19</v>
      </c>
      <c r="H165" s="106">
        <f>VLOOKUP(A165,天然气期货!A:B,2,FALSE)</f>
        <v>9.336</v>
      </c>
      <c r="I165" s="111">
        <f>VLOOKUP(A165,黄金期货!A:B,2,FALSE)</f>
        <v>1736.7</v>
      </c>
      <c r="J165" s="106">
        <f>VLOOKUP(A165,Sheet2!A:C,3,FALSE)</f>
        <v>1230</v>
      </c>
      <c r="L165" s="112">
        <f t="shared" si="7"/>
        <v>0</v>
      </c>
    </row>
    <row r="166" spans="1:12">
      <c r="A166" s="109">
        <v>44803</v>
      </c>
      <c r="B166" s="106">
        <f>VLOOKUP(A166,Sheet2!A:C,2,FALSE)</f>
        <v>154</v>
      </c>
      <c r="C166" s="106">
        <v>3700</v>
      </c>
      <c r="D166" s="106">
        <f>VLOOKUP(A166,Sheet4!A:C,2,FALSE)</f>
        <v>1035</v>
      </c>
      <c r="E166" s="106">
        <f>VLOOKUP(A166,Sheet5!A:B,2,FALSE)</f>
        <v>6.9119</v>
      </c>
      <c r="F166" s="106">
        <f>VLOOKUP(A166,Sheet6!A:B,2,FALSE)</f>
        <v>108.77</v>
      </c>
      <c r="G166" s="106">
        <f>VLOOKUP(A166,WTI原油期货!A:B,2,FALSE)</f>
        <v>91.17</v>
      </c>
      <c r="H166" s="106">
        <f>VLOOKUP(A166,天然气期货!A:B,2,FALSE)</f>
        <v>9.103</v>
      </c>
      <c r="I166" s="111">
        <f>VLOOKUP(A166,黄金期货!A:B,2,FALSE)</f>
        <v>1726.9</v>
      </c>
      <c r="J166" s="106">
        <f>VLOOKUP(A166,Sheet2!A:C,3,FALSE)</f>
        <v>1230</v>
      </c>
      <c r="L166" s="112">
        <f t="shared" si="7"/>
        <v>0</v>
      </c>
    </row>
    <row r="167" spans="1:12">
      <c r="A167" s="109">
        <v>44804</v>
      </c>
      <c r="B167" s="106">
        <f>VLOOKUP(A167,Sheet2!A:C,2,FALSE)</f>
        <v>152</v>
      </c>
      <c r="C167" s="106">
        <v>3700</v>
      </c>
      <c r="D167" s="106">
        <f>VLOOKUP(A167,Sheet4!A:C,2,FALSE)</f>
        <v>1034</v>
      </c>
      <c r="E167" s="106">
        <f>VLOOKUP(A167,Sheet5!A:B,2,FALSE)</f>
        <v>6.8904</v>
      </c>
      <c r="F167" s="106">
        <f>VLOOKUP(A167,Sheet6!A:B,2,FALSE)</f>
        <v>108.7</v>
      </c>
      <c r="G167" s="106">
        <f>VLOOKUP(A167,WTI原油期货!A:B,2,FALSE)</f>
        <v>89.03</v>
      </c>
      <c r="H167" s="106">
        <f>VLOOKUP(A167,天然气期货!A:B,2,FALSE)</f>
        <v>9.189</v>
      </c>
      <c r="I167" s="111">
        <f>VLOOKUP(A167,黄金期货!A:B,2,FALSE)</f>
        <v>1716.9</v>
      </c>
      <c r="J167" s="106">
        <f>VLOOKUP(A167,Sheet2!A:C,3,FALSE)</f>
        <v>1200</v>
      </c>
      <c r="L167" s="112">
        <f t="shared" si="7"/>
        <v>-0.024390243902439</v>
      </c>
    </row>
    <row r="168" spans="1:12">
      <c r="A168" s="109">
        <v>44805</v>
      </c>
      <c r="B168" s="106">
        <f>VLOOKUP(A168,Sheet2!A:C,2,FALSE)</f>
        <v>151</v>
      </c>
      <c r="C168" s="106">
        <v>3700</v>
      </c>
      <c r="D168" s="106">
        <f>VLOOKUP(A168,Sheet4!A:C,2,FALSE)</f>
        <v>1030</v>
      </c>
      <c r="E168" s="106">
        <f>VLOOKUP(A168,Sheet5!A:B,2,FALSE)</f>
        <v>6.907</v>
      </c>
      <c r="F168" s="106">
        <f>VLOOKUP(A168,Sheet6!A:B,2,FALSE)</f>
        <v>109.69</v>
      </c>
      <c r="G168" s="106">
        <f>VLOOKUP(A168,WTI原油期货!A:B,2,FALSE)</f>
        <v>86.22</v>
      </c>
      <c r="H168" s="106">
        <f>VLOOKUP(A168,天然气期货!A:B,2,FALSE)</f>
        <v>9.33</v>
      </c>
      <c r="I168" s="111">
        <f>VLOOKUP(A168,黄金期货!A:B,2,FALSE)</f>
        <v>1699.6</v>
      </c>
      <c r="J168" s="106">
        <f>VLOOKUP(A168,Sheet2!A:C,3,FALSE)</f>
        <v>1150</v>
      </c>
      <c r="L168" s="112">
        <f t="shared" si="7"/>
        <v>-0.0416666666666667</v>
      </c>
    </row>
    <row r="169" spans="1:12">
      <c r="A169" s="109">
        <v>44806</v>
      </c>
      <c r="B169" s="106">
        <f>VLOOKUP(A169,Sheet2!A:C,2,FALSE)</f>
        <v>151</v>
      </c>
      <c r="C169" s="106">
        <v>3600</v>
      </c>
      <c r="D169" s="106">
        <f>VLOOKUP(A169,Sheet4!A:C,2,FALSE)</f>
        <v>1027</v>
      </c>
      <c r="E169" s="106">
        <f>VLOOKUP(A169,Sheet5!A:B,2,FALSE)</f>
        <v>6.9</v>
      </c>
      <c r="F169" s="106">
        <f>VLOOKUP(A169,Sheet6!A:B,2,FALSE)</f>
        <v>109.53</v>
      </c>
      <c r="G169" s="106">
        <f>VLOOKUP(A169,WTI原油期货!A:B,2,FALSE)</f>
        <v>86.48</v>
      </c>
      <c r="H169" s="106">
        <f>VLOOKUP(A169,天然气期货!A:B,2,FALSE)</f>
        <v>8.85</v>
      </c>
      <c r="I169" s="111">
        <f>VLOOKUP(A169,黄金期货!A:B,2,FALSE)</f>
        <v>1713</v>
      </c>
      <c r="J169" s="106">
        <f>VLOOKUP(A169,Sheet2!A:C,3,FALSE)</f>
        <v>1100</v>
      </c>
      <c r="L169" s="112">
        <f t="shared" si="7"/>
        <v>-0.0434782608695652</v>
      </c>
    </row>
    <row r="170" spans="1:12">
      <c r="A170" s="109">
        <v>44809</v>
      </c>
      <c r="B170" s="106">
        <f>VLOOKUP(A170,Sheet2!A:C,2,FALSE)</f>
        <v>148</v>
      </c>
      <c r="C170" s="106">
        <v>3600</v>
      </c>
      <c r="D170" s="106">
        <f>VLOOKUP(A170,Sheet4!A:C,2,FALSE)</f>
        <v>1031</v>
      </c>
      <c r="E170" s="106">
        <f>VLOOKUP(A170,Sheet5!A:B,2,FALSE)</f>
        <v>6.9341</v>
      </c>
      <c r="F170" s="106">
        <f>VLOOKUP(A170,Sheet6!A:B,2,FALSE)</f>
        <v>109.83</v>
      </c>
      <c r="G170" s="106">
        <f>VLOOKUP(A170,WTI原油期货!A:B,2,FALSE)</f>
        <v>88.96</v>
      </c>
      <c r="H170" s="106">
        <f>VLOOKUP(A170,天然气期货!A:B,2,FALSE)</f>
        <v>8.714</v>
      </c>
      <c r="I170" s="111">
        <f>VLOOKUP(A170,黄金期货!A:B,2,FALSE)</f>
        <v>1712.9</v>
      </c>
      <c r="J170" s="106">
        <f>VLOOKUP(A170,Sheet2!A:C,3,FALSE)</f>
        <v>1100</v>
      </c>
      <c r="L170" s="112">
        <f t="shared" si="7"/>
        <v>0</v>
      </c>
    </row>
    <row r="171" spans="1:12">
      <c r="A171" s="109">
        <v>44810</v>
      </c>
      <c r="B171" s="106">
        <f>VLOOKUP(A171,Sheet2!A:C,2,FALSE)</f>
        <v>148</v>
      </c>
      <c r="C171" s="106">
        <v>3500</v>
      </c>
      <c r="D171" s="106">
        <f>VLOOKUP(A171,Sheet4!A:C,2,FALSE)</f>
        <v>1035</v>
      </c>
      <c r="E171" s="106">
        <f>VLOOKUP(A171,Sheet5!A:B,2,FALSE)</f>
        <v>6.9545</v>
      </c>
      <c r="F171" s="106">
        <f>VLOOKUP(A171,Sheet6!A:B,2,FALSE)</f>
        <v>110.21</v>
      </c>
      <c r="G171" s="106">
        <f>VLOOKUP(A171,WTI原油期货!A:B,2,FALSE)</f>
        <v>86.51</v>
      </c>
      <c r="H171" s="106">
        <f>VLOOKUP(A171,天然气期货!A:B,2,FALSE)</f>
        <v>8.212</v>
      </c>
      <c r="I171" s="111">
        <f>VLOOKUP(A171,黄金期货!A:B,2,FALSE)</f>
        <v>1703.4</v>
      </c>
      <c r="J171" s="106">
        <f>VLOOKUP(A171,Sheet2!A:C,3,FALSE)</f>
        <v>1100</v>
      </c>
      <c r="L171" s="112">
        <f t="shared" si="7"/>
        <v>0</v>
      </c>
    </row>
    <row r="172" spans="1:12">
      <c r="A172" s="109">
        <v>44811</v>
      </c>
      <c r="B172" s="106">
        <f>VLOOKUP(A172,Sheet2!A:C,2,FALSE)</f>
        <v>147</v>
      </c>
      <c r="C172" s="106">
        <v>3500</v>
      </c>
      <c r="D172" s="106">
        <f>VLOOKUP(A172,Sheet4!A:C,2,FALSE)</f>
        <v>1036</v>
      </c>
      <c r="E172" s="106">
        <f>VLOOKUP(A172,Sheet5!A:B,2,FALSE)</f>
        <v>6.9662</v>
      </c>
      <c r="F172" s="106">
        <f>VLOOKUP(A172,Sheet6!A:B,2,FALSE)</f>
        <v>109.84</v>
      </c>
      <c r="G172" s="106">
        <f>VLOOKUP(A172,WTI原油期货!A:B,2,FALSE)</f>
        <v>81.63</v>
      </c>
      <c r="H172" s="106">
        <f>VLOOKUP(A172,天然气期货!A:B,2,FALSE)</f>
        <v>7.901</v>
      </c>
      <c r="I172" s="111">
        <f>VLOOKUP(A172,黄金期货!A:B,2,FALSE)</f>
        <v>1718.2</v>
      </c>
      <c r="J172" s="106">
        <f>VLOOKUP(A172,Sheet2!A:C,3,FALSE)</f>
        <v>1060</v>
      </c>
      <c r="L172" s="112">
        <f t="shared" si="7"/>
        <v>-0.0363636363636364</v>
      </c>
    </row>
    <row r="173" spans="1:12">
      <c r="A173" s="109">
        <v>44812</v>
      </c>
      <c r="B173" s="106">
        <f>VLOOKUP(A173,Sheet2!A:C,2,FALSE)</f>
        <v>149</v>
      </c>
      <c r="C173" s="106">
        <v>3500</v>
      </c>
      <c r="D173" s="106">
        <f>VLOOKUP(A173,Sheet4!A:C,2,FALSE)</f>
        <v>1037</v>
      </c>
      <c r="E173" s="106">
        <f>VLOOKUP(A173,Sheet5!A:B,2,FALSE)</f>
        <v>6.9576</v>
      </c>
      <c r="F173" s="106">
        <f>VLOOKUP(A173,Sheet6!A:B,2,FALSE)</f>
        <v>109.71</v>
      </c>
      <c r="G173" s="106">
        <f>VLOOKUP(A173,WTI原油期货!A:B,2,FALSE)</f>
        <v>83.07</v>
      </c>
      <c r="H173" s="106">
        <f>VLOOKUP(A173,天然气期货!A:B,2,FALSE)</f>
        <v>7.971</v>
      </c>
      <c r="I173" s="111">
        <f>VLOOKUP(A173,黄金期货!A:B,2,FALSE)</f>
        <v>1710.6</v>
      </c>
      <c r="J173" s="106">
        <f>VLOOKUP(A173,Sheet2!A:C,3,FALSE)</f>
        <v>1100</v>
      </c>
      <c r="L173" s="112">
        <f t="shared" si="7"/>
        <v>0.0377358490566038</v>
      </c>
    </row>
    <row r="174" spans="1:12">
      <c r="A174" s="109">
        <v>44813</v>
      </c>
      <c r="B174" s="106">
        <f>VLOOKUP(A174,Sheet2!A:C,2,FALSE)</f>
        <v>148</v>
      </c>
      <c r="C174" s="106">
        <v>3500</v>
      </c>
      <c r="D174" s="106">
        <f>VLOOKUP(A174,Sheet4!A:C,2,FALSE)</f>
        <v>1039</v>
      </c>
      <c r="E174" s="106">
        <f>VLOOKUP(A174,Sheet5!A:B,2,FALSE)</f>
        <v>6.9265</v>
      </c>
      <c r="F174" s="106">
        <f>VLOOKUP(A174,Sheet6!A:B,2,FALSE)</f>
        <v>109</v>
      </c>
      <c r="G174" s="106">
        <f>VLOOKUP(A174,WTI原油期货!A:B,2,FALSE)</f>
        <v>86.36</v>
      </c>
      <c r="H174" s="106">
        <f>VLOOKUP(A174,天然气期货!A:B,2,FALSE)</f>
        <v>8.044</v>
      </c>
      <c r="I174" s="111">
        <f>VLOOKUP(A174,黄金期货!A:B,2,FALSE)</f>
        <v>1718.8</v>
      </c>
      <c r="J174" s="106">
        <f>VLOOKUP(A174,Sheet2!A:C,3,FALSE)</f>
        <v>1130</v>
      </c>
      <c r="L174" s="112">
        <f t="shared" si="7"/>
        <v>0.0272727272727273</v>
      </c>
    </row>
    <row r="175" spans="1:12">
      <c r="A175" s="109">
        <v>44817</v>
      </c>
      <c r="B175" s="106">
        <f>VLOOKUP(A175,Sheet2!A:C,2,FALSE)</f>
        <v>151</v>
      </c>
      <c r="C175" s="106">
        <v>3500</v>
      </c>
      <c r="D175" s="106">
        <f>VLOOKUP(A175,Sheet4!A:C,2,FALSE)</f>
        <v>1045</v>
      </c>
      <c r="E175" s="106">
        <f>VLOOKUP(A175,Sheet5!A:B,2,FALSE)</f>
        <v>6.9255</v>
      </c>
      <c r="F175" s="106">
        <f>VLOOKUP(A175,Sheet6!A:B,2,FALSE)</f>
        <v>109.82</v>
      </c>
      <c r="G175" s="106">
        <f>VLOOKUP(A175,WTI原油期货!A:B,2,FALSE)</f>
        <v>86.89</v>
      </c>
      <c r="H175" s="106">
        <f>VLOOKUP(A175,天然气期货!A:B,2,FALSE)</f>
        <v>8.334</v>
      </c>
      <c r="I175" s="111">
        <f>VLOOKUP(A175,黄金期货!A:B,2,FALSE)</f>
        <v>1707.1</v>
      </c>
      <c r="J175" s="106">
        <f>VLOOKUP(A175,Sheet2!A:C,3,FALSE)</f>
        <v>1170</v>
      </c>
      <c r="L175" s="112">
        <f t="shared" si="7"/>
        <v>0.0353982300884956</v>
      </c>
    </row>
    <row r="176" spans="1:12">
      <c r="A176" s="109">
        <v>44818</v>
      </c>
      <c r="B176" s="106">
        <f>VLOOKUP(A176,Sheet2!A:C,2,FALSE)</f>
        <v>150</v>
      </c>
      <c r="C176" s="106">
        <v>3500</v>
      </c>
      <c r="D176" s="106">
        <f>VLOOKUP(A176,Sheet4!A:C,2,FALSE)</f>
        <v>1045</v>
      </c>
      <c r="E176" s="106">
        <f>VLOOKUP(A176,Sheet5!A:B,2,FALSE)</f>
        <v>6.9621</v>
      </c>
      <c r="F176" s="106">
        <f>VLOOKUP(A176,Sheet6!A:B,2,FALSE)</f>
        <v>109.66</v>
      </c>
      <c r="G176" s="106">
        <f>VLOOKUP(A176,WTI原油期货!A:B,2,FALSE)</f>
        <v>88.05</v>
      </c>
      <c r="H176" s="106">
        <f>VLOOKUP(A176,天然气期货!A:B,2,FALSE)</f>
        <v>9.167</v>
      </c>
      <c r="I176" s="111">
        <f>VLOOKUP(A176,黄金期货!A:B,2,FALSE)</f>
        <v>1698.2</v>
      </c>
      <c r="J176" s="106">
        <f>VLOOKUP(A176,Sheet2!A:C,3,FALSE)</f>
        <v>1190</v>
      </c>
      <c r="L176" s="112">
        <f t="shared" si="7"/>
        <v>0.0170940170940171</v>
      </c>
    </row>
    <row r="177" spans="1:12">
      <c r="A177" s="109">
        <v>44819</v>
      </c>
      <c r="B177" s="106">
        <f>VLOOKUP(A177,Sheet2!A:C,2,FALSE)</f>
        <v>149</v>
      </c>
      <c r="C177" s="106">
        <v>3500</v>
      </c>
      <c r="D177" s="106">
        <f>VLOOKUP(A177,Sheet4!A:C,2,FALSE)</f>
        <v>1047</v>
      </c>
      <c r="E177" s="106">
        <f>VLOOKUP(A177,Sheet5!A:B,2,FALSE)</f>
        <v>6.9945</v>
      </c>
      <c r="F177" s="106">
        <f>VLOOKUP(A177,Sheet6!A:B,2,FALSE)</f>
        <v>109.74</v>
      </c>
      <c r="G177" s="106">
        <f>VLOOKUP(A177,WTI原油期货!A:B,2,FALSE)</f>
        <v>84.65</v>
      </c>
      <c r="H177" s="106">
        <f>VLOOKUP(A177,天然气期货!A:B,2,FALSE)</f>
        <v>8.372</v>
      </c>
      <c r="I177" s="111">
        <f>VLOOKUP(A177,黄金期货!A:B,2,FALSE)</f>
        <v>1666.8</v>
      </c>
      <c r="J177" s="106">
        <f>VLOOKUP(A177,Sheet2!A:C,3,FALSE)</f>
        <v>1200</v>
      </c>
      <c r="L177" s="112">
        <f t="shared" si="7"/>
        <v>0.00840336134453781</v>
      </c>
    </row>
    <row r="178" spans="1:12">
      <c r="A178" s="109">
        <v>44820</v>
      </c>
      <c r="B178" s="106">
        <f>VLOOKUP(A178,Sheet2!A:C,2,FALSE)</f>
        <v>148</v>
      </c>
      <c r="C178" s="106">
        <v>3500</v>
      </c>
      <c r="D178" s="106">
        <f>VLOOKUP(A178,Sheet4!A:C,2,FALSE)</f>
        <v>1047</v>
      </c>
      <c r="E178" s="106">
        <f>VLOOKUP(A178,Sheet5!A:B,2,FALSE)</f>
        <v>6.98</v>
      </c>
      <c r="F178" s="106">
        <f>VLOOKUP(A178,Sheet6!A:B,2,FALSE)</f>
        <v>109.76</v>
      </c>
      <c r="G178" s="106">
        <f>VLOOKUP(A178,WTI原油期货!A:B,2,FALSE)</f>
        <v>84.76</v>
      </c>
      <c r="H178" s="106">
        <f>VLOOKUP(A178,天然气期货!A:B,2,FALSE)</f>
        <v>7.811</v>
      </c>
      <c r="I178" s="111">
        <f>VLOOKUP(A178,黄金期货!A:B,2,FALSE)</f>
        <v>1672.8</v>
      </c>
      <c r="J178" s="106">
        <f>VLOOKUP(A178,Sheet2!A:C,3,FALSE)</f>
        <v>1200</v>
      </c>
      <c r="L178" s="112">
        <f t="shared" si="7"/>
        <v>0</v>
      </c>
    </row>
    <row r="179" spans="1:12">
      <c r="A179" s="109">
        <v>44823</v>
      </c>
      <c r="B179" s="106">
        <f>VLOOKUP(A179,Sheet2!A:C,2,FALSE)</f>
        <v>147</v>
      </c>
      <c r="C179" s="106">
        <v>3500</v>
      </c>
      <c r="D179" s="106">
        <f>VLOOKUP(A179,Sheet4!A:C,2,FALSE)</f>
        <v>1048</v>
      </c>
      <c r="E179" s="106">
        <f>VLOOKUP(A179,Sheet5!A:B,2,FALSE)</f>
        <v>7.0067</v>
      </c>
      <c r="F179" s="106">
        <f>VLOOKUP(A179,Sheet6!A:B,2,FALSE)</f>
        <v>109.74</v>
      </c>
      <c r="G179" s="106">
        <f>VLOOKUP(A179,WTI原油期货!A:B,2,FALSE)</f>
        <v>85.36</v>
      </c>
      <c r="H179" s="106">
        <f>VLOOKUP(A179,天然气期货!A:B,2,FALSE)</f>
        <v>7.804</v>
      </c>
      <c r="I179" s="111">
        <f>VLOOKUP(A179,黄金期货!A:B,2,FALSE)</f>
        <v>1667.6</v>
      </c>
      <c r="J179" s="106">
        <f>VLOOKUP(A179,Sheet2!A:C,3,FALSE)</f>
        <v>1200</v>
      </c>
      <c r="L179" s="112">
        <f t="shared" si="7"/>
        <v>0</v>
      </c>
    </row>
    <row r="180" spans="1:12">
      <c r="A180" s="109">
        <v>44824</v>
      </c>
      <c r="B180" s="106">
        <f>VLOOKUP(A180,Sheet2!A:C,2,FALSE)</f>
        <v>147</v>
      </c>
      <c r="C180" s="106">
        <v>3450</v>
      </c>
      <c r="D180" s="106">
        <f>VLOOKUP(A180,Sheet4!A:C,2,FALSE)</f>
        <v>1049</v>
      </c>
      <c r="E180" s="106">
        <f>VLOOKUP(A180,Sheet5!A:B,2,FALSE)</f>
        <v>7.0183</v>
      </c>
      <c r="F180" s="106">
        <f>VLOOKUP(A180,Sheet6!A:B,2,FALSE)</f>
        <v>110.21</v>
      </c>
      <c r="G180" s="106">
        <f>VLOOKUP(A180,WTI原油期货!A:B,2,FALSE)</f>
        <v>83.94</v>
      </c>
      <c r="H180" s="106">
        <f>VLOOKUP(A180,天然气期货!A:B,2,FALSE)</f>
        <v>7.772</v>
      </c>
      <c r="I180" s="111">
        <f>VLOOKUP(A180,黄金期货!A:B,2,FALSE)</f>
        <v>1661</v>
      </c>
      <c r="J180" s="106">
        <f>VLOOKUP(A180,Sheet2!A:C,3,FALSE)</f>
        <v>1200</v>
      </c>
      <c r="L180" s="112">
        <f t="shared" si="7"/>
        <v>0</v>
      </c>
    </row>
    <row r="181" spans="1:12">
      <c r="A181" s="109">
        <v>44825</v>
      </c>
      <c r="B181" s="106">
        <f>VLOOKUP(A181,Sheet2!A:C,2,FALSE)</f>
        <v>145</v>
      </c>
      <c r="C181" s="106">
        <v>3450</v>
      </c>
      <c r="D181" s="106">
        <f>VLOOKUP(A181,Sheet4!A:C,2,FALSE)</f>
        <v>1050</v>
      </c>
      <c r="E181" s="106">
        <f>VLOOKUP(A181,Sheet5!A:B,2,FALSE)</f>
        <v>7.049</v>
      </c>
      <c r="F181" s="106">
        <f>VLOOKUP(A181,Sheet6!A:B,2,FALSE)</f>
        <v>110.64</v>
      </c>
      <c r="G181" s="106">
        <f>VLOOKUP(A181,WTI原油期货!A:B,2,FALSE)</f>
        <v>82.43</v>
      </c>
      <c r="H181" s="106">
        <f>VLOOKUP(A181,天然气期货!A:B,2,FALSE)</f>
        <v>7.827</v>
      </c>
      <c r="I181" s="111">
        <f>VLOOKUP(A181,黄金期货!A:B,2,FALSE)</f>
        <v>1665.8</v>
      </c>
      <c r="J181" s="106">
        <f>VLOOKUP(A181,Sheet2!A:C,3,FALSE)</f>
        <v>1200</v>
      </c>
      <c r="L181" s="112">
        <f t="shared" si="7"/>
        <v>0</v>
      </c>
    </row>
    <row r="182" spans="1:12">
      <c r="A182" s="109">
        <v>44826</v>
      </c>
      <c r="B182" s="106">
        <f>VLOOKUP(A182,Sheet2!A:C,2,FALSE)</f>
        <v>144</v>
      </c>
      <c r="C182" s="106">
        <v>3400</v>
      </c>
      <c r="D182" s="106">
        <f>VLOOKUP(A182,Sheet4!A:C,2,FALSE)</f>
        <v>1053</v>
      </c>
      <c r="E182" s="106">
        <f>VLOOKUP(A182,Sheet5!A:B,2,FALSE)</f>
        <v>7.0781</v>
      </c>
      <c r="F182" s="106">
        <f>VLOOKUP(A182,Sheet6!A:B,2,FALSE)</f>
        <v>111.35</v>
      </c>
      <c r="G182" s="106">
        <f>VLOOKUP(A182,WTI原油期货!A:B,2,FALSE)</f>
        <v>83.03</v>
      </c>
      <c r="H182" s="106">
        <f>VLOOKUP(A182,天然气期货!A:B,2,FALSE)</f>
        <v>7.193</v>
      </c>
      <c r="I182" s="111">
        <f>VLOOKUP(A182,黄金期货!A:B,2,FALSE)</f>
        <v>1671.4</v>
      </c>
      <c r="J182" s="106">
        <f>VLOOKUP(A182,Sheet2!A:C,3,FALSE)</f>
        <v>1210</v>
      </c>
      <c r="L182" s="112">
        <f t="shared" si="7"/>
        <v>0.00833333333333333</v>
      </c>
    </row>
    <row r="183" spans="1:12">
      <c r="A183" s="109">
        <v>44827</v>
      </c>
      <c r="B183" s="106">
        <f>VLOOKUP(A183,Sheet2!A:C,2,FALSE)</f>
        <v>144</v>
      </c>
      <c r="C183" s="106">
        <v>3400</v>
      </c>
      <c r="D183" s="106">
        <f>VLOOKUP(A183,Sheet4!A:C,2,FALSE)</f>
        <v>1054</v>
      </c>
      <c r="E183" s="106">
        <f>VLOOKUP(A183,Sheet5!A:B,2,FALSE)</f>
        <v>7.1284</v>
      </c>
      <c r="F183" s="106">
        <f>VLOOKUP(A183,Sheet6!A:B,2,FALSE)</f>
        <v>113.19</v>
      </c>
      <c r="G183" s="106">
        <f>VLOOKUP(A183,WTI原油期货!A:B,2,FALSE)</f>
        <v>78.25</v>
      </c>
      <c r="H183" s="106">
        <f>VLOOKUP(A183,天然气期货!A:B,2,FALSE)</f>
        <v>6.992</v>
      </c>
      <c r="I183" s="111">
        <f>VLOOKUP(A183,黄金期货!A:B,2,FALSE)</f>
        <v>1645.3</v>
      </c>
      <c r="J183" s="106">
        <f>VLOOKUP(A183,Sheet2!A:C,3,FALSE)</f>
        <v>1250</v>
      </c>
      <c r="L183" s="112">
        <f t="shared" si="7"/>
        <v>0.0330578512396694</v>
      </c>
    </row>
    <row r="184" spans="1:12">
      <c r="A184" s="109">
        <v>44830</v>
      </c>
      <c r="B184" s="106">
        <f>VLOOKUP(A184,Sheet2!A:C,2,FALSE)</f>
        <v>142</v>
      </c>
      <c r="C184" s="106">
        <v>3400</v>
      </c>
      <c r="D184" s="106">
        <f>VLOOKUP(A184,Sheet4!A:C,2,FALSE)</f>
        <v>1053</v>
      </c>
      <c r="E184" s="106">
        <f>VLOOKUP(A184,Sheet5!A:B,2,FALSE)</f>
        <v>7.1338</v>
      </c>
      <c r="F184" s="106">
        <f>VLOOKUP(A184,Sheet6!A:B,2,FALSE)</f>
        <v>114.1</v>
      </c>
      <c r="G184" s="106">
        <f>VLOOKUP(A184,WTI原油期货!A:B,2,FALSE)</f>
        <v>76.18</v>
      </c>
      <c r="H184" s="106">
        <f>VLOOKUP(A184,天然气期货!A:B,2,FALSE)</f>
        <v>7.014</v>
      </c>
      <c r="I184" s="111">
        <f>VLOOKUP(A184,黄金期货!A:B,2,FALSE)</f>
        <v>1623.6</v>
      </c>
      <c r="J184" s="106">
        <f>VLOOKUP(A184,Sheet2!A:C,3,FALSE)</f>
        <v>1270</v>
      </c>
      <c r="L184" s="112">
        <f t="shared" si="7"/>
        <v>0.016</v>
      </c>
    </row>
    <row r="185" spans="1:12">
      <c r="A185" s="109">
        <v>44831</v>
      </c>
      <c r="B185" s="106">
        <f>VLOOKUP(A185,Sheet2!A:C,2,FALSE)</f>
        <v>142</v>
      </c>
      <c r="C185" s="106">
        <v>3400</v>
      </c>
      <c r="D185" s="106">
        <f>VLOOKUP(A185,Sheet4!A:C,2,FALSE)</f>
        <v>1054</v>
      </c>
      <c r="E185" s="106">
        <f>VLOOKUP(A185,Sheet5!A:B,2,FALSE)</f>
        <v>7.1779</v>
      </c>
      <c r="F185" s="106">
        <f>VLOOKUP(A185,Sheet6!A:B,2,FALSE)</f>
        <v>114.11</v>
      </c>
      <c r="G185" s="106">
        <f>VLOOKUP(A185,WTI原油期货!A:B,2,FALSE)</f>
        <v>77.81</v>
      </c>
      <c r="H185" s="106">
        <f>VLOOKUP(A185,天然气期货!A:B,2,FALSE)</f>
        <v>6.76</v>
      </c>
      <c r="I185" s="111">
        <f>VLOOKUP(A185,黄金期货!A:B,2,FALSE)</f>
        <v>1626.5</v>
      </c>
      <c r="J185" s="106">
        <f>VLOOKUP(A185,Sheet2!A:C,3,FALSE)</f>
        <v>1300</v>
      </c>
      <c r="L185" s="112">
        <f t="shared" si="7"/>
        <v>0.0236220472440945</v>
      </c>
    </row>
    <row r="186" spans="1:12">
      <c r="A186" s="109">
        <v>44832</v>
      </c>
      <c r="B186" s="106">
        <f>VLOOKUP(A186,Sheet2!A:C,2,FALSE)</f>
        <v>139</v>
      </c>
      <c r="C186" s="106">
        <v>3400</v>
      </c>
      <c r="D186" s="106">
        <f>VLOOKUP(A186,Sheet4!A:C,2,FALSE)</f>
        <v>1054</v>
      </c>
      <c r="E186" s="106">
        <f>VLOOKUP(A186,Sheet5!A:B,2,FALSE)</f>
        <v>7.2005</v>
      </c>
      <c r="F186" s="106">
        <f>VLOOKUP(A186,Sheet6!A:B,2,FALSE)</f>
        <v>112.6</v>
      </c>
      <c r="G186" s="106">
        <f>VLOOKUP(A186,WTI原油期货!A:B,2,FALSE)</f>
        <v>81.24</v>
      </c>
      <c r="H186" s="106">
        <f>VLOOKUP(A186,天然气期货!A:B,2,FALSE)</f>
        <v>6.955</v>
      </c>
      <c r="I186" s="111">
        <f>VLOOKUP(A186,黄金期货!A:B,2,FALSE)</f>
        <v>1660.3</v>
      </c>
      <c r="J186" s="106">
        <f>VLOOKUP(A186,Sheet2!A:C,3,FALSE)</f>
        <v>1300</v>
      </c>
      <c r="L186" s="112">
        <f t="shared" si="7"/>
        <v>0</v>
      </c>
    </row>
    <row r="187" spans="1:12">
      <c r="A187" s="109">
        <v>44833</v>
      </c>
      <c r="B187" s="106">
        <f>VLOOKUP(A187,Sheet2!A:C,2,FALSE)</f>
        <v>140</v>
      </c>
      <c r="C187" s="106">
        <v>3400</v>
      </c>
      <c r="D187" s="106">
        <f>VLOOKUP(A187,Sheet4!A:C,2,FALSE)</f>
        <v>1057</v>
      </c>
      <c r="E187" s="106">
        <f>VLOOKUP(A187,Sheet5!A:B,2,FALSE)</f>
        <v>7.125</v>
      </c>
      <c r="F187" s="106">
        <f>VLOOKUP(A187,Sheet6!A:B,2,FALSE)</f>
        <v>112.25</v>
      </c>
      <c r="G187" s="106">
        <f>VLOOKUP(A187,WTI原油期货!A:B,2,FALSE)</f>
        <v>80.42</v>
      </c>
      <c r="H187" s="106">
        <f>VLOOKUP(A187,天然气期货!A:B,2,FALSE)</f>
        <v>7.142</v>
      </c>
      <c r="I187" s="111">
        <f>VLOOKUP(A187,黄金期货!A:B,2,FALSE)</f>
        <v>1663.6</v>
      </c>
      <c r="J187" s="106">
        <f>VLOOKUP(A187,Sheet2!A:C,3,FALSE)</f>
        <v>1300</v>
      </c>
      <c r="L187" s="112">
        <f t="shared" si="7"/>
        <v>0</v>
      </c>
    </row>
    <row r="188" spans="1:12">
      <c r="A188" s="109">
        <v>44834</v>
      </c>
      <c r="B188" s="106">
        <f>VLOOKUP(A188,Sheet2!A:C,2,FALSE)</f>
        <v>146</v>
      </c>
      <c r="C188" s="106">
        <v>3400</v>
      </c>
      <c r="D188" s="106">
        <f>VLOOKUP(A188,Sheet4!A:C,2,FALSE)</f>
        <v>1058</v>
      </c>
      <c r="E188" s="106">
        <f>VLOOKUP(A188,Sheet5!A:B,2,FALSE)</f>
        <v>7.116</v>
      </c>
      <c r="F188" s="106">
        <f>VLOOKUP(A188,Sheet6!A:B,2,FALSE)</f>
        <v>112.12</v>
      </c>
      <c r="G188" s="106">
        <f>VLOOKUP(A188,WTI原油期货!A:B,2,FALSE)</f>
        <v>78.72</v>
      </c>
      <c r="H188" s="106">
        <f>VLOOKUP(A188,天然气期货!A:B,2,FALSE)</f>
        <v>7.065</v>
      </c>
      <c r="I188" s="111">
        <f>VLOOKUP(A188,黄金期货!A:B,2,FALSE)</f>
        <v>1667.2</v>
      </c>
      <c r="J188" s="106">
        <f>VLOOKUP(A188,Sheet2!A:C,3,FALSE)</f>
        <v>1300</v>
      </c>
      <c r="L188" s="112">
        <f t="shared" si="7"/>
        <v>0</v>
      </c>
    </row>
    <row r="189" spans="1:12">
      <c r="A189" s="109">
        <v>44842</v>
      </c>
      <c r="B189" s="106">
        <f>VLOOKUP(A189,Sheet2!A:C,2,FALSE)</f>
        <v>146</v>
      </c>
      <c r="C189" s="106">
        <v>3400</v>
      </c>
      <c r="D189" s="106">
        <f>VLOOKUP(A189,Sheet4!A:C,2,FALSE)</f>
        <v>1064</v>
      </c>
      <c r="E189" s="106">
        <f t="shared" ref="E189:E190" si="8">E188</f>
        <v>7.116</v>
      </c>
      <c r="F189" s="106">
        <f t="shared" ref="F189:F190" si="9">F188</f>
        <v>112.12</v>
      </c>
      <c r="G189" s="106">
        <f t="shared" ref="G189:G190" si="10">G188</f>
        <v>78.72</v>
      </c>
      <c r="H189" s="106">
        <f t="shared" ref="H189:H190" si="11">H188</f>
        <v>7.065</v>
      </c>
      <c r="I189" s="111">
        <f t="shared" ref="I189:I190" si="12">I188</f>
        <v>1667.2</v>
      </c>
      <c r="J189" s="106">
        <f>VLOOKUP(A189,Sheet2!A:C,3,FALSE)</f>
        <v>1300</v>
      </c>
      <c r="L189" s="112">
        <f t="shared" si="7"/>
        <v>0</v>
      </c>
    </row>
    <row r="190" spans="1:12">
      <c r="A190" s="109">
        <v>44843</v>
      </c>
      <c r="B190" s="106">
        <f>VLOOKUP(A190,Sheet2!A:C,2,FALSE)</f>
        <v>146</v>
      </c>
      <c r="C190" s="106">
        <v>3450</v>
      </c>
      <c r="D190" s="106">
        <f>VLOOKUP(A190,Sheet4!A:C,2,FALSE)</f>
        <v>1069</v>
      </c>
      <c r="E190" s="106">
        <f t="shared" si="8"/>
        <v>7.116</v>
      </c>
      <c r="F190" s="106">
        <f t="shared" si="9"/>
        <v>112.12</v>
      </c>
      <c r="G190" s="106">
        <f t="shared" si="10"/>
        <v>78.72</v>
      </c>
      <c r="H190" s="106">
        <f t="shared" si="11"/>
        <v>7.065</v>
      </c>
      <c r="I190" s="111">
        <f t="shared" si="12"/>
        <v>1667.2</v>
      </c>
      <c r="J190" s="106">
        <f>VLOOKUP(A190,Sheet2!A:C,3,FALSE)</f>
        <v>1300</v>
      </c>
      <c r="L190" s="112">
        <f t="shared" si="7"/>
        <v>0</v>
      </c>
    </row>
    <row r="191" spans="1:12">
      <c r="A191" s="109">
        <v>44844</v>
      </c>
      <c r="B191" s="106">
        <f>VLOOKUP(A191,Sheet2!A:C,2,FALSE)</f>
        <v>150</v>
      </c>
      <c r="C191" s="106">
        <v>3450</v>
      </c>
      <c r="D191" s="106">
        <f>VLOOKUP(A191,Sheet4!A:C,2,FALSE)</f>
        <v>1074</v>
      </c>
      <c r="E191" s="106">
        <f>VLOOKUP(A191,Sheet5!A:B,2,FALSE)</f>
        <v>7.1546</v>
      </c>
      <c r="F191" s="106">
        <f>VLOOKUP(A191,Sheet6!A:B,2,FALSE)</f>
        <v>113.14</v>
      </c>
      <c r="G191" s="106">
        <f>VLOOKUP(A191,WTI原油期货!A:B,2,FALSE)</f>
        <v>89.84</v>
      </c>
      <c r="H191" s="106">
        <f>VLOOKUP(A191,天然气期货!A:B,2,FALSE)</f>
        <v>6.784</v>
      </c>
      <c r="I191" s="111">
        <f>VLOOKUP(A191,黄金期货!A:B,2,FALSE)</f>
        <v>1670.1</v>
      </c>
      <c r="J191" s="106">
        <f>VLOOKUP(A191,Sheet2!A:C,3,FALSE)</f>
        <v>1350</v>
      </c>
      <c r="L191" s="112">
        <f t="shared" si="7"/>
        <v>0.0384615384615385</v>
      </c>
    </row>
    <row r="192" spans="1:12">
      <c r="A192" s="109">
        <v>44845</v>
      </c>
      <c r="B192" s="106">
        <f>VLOOKUP(A192,Sheet2!A:C,2,FALSE)</f>
        <v>150</v>
      </c>
      <c r="C192" s="106">
        <v>3450</v>
      </c>
      <c r="D192" s="106">
        <f>VLOOKUP(A192,Sheet4!A:C,2,FALSE)</f>
        <v>1075</v>
      </c>
      <c r="E192" s="106">
        <f>VLOOKUP(A192,Sheet5!A:B,2,FALSE)</f>
        <v>7.1655</v>
      </c>
      <c r="F192" s="106">
        <f>VLOOKUP(A192,Sheet6!A:B,2,FALSE)</f>
        <v>113.22</v>
      </c>
      <c r="G192" s="106">
        <f>VLOOKUP(A192,WTI原油期货!A:B,2,FALSE)</f>
        <v>87.97</v>
      </c>
      <c r="H192" s="106">
        <f>VLOOKUP(A192,天然气期货!A:B,2,FALSE)</f>
        <v>6.928</v>
      </c>
      <c r="I192" s="111">
        <f>VLOOKUP(A192,黄金期货!A:B,2,FALSE)</f>
        <v>1680.9</v>
      </c>
      <c r="J192" s="106">
        <f>VLOOKUP(A192,Sheet2!A:C,3,FALSE)</f>
        <v>1360</v>
      </c>
      <c r="L192" s="112">
        <f t="shared" si="7"/>
        <v>0.00740740740740741</v>
      </c>
    </row>
    <row r="193" spans="1:12">
      <c r="A193" s="109">
        <v>44846</v>
      </c>
      <c r="B193" s="106">
        <f>VLOOKUP(A193,Sheet2!A:C,2,FALSE)</f>
        <v>156</v>
      </c>
      <c r="C193" s="106">
        <v>3450</v>
      </c>
      <c r="D193" s="106">
        <f>VLOOKUP(A193,Sheet4!A:C,2,FALSE)</f>
        <v>1073</v>
      </c>
      <c r="E193" s="106">
        <f>VLOOKUP(A193,Sheet5!A:B,2,FALSE)</f>
        <v>7.1748</v>
      </c>
      <c r="F193" s="106">
        <f>VLOOKUP(A193,Sheet6!A:B,2,FALSE)</f>
        <v>113.32</v>
      </c>
      <c r="G193" s="106">
        <f>VLOOKUP(A193,WTI原油期货!A:B,2,FALSE)</f>
        <v>86.06</v>
      </c>
      <c r="H193" s="106">
        <f>VLOOKUP(A193,天然气期货!A:B,2,FALSE)</f>
        <v>6.766</v>
      </c>
      <c r="I193" s="111">
        <f>VLOOKUP(A193,黄金期货!A:B,2,FALSE)</f>
        <v>1672.3</v>
      </c>
      <c r="J193" s="106">
        <f>VLOOKUP(A193,Sheet2!A:C,3,FALSE)</f>
        <v>1400</v>
      </c>
      <c r="L193" s="112">
        <f t="shared" si="7"/>
        <v>0.0294117647058824</v>
      </c>
    </row>
    <row r="194" spans="1:12">
      <c r="A194" s="109">
        <v>44847</v>
      </c>
      <c r="B194" s="106">
        <f>VLOOKUP(A194,Sheet2!A:C,2,FALSE)</f>
        <v>154</v>
      </c>
      <c r="C194" s="106">
        <v>3450</v>
      </c>
      <c r="D194" s="106">
        <f>VLOOKUP(A194,Sheet4!A:C,2,FALSE)</f>
        <v>1073</v>
      </c>
      <c r="E194" s="106">
        <f>VLOOKUP(A194,Sheet5!A:B,2,FALSE)</f>
        <v>7.1706</v>
      </c>
      <c r="F194" s="106">
        <f>VLOOKUP(A194,Sheet6!A:B,2,FALSE)</f>
        <v>112.36</v>
      </c>
      <c r="G194" s="106">
        <f>VLOOKUP(A194,WTI原油期货!A:B,2,FALSE)</f>
        <v>87.95</v>
      </c>
      <c r="H194" s="106">
        <f>VLOOKUP(A194,天然气期货!A:B,2,FALSE)</f>
        <v>7.053</v>
      </c>
      <c r="I194" s="111">
        <f>VLOOKUP(A194,黄金期货!A:B,2,FALSE)</f>
        <v>1671.8</v>
      </c>
      <c r="J194" s="106">
        <f>VLOOKUP(A194,Sheet2!A:C,3,FALSE)</f>
        <v>1420</v>
      </c>
      <c r="L194" s="112">
        <f t="shared" si="7"/>
        <v>0.0142857142857143</v>
      </c>
    </row>
    <row r="195" spans="1:12">
      <c r="A195" s="109">
        <v>44848</v>
      </c>
      <c r="B195" s="106">
        <f>VLOOKUP(A195,Sheet2!A:C,2,FALSE)</f>
        <v>153</v>
      </c>
      <c r="C195" s="106">
        <v>3450</v>
      </c>
      <c r="D195" s="106">
        <f>VLOOKUP(A195,Sheet4!A:C,2,FALSE)</f>
        <v>1074</v>
      </c>
      <c r="E195" s="106">
        <f>VLOOKUP(A195,Sheet5!A:B,2,FALSE)</f>
        <v>7.191</v>
      </c>
      <c r="F195" s="106">
        <f>VLOOKUP(A195,Sheet6!A:B,2,FALSE)</f>
        <v>113.31</v>
      </c>
      <c r="G195" s="106">
        <f>VLOOKUP(A195,WTI原油期货!A:B,2,FALSE)</f>
        <v>84.65</v>
      </c>
      <c r="H195" s="106">
        <f>VLOOKUP(A195,天然气期货!A:B,2,FALSE)</f>
        <v>6.827</v>
      </c>
      <c r="I195" s="111">
        <f>VLOOKUP(A195,黄金期货!A:B,2,FALSE)</f>
        <v>1643.7</v>
      </c>
      <c r="J195" s="106">
        <f>VLOOKUP(A195,Sheet2!A:C,3,FALSE)</f>
        <v>1450</v>
      </c>
      <c r="L195" s="112">
        <f t="shared" ref="L195:L258" si="13">(J195-J194)/J194</f>
        <v>0.0211267605633803</v>
      </c>
    </row>
    <row r="196" spans="1:12">
      <c r="A196" s="109">
        <v>44851</v>
      </c>
      <c r="B196" s="106">
        <f>VLOOKUP(A196,Sheet2!A:C,2,FALSE)</f>
        <v>150</v>
      </c>
      <c r="C196" s="106">
        <v>3450</v>
      </c>
      <c r="D196" s="106">
        <f>VLOOKUP(A196,Sheet4!A:C,2,FALSE)</f>
        <v>1072</v>
      </c>
      <c r="E196" s="106">
        <f>VLOOKUP(A196,Sheet5!A:B,2,FALSE)</f>
        <v>7.1965</v>
      </c>
      <c r="F196" s="106">
        <f>VLOOKUP(A196,Sheet6!A:B,2,FALSE)</f>
        <v>112.04</v>
      </c>
      <c r="G196" s="106">
        <f>VLOOKUP(A196,WTI原油期货!A:B,2,FALSE)</f>
        <v>84.53</v>
      </c>
      <c r="H196" s="106">
        <f>VLOOKUP(A196,天然气期货!A:B,2,FALSE)</f>
        <v>6.479</v>
      </c>
      <c r="I196" s="111">
        <f>VLOOKUP(A196,黄金期货!A:B,2,FALSE)</f>
        <v>1658.9</v>
      </c>
      <c r="J196" s="106">
        <f>VLOOKUP(A196,Sheet2!A:C,3,FALSE)</f>
        <v>1450</v>
      </c>
      <c r="L196" s="112">
        <f t="shared" si="13"/>
        <v>0</v>
      </c>
    </row>
    <row r="197" spans="1:12">
      <c r="A197" s="109">
        <v>44852</v>
      </c>
      <c r="B197" s="106">
        <f>VLOOKUP(A197,Sheet2!A:C,2,FALSE)</f>
        <v>150</v>
      </c>
      <c r="C197" s="106">
        <v>3450</v>
      </c>
      <c r="D197" s="106">
        <f>VLOOKUP(A197,Sheet4!A:C,2,FALSE)</f>
        <v>1070</v>
      </c>
      <c r="E197" s="106">
        <f>VLOOKUP(A197,Sheet5!A:B,2,FALSE)</f>
        <v>7.2021</v>
      </c>
      <c r="F197" s="106">
        <f>VLOOKUP(A197,Sheet6!A:B,2,FALSE)</f>
        <v>112.13</v>
      </c>
      <c r="G197" s="106">
        <f>VLOOKUP(A197,WTI原油期货!A:B,2,FALSE)</f>
        <v>82.07</v>
      </c>
      <c r="H197" s="106">
        <f>VLOOKUP(A197,天然气期货!A:B,2,FALSE)</f>
        <v>6.237</v>
      </c>
      <c r="I197" s="111">
        <f>VLOOKUP(A197,黄金期货!A:B,2,FALSE)</f>
        <v>1650.7</v>
      </c>
      <c r="J197" s="106">
        <f>VLOOKUP(A197,Sheet2!A:C,3,FALSE)</f>
        <v>1495</v>
      </c>
      <c r="L197" s="112">
        <f t="shared" si="13"/>
        <v>0.0310344827586207</v>
      </c>
    </row>
    <row r="198" spans="1:12">
      <c r="A198" s="109">
        <v>44853</v>
      </c>
      <c r="B198" s="106">
        <f>VLOOKUP(A198,Sheet2!A:C,2,FALSE)</f>
        <v>147</v>
      </c>
      <c r="C198" s="106">
        <v>3450</v>
      </c>
      <c r="D198" s="106">
        <f>VLOOKUP(A198,Sheet4!A:C,2,FALSE)</f>
        <v>1070</v>
      </c>
      <c r="E198" s="106">
        <f>VLOOKUP(A198,Sheet5!A:B,2,FALSE)</f>
        <v>7.2288</v>
      </c>
      <c r="F198" s="106">
        <f>VLOOKUP(A198,Sheet6!A:B,2,FALSE)</f>
        <v>112.98</v>
      </c>
      <c r="G198" s="106">
        <f>VLOOKUP(A198,WTI原油期货!A:B,2,FALSE)</f>
        <v>84.52</v>
      </c>
      <c r="H198" s="106">
        <f>VLOOKUP(A198,天然气期货!A:B,2,FALSE)</f>
        <v>5.928</v>
      </c>
      <c r="I198" s="111">
        <f>VLOOKUP(A198,黄金期货!A:B,2,FALSE)</f>
        <v>1629</v>
      </c>
      <c r="J198" s="106">
        <f>VLOOKUP(A198,Sheet2!A:C,3,FALSE)</f>
        <v>1530</v>
      </c>
      <c r="L198" s="112">
        <f t="shared" si="13"/>
        <v>0.0234113712374582</v>
      </c>
    </row>
    <row r="199" spans="1:12">
      <c r="A199" s="109">
        <v>44854</v>
      </c>
      <c r="B199" s="106">
        <f>VLOOKUP(A199,Sheet2!A:C,2,FALSE)</f>
        <v>150</v>
      </c>
      <c r="C199" s="106">
        <v>3450</v>
      </c>
      <c r="D199" s="106">
        <f>VLOOKUP(A199,Sheet4!A:C,2,FALSE)</f>
        <v>1069</v>
      </c>
      <c r="E199" s="106">
        <f>VLOOKUP(A199,Sheet5!A:B,2,FALSE)</f>
        <v>7.2168</v>
      </c>
      <c r="F199" s="106">
        <f>VLOOKUP(A199,Sheet6!A:B,2,FALSE)</f>
        <v>112.88</v>
      </c>
      <c r="G199" s="106">
        <f>VLOOKUP(A199,WTI原油期货!A:B,2,FALSE)</f>
        <v>84.51</v>
      </c>
      <c r="H199" s="106">
        <f>VLOOKUP(A199,天然气期货!A:B,2,FALSE)</f>
        <v>5.838</v>
      </c>
      <c r="I199" s="111">
        <f>VLOOKUP(A199,黄金期货!A:B,2,FALSE)</f>
        <v>1631.8</v>
      </c>
      <c r="J199" s="106">
        <f>VLOOKUP(A199,Sheet2!A:C,3,FALSE)</f>
        <v>1570</v>
      </c>
      <c r="L199" s="112">
        <f t="shared" si="13"/>
        <v>0.0261437908496732</v>
      </c>
    </row>
    <row r="200" spans="1:12">
      <c r="A200" s="109">
        <v>44855</v>
      </c>
      <c r="B200" s="106">
        <f>VLOOKUP(A200,Sheet2!A:C,2,FALSE)</f>
        <v>150</v>
      </c>
      <c r="C200" s="106">
        <v>3450</v>
      </c>
      <c r="D200" s="106">
        <f>VLOOKUP(A200,Sheet4!A:C,2,FALSE)</f>
        <v>1069</v>
      </c>
      <c r="E200" s="106">
        <f>VLOOKUP(A200,Sheet5!A:B,2,FALSE)</f>
        <v>7.2438</v>
      </c>
      <c r="F200" s="106">
        <f>VLOOKUP(A200,Sheet6!A:B,2,FALSE)</f>
        <v>112.01</v>
      </c>
      <c r="G200" s="106">
        <f>VLOOKUP(A200,WTI原油期货!A:B,2,FALSE)</f>
        <v>83.95</v>
      </c>
      <c r="H200" s="106">
        <f>VLOOKUP(A200,天然气期货!A:B,2,FALSE)</f>
        <v>5.472</v>
      </c>
      <c r="I200" s="111">
        <f>VLOOKUP(A200,黄金期货!A:B,2,FALSE)</f>
        <v>1651.5</v>
      </c>
      <c r="J200" s="106">
        <f>VLOOKUP(A200,Sheet2!A:C,3,FALSE)</f>
        <v>1570</v>
      </c>
      <c r="L200" s="112">
        <f t="shared" si="13"/>
        <v>0</v>
      </c>
    </row>
    <row r="201" spans="1:12">
      <c r="A201" s="109">
        <v>44858</v>
      </c>
      <c r="B201" s="106">
        <f>VLOOKUP(A201,Sheet2!A:C,2,FALSE)</f>
        <v>157</v>
      </c>
      <c r="C201" s="106">
        <v>3450</v>
      </c>
      <c r="D201" s="106">
        <f>VLOOKUP(A201,Sheet4!A:C,2,FALSE)</f>
        <v>1067</v>
      </c>
      <c r="E201" s="106">
        <f>VLOOKUP(A201,Sheet5!A:B,2,FALSE)</f>
        <v>7.263</v>
      </c>
      <c r="F201" s="106">
        <f>VLOOKUP(A201,Sheet6!A:B,2,FALSE)</f>
        <v>111.99</v>
      </c>
      <c r="G201" s="106">
        <f>VLOOKUP(A201,WTI原油期货!A:B,2,FALSE)</f>
        <v>83.59</v>
      </c>
      <c r="H201" s="106">
        <f>VLOOKUP(A201,天然气期货!A:B,2,FALSE)</f>
        <v>5.753</v>
      </c>
      <c r="I201" s="111">
        <f>VLOOKUP(A201,黄金期货!A:B,2,FALSE)</f>
        <v>1649.2</v>
      </c>
      <c r="J201" s="106">
        <f>VLOOKUP(A201,Sheet2!A:C,3,FALSE)</f>
        <v>1570</v>
      </c>
      <c r="L201" s="112">
        <f t="shared" si="13"/>
        <v>0</v>
      </c>
    </row>
    <row r="202" spans="1:12">
      <c r="A202" s="109">
        <v>44859</v>
      </c>
      <c r="B202" s="106">
        <f>VLOOKUP(A202,Sheet2!A:C,2,FALSE)</f>
        <v>156</v>
      </c>
      <c r="C202" s="106">
        <v>3450</v>
      </c>
      <c r="D202" s="106">
        <f>VLOOKUP(A202,Sheet4!A:C,2,FALSE)</f>
        <v>1064</v>
      </c>
      <c r="E202" s="106">
        <f>VLOOKUP(A202,Sheet5!A:B,2,FALSE)</f>
        <v>7.2694</v>
      </c>
      <c r="F202" s="106">
        <f>VLOOKUP(A202,Sheet6!A:B,2,FALSE)</f>
        <v>110.95</v>
      </c>
      <c r="G202" s="106">
        <f>VLOOKUP(A202,WTI原油期货!A:B,2,FALSE)</f>
        <v>84.31</v>
      </c>
      <c r="H202" s="106">
        <f>VLOOKUP(A202,天然气期货!A:B,2,FALSE)</f>
        <v>6.166</v>
      </c>
      <c r="I202" s="111">
        <f>VLOOKUP(A202,黄金期货!A:B,2,FALSE)</f>
        <v>1653.3</v>
      </c>
      <c r="J202" s="106">
        <f>VLOOKUP(A202,Sheet2!A:C,3,FALSE)</f>
        <v>1550</v>
      </c>
      <c r="L202" s="112">
        <f t="shared" si="13"/>
        <v>-0.0127388535031847</v>
      </c>
    </row>
    <row r="203" spans="1:12">
      <c r="A203" s="109">
        <v>44860</v>
      </c>
      <c r="B203" s="106">
        <f>VLOOKUP(A203,Sheet2!A:C,2,FALSE)</f>
        <v>156</v>
      </c>
      <c r="C203" s="106">
        <v>3450</v>
      </c>
      <c r="D203" s="106">
        <f>VLOOKUP(A203,Sheet4!A:C,2,FALSE)</f>
        <v>1063</v>
      </c>
      <c r="E203" s="106">
        <f>VLOOKUP(A203,Sheet5!A:B,2,FALSE)</f>
        <v>7.173</v>
      </c>
      <c r="F203" s="106">
        <f>VLOOKUP(A203,Sheet6!A:B,2,FALSE)</f>
        <v>109.7</v>
      </c>
      <c r="G203" s="106">
        <f>VLOOKUP(A203,WTI原油期货!A:B,2,FALSE)</f>
        <v>86.68</v>
      </c>
      <c r="H203" s="106">
        <f>VLOOKUP(A203,天然气期货!A:B,2,FALSE)</f>
        <v>6.119</v>
      </c>
      <c r="I203" s="111">
        <f>VLOOKUP(A203,黄金期货!A:B,2,FALSE)</f>
        <v>1664.4</v>
      </c>
      <c r="J203" s="106">
        <f>VLOOKUP(A203,Sheet2!A:C,3,FALSE)</f>
        <v>1530</v>
      </c>
      <c r="L203" s="112">
        <f t="shared" si="13"/>
        <v>-0.0129032258064516</v>
      </c>
    </row>
    <row r="204" spans="1:12">
      <c r="A204" s="109">
        <v>44861</v>
      </c>
      <c r="B204" s="106">
        <f>VLOOKUP(A204,Sheet2!A:C,2,FALSE)</f>
        <v>154</v>
      </c>
      <c r="C204" s="106">
        <v>3450</v>
      </c>
      <c r="D204" s="106">
        <f>VLOOKUP(A204,Sheet4!A:C,2,FALSE)</f>
        <v>1061</v>
      </c>
      <c r="E204" s="106">
        <f>VLOOKUP(A204,Sheet5!A:B,2,FALSE)</f>
        <v>7.229</v>
      </c>
      <c r="F204" s="106">
        <f>VLOOKUP(A204,Sheet6!A:B,2,FALSE)</f>
        <v>110.59</v>
      </c>
      <c r="G204" s="106">
        <f>VLOOKUP(A204,WTI原油期货!A:B,2,FALSE)</f>
        <v>87.83</v>
      </c>
      <c r="H204" s="106">
        <f>VLOOKUP(A204,天然气期货!A:B,2,FALSE)</f>
        <v>5.875</v>
      </c>
      <c r="I204" s="111">
        <f>VLOOKUP(A204,黄金期货!A:B,2,FALSE)</f>
        <v>1660.3</v>
      </c>
      <c r="J204" s="106">
        <f>VLOOKUP(A204,Sheet2!A:C,3,FALSE)</f>
        <v>1480</v>
      </c>
      <c r="L204" s="112">
        <f t="shared" si="13"/>
        <v>-0.0326797385620915</v>
      </c>
    </row>
    <row r="205" spans="1:12">
      <c r="A205" s="109">
        <v>44862</v>
      </c>
      <c r="B205" s="106">
        <f>VLOOKUP(A205,Sheet2!A:C,2,FALSE)</f>
        <v>152</v>
      </c>
      <c r="C205" s="106">
        <v>3450</v>
      </c>
      <c r="D205" s="106">
        <f>VLOOKUP(A205,Sheet4!A:C,2,FALSE)</f>
        <v>1057</v>
      </c>
      <c r="E205" s="106">
        <f>VLOOKUP(A205,Sheet5!A:B,2,FALSE)</f>
        <v>7.2525</v>
      </c>
      <c r="F205" s="106">
        <f>VLOOKUP(A205,Sheet6!A:B,2,FALSE)</f>
        <v>110.75</v>
      </c>
      <c r="G205" s="106">
        <f>VLOOKUP(A205,WTI原油期货!A:B,2,FALSE)</f>
        <v>86.61</v>
      </c>
      <c r="H205" s="106">
        <f>VLOOKUP(A205,天然气期货!A:B,2,FALSE)</f>
        <v>5.953</v>
      </c>
      <c r="I205" s="111">
        <f>VLOOKUP(A205,黄金期货!A:B,2,FALSE)</f>
        <v>1644.8</v>
      </c>
      <c r="J205" s="106">
        <f>VLOOKUP(A205,Sheet2!A:C,3,FALSE)</f>
        <v>1500</v>
      </c>
      <c r="L205" s="112">
        <f t="shared" si="13"/>
        <v>0.0135135135135135</v>
      </c>
    </row>
    <row r="206" spans="1:12">
      <c r="A206" s="109">
        <v>44865</v>
      </c>
      <c r="B206" s="106">
        <f>VLOOKUP(A206,Sheet2!A:C,2,FALSE)</f>
        <v>153</v>
      </c>
      <c r="C206" s="106">
        <v>3450</v>
      </c>
      <c r="D206" s="106">
        <f>VLOOKUP(A206,Sheet4!A:C,2,FALSE)</f>
        <v>1051</v>
      </c>
      <c r="E206" s="106">
        <f>VLOOKUP(A206,Sheet5!A:B,2,FALSE)</f>
        <v>7.3029</v>
      </c>
      <c r="F206" s="106">
        <f>VLOOKUP(A206,Sheet6!A:B,2,FALSE)</f>
        <v>111.53</v>
      </c>
      <c r="G206" s="106">
        <f>VLOOKUP(A206,WTI原油期货!A:B,2,FALSE)</f>
        <v>85.4</v>
      </c>
      <c r="H206" s="106">
        <f>VLOOKUP(A206,天然气期货!A:B,2,FALSE)</f>
        <v>6.607</v>
      </c>
      <c r="I206" s="111">
        <f>VLOOKUP(A206,黄金期货!A:B,2,FALSE)</f>
        <v>1640.7</v>
      </c>
      <c r="J206" s="106">
        <f>VLOOKUP(A206,Sheet2!A:C,3,FALSE)</f>
        <v>1520</v>
      </c>
      <c r="L206" s="112">
        <f t="shared" si="13"/>
        <v>0.0133333333333333</v>
      </c>
    </row>
    <row r="207" spans="1:12">
      <c r="A207" s="109">
        <v>44866</v>
      </c>
      <c r="B207" s="106">
        <f>VLOOKUP(A207,Sheet2!A:C,2,FALSE)</f>
        <v>153</v>
      </c>
      <c r="C207" s="106">
        <v>3450</v>
      </c>
      <c r="D207" s="106">
        <f>VLOOKUP(A207,Sheet4!A:C,2,FALSE)</f>
        <v>1049</v>
      </c>
      <c r="E207" s="106">
        <f>VLOOKUP(A207,Sheet5!A:B,2,FALSE)</f>
        <v>7.2775</v>
      </c>
      <c r="F207" s="106">
        <f>VLOOKUP(A207,Sheet6!A:B,2,FALSE)</f>
        <v>111.48</v>
      </c>
      <c r="G207" s="106">
        <f>VLOOKUP(A207,WTI原油期货!A:B,2,FALSE)</f>
        <v>87.19</v>
      </c>
      <c r="H207" s="106">
        <f>VLOOKUP(A207,天然气期货!A:B,2,FALSE)</f>
        <v>6.08</v>
      </c>
      <c r="I207" s="111">
        <f>VLOOKUP(A207,黄金期货!A:B,2,FALSE)</f>
        <v>1649.7</v>
      </c>
      <c r="J207" s="106">
        <f>VLOOKUP(A207,Sheet2!A:C,3,FALSE)</f>
        <v>1560</v>
      </c>
      <c r="L207" s="112">
        <f t="shared" si="13"/>
        <v>0.0263157894736842</v>
      </c>
    </row>
    <row r="208" spans="1:12">
      <c r="A208" s="109">
        <v>44867</v>
      </c>
      <c r="B208" s="106">
        <f>VLOOKUP(A208,Sheet2!A:C,2,FALSE)</f>
        <v>156</v>
      </c>
      <c r="C208" s="106">
        <v>3450</v>
      </c>
      <c r="D208" s="106">
        <f>VLOOKUP(A208,Sheet4!A:C,2,FALSE)</f>
        <v>1048</v>
      </c>
      <c r="E208" s="106">
        <f>VLOOKUP(A208,Sheet5!A:B,2,FALSE)</f>
        <v>7.29</v>
      </c>
      <c r="F208" s="106">
        <f>VLOOKUP(A208,Sheet6!A:B,2,FALSE)</f>
        <v>111.35</v>
      </c>
      <c r="G208" s="106">
        <f>VLOOKUP(A208,WTI原油期货!A:B,2,FALSE)</f>
        <v>88.86</v>
      </c>
      <c r="H208" s="106">
        <f>VLOOKUP(A208,天然气期货!A:B,2,FALSE)</f>
        <v>6.589</v>
      </c>
      <c r="I208" s="111">
        <f>VLOOKUP(A208,黄金期货!A:B,2,FALSE)</f>
        <v>1650</v>
      </c>
      <c r="J208" s="106">
        <f>VLOOKUP(A208,Sheet2!A:C,3,FALSE)</f>
        <v>1570</v>
      </c>
      <c r="L208" s="112">
        <f t="shared" si="13"/>
        <v>0.00641025641025641</v>
      </c>
    </row>
    <row r="209" spans="1:12">
      <c r="A209" s="109">
        <v>44868</v>
      </c>
      <c r="B209" s="106">
        <f>VLOOKUP(A209,Sheet2!A:C,2,FALSE)</f>
        <v>151</v>
      </c>
      <c r="C209" s="106">
        <v>3450</v>
      </c>
      <c r="D209" s="106">
        <f>VLOOKUP(A209,Sheet4!A:C,2,FALSE)</f>
        <v>1047</v>
      </c>
      <c r="E209" s="106">
        <f>VLOOKUP(A209,Sheet5!A:B,2,FALSE)</f>
        <v>7.3015</v>
      </c>
      <c r="F209" s="106">
        <f>VLOOKUP(A209,Sheet6!A:B,2,FALSE)</f>
        <v>112.93</v>
      </c>
      <c r="G209" s="106">
        <f>VLOOKUP(A209,WTI原油期货!A:B,2,FALSE)</f>
        <v>87.18</v>
      </c>
      <c r="H209" s="106">
        <f>VLOOKUP(A209,天然气期货!A:B,2,FALSE)</f>
        <v>6.33</v>
      </c>
      <c r="I209" s="111">
        <f>VLOOKUP(A209,黄金期货!A:B,2,FALSE)</f>
        <v>1630.9</v>
      </c>
      <c r="J209" s="106">
        <f>VLOOKUP(A209,Sheet2!A:C,3,FALSE)</f>
        <v>1580</v>
      </c>
      <c r="L209" s="112">
        <f t="shared" si="13"/>
        <v>0.00636942675159236</v>
      </c>
    </row>
    <row r="210" spans="1:12">
      <c r="A210" s="109">
        <v>44869</v>
      </c>
      <c r="B210" s="106">
        <f>VLOOKUP(A210,Sheet2!A:C,2,FALSE)</f>
        <v>151</v>
      </c>
      <c r="C210" s="106">
        <v>3450</v>
      </c>
      <c r="D210" s="106">
        <f>VLOOKUP(A210,Sheet4!A:C,2,FALSE)</f>
        <v>1045</v>
      </c>
      <c r="E210" s="106">
        <f>VLOOKUP(A210,Sheet5!A:B,2,FALSE)</f>
        <v>7.1851</v>
      </c>
      <c r="F210" s="106">
        <f>VLOOKUP(A210,Sheet6!A:B,2,FALSE)</f>
        <v>110.88</v>
      </c>
      <c r="G210" s="106">
        <f>VLOOKUP(A210,WTI原油期货!A:B,2,FALSE)</f>
        <v>91.45</v>
      </c>
      <c r="H210" s="106">
        <f>VLOOKUP(A210,天然气期货!A:B,2,FALSE)</f>
        <v>6.754</v>
      </c>
      <c r="I210" s="111">
        <f>VLOOKUP(A210,黄金期货!A:B,2,FALSE)</f>
        <v>1676.6</v>
      </c>
      <c r="J210" s="106">
        <f>VLOOKUP(A210,Sheet2!A:C,3,FALSE)</f>
        <v>1600</v>
      </c>
      <c r="L210" s="112">
        <f t="shared" si="13"/>
        <v>0.0126582278481013</v>
      </c>
    </row>
    <row r="211" spans="1:12">
      <c r="A211" s="109">
        <v>44872</v>
      </c>
      <c r="B211" s="106">
        <f>VLOOKUP(A211,Sheet2!A:C,2,FALSE)</f>
        <v>156</v>
      </c>
      <c r="C211" s="106">
        <v>3450</v>
      </c>
      <c r="D211" s="106">
        <f>VLOOKUP(A211,Sheet4!A:C,2,FALSE)</f>
        <v>1044</v>
      </c>
      <c r="E211" s="106">
        <f>VLOOKUP(A211,Sheet5!A:B,2,FALSE)</f>
        <v>7.2296</v>
      </c>
      <c r="F211" s="106">
        <f>VLOOKUP(A211,Sheet6!A:B,2,FALSE)</f>
        <v>110.12</v>
      </c>
      <c r="G211" s="106">
        <f>VLOOKUP(A211,WTI原油期货!A:B,2,FALSE)</f>
        <v>90.73</v>
      </c>
      <c r="H211" s="106">
        <f>VLOOKUP(A211,天然气期货!A:B,2,FALSE)</f>
        <v>7.244</v>
      </c>
      <c r="I211" s="111">
        <f>VLOOKUP(A211,黄金期货!A:B,2,FALSE)</f>
        <v>1680.5</v>
      </c>
      <c r="J211" s="106">
        <f>VLOOKUP(A211,Sheet2!A:C,3,FALSE)</f>
        <v>1610</v>
      </c>
      <c r="L211" s="112">
        <f t="shared" si="13"/>
        <v>0.00625</v>
      </c>
    </row>
    <row r="212" spans="1:12">
      <c r="A212" s="109">
        <v>44873</v>
      </c>
      <c r="B212" s="106">
        <f>VLOOKUP(A212,Sheet2!A:C,2,FALSE)</f>
        <v>154</v>
      </c>
      <c r="C212" s="106">
        <v>3450</v>
      </c>
      <c r="D212" s="106">
        <f>VLOOKUP(A212,Sheet4!A:C,2,FALSE)</f>
        <v>1041</v>
      </c>
      <c r="E212" s="106">
        <f>VLOOKUP(A212,Sheet5!A:B,2,FALSE)</f>
        <v>7.2493</v>
      </c>
      <c r="F212" s="106">
        <f>VLOOKUP(A212,Sheet6!A:B,2,FALSE)</f>
        <v>109.64</v>
      </c>
      <c r="G212" s="106">
        <f>VLOOKUP(A212,WTI原油期货!A:B,2,FALSE)</f>
        <v>88</v>
      </c>
      <c r="H212" s="106">
        <f>VLOOKUP(A212,天然气期货!A:B,2,FALSE)</f>
        <v>6.524</v>
      </c>
      <c r="I212" s="111">
        <f>VLOOKUP(A212,黄金期货!A:B,2,FALSE)</f>
        <v>1716</v>
      </c>
      <c r="J212" s="106">
        <f>VLOOKUP(A212,Sheet2!A:C,3,FALSE)</f>
        <v>1610</v>
      </c>
      <c r="L212" s="112">
        <f t="shared" si="13"/>
        <v>0</v>
      </c>
    </row>
    <row r="213" spans="1:12">
      <c r="A213" s="109">
        <v>44874</v>
      </c>
      <c r="B213" s="106">
        <f>VLOOKUP(A213,Sheet2!A:C,2,FALSE)</f>
        <v>153</v>
      </c>
      <c r="C213" s="106">
        <v>3450</v>
      </c>
      <c r="D213" s="106">
        <f>VLOOKUP(A213,Sheet4!A:C,2,FALSE)</f>
        <v>1040</v>
      </c>
      <c r="E213" s="106">
        <f>VLOOKUP(A213,Sheet5!A:B,2,FALSE)</f>
        <v>7.2419</v>
      </c>
      <c r="F213" s="106">
        <f>VLOOKUP(A213,Sheet6!A:B,2,FALSE)</f>
        <v>110.55</v>
      </c>
      <c r="G213" s="106">
        <f>VLOOKUP(A213,WTI原油期货!A:B,2,FALSE)</f>
        <v>85</v>
      </c>
      <c r="H213" s="106">
        <f>VLOOKUP(A213,天然气期货!A:B,2,FALSE)</f>
        <v>6.225</v>
      </c>
      <c r="I213" s="111">
        <f>VLOOKUP(A213,黄金期货!A:B,2,FALSE)</f>
        <v>1713.7</v>
      </c>
      <c r="J213" s="106">
        <f>VLOOKUP(A213,Sheet2!A:C,3,FALSE)</f>
        <v>1580</v>
      </c>
      <c r="L213" s="112">
        <f t="shared" si="13"/>
        <v>-0.0186335403726708</v>
      </c>
    </row>
    <row r="214" spans="1:12">
      <c r="A214" s="109">
        <v>44875</v>
      </c>
      <c r="B214" s="106">
        <f>VLOOKUP(A214,Sheet2!A:C,2,FALSE)</f>
        <v>151</v>
      </c>
      <c r="C214" s="106">
        <v>3450</v>
      </c>
      <c r="D214" s="106">
        <f>VLOOKUP(A214,Sheet4!A:C,2,FALSE)</f>
        <v>1039</v>
      </c>
      <c r="E214" s="106">
        <f>VLOOKUP(A214,Sheet5!A:B,2,FALSE)</f>
        <v>7.187</v>
      </c>
      <c r="F214" s="106">
        <f>VLOOKUP(A214,Sheet6!A:B,2,FALSE)</f>
        <v>108.21</v>
      </c>
      <c r="G214" s="106">
        <f>VLOOKUP(A214,WTI原油期货!A:B,2,FALSE)</f>
        <v>85.66</v>
      </c>
      <c r="H214" s="106">
        <f>VLOOKUP(A214,天然气期货!A:B,2,FALSE)</f>
        <v>6.613</v>
      </c>
      <c r="I214" s="111">
        <f>VLOOKUP(A214,黄金期货!A:B,2,FALSE)</f>
        <v>1753.7</v>
      </c>
      <c r="J214" s="106">
        <f>VLOOKUP(A214,Sheet2!A:C,3,FALSE)</f>
        <v>1590</v>
      </c>
      <c r="L214" s="112">
        <f t="shared" si="13"/>
        <v>0.00632911392405063</v>
      </c>
    </row>
    <row r="215" spans="1:12">
      <c r="A215" s="109">
        <v>44876</v>
      </c>
      <c r="B215" s="106">
        <f>VLOOKUP(A215,Sheet2!A:C,2,FALSE)</f>
        <v>151</v>
      </c>
      <c r="C215" s="106">
        <v>3450</v>
      </c>
      <c r="D215" s="106">
        <f>VLOOKUP(A215,Sheet4!A:C,2,FALSE)</f>
        <v>1037</v>
      </c>
      <c r="E215" s="106">
        <f>VLOOKUP(A215,Sheet5!A:B,2,FALSE)</f>
        <v>7.1083</v>
      </c>
      <c r="F215" s="106">
        <f>VLOOKUP(A215,Sheet6!A:B,2,FALSE)</f>
        <v>106.29</v>
      </c>
      <c r="G215" s="106">
        <f>VLOOKUP(A215,WTI原油期货!A:B,2,FALSE)</f>
        <v>88.16</v>
      </c>
      <c r="H215" s="106">
        <f>VLOOKUP(A215,天然气期货!A:B,2,FALSE)</f>
        <v>6.263</v>
      </c>
      <c r="I215" s="111">
        <f>VLOOKUP(A215,黄金期货!A:B,2,FALSE)</f>
        <v>1769.4</v>
      </c>
      <c r="J215" s="106">
        <f>VLOOKUP(A215,Sheet2!A:C,3,FALSE)</f>
        <v>1600</v>
      </c>
      <c r="L215" s="112">
        <f t="shared" si="13"/>
        <v>0.00628930817610063</v>
      </c>
    </row>
    <row r="216" spans="1:12">
      <c r="A216" s="109">
        <v>44879</v>
      </c>
      <c r="B216" s="106">
        <f>VLOOKUP(A216,Sheet2!A:C,2,FALSE)</f>
        <v>152</v>
      </c>
      <c r="C216" s="106">
        <v>3450</v>
      </c>
      <c r="D216" s="106">
        <f>VLOOKUP(A216,Sheet4!A:C,2,FALSE)</f>
        <v>1034</v>
      </c>
      <c r="E216" s="106">
        <f>VLOOKUP(A216,Sheet5!A:B,2,FALSE)</f>
        <v>7.074</v>
      </c>
      <c r="F216" s="106">
        <f>VLOOKUP(A216,Sheet6!A:B,2,FALSE)</f>
        <v>106.66</v>
      </c>
      <c r="G216" s="106">
        <f>VLOOKUP(A216,WTI原油期货!A:B,2,FALSE)</f>
        <v>85.16</v>
      </c>
      <c r="H216" s="106">
        <f>VLOOKUP(A216,天然气期货!A:B,2,FALSE)</f>
        <v>6.299</v>
      </c>
      <c r="I216" s="111">
        <f>VLOOKUP(A216,黄金期货!A:B,2,FALSE)</f>
        <v>1776.9</v>
      </c>
      <c r="J216" s="106">
        <f>VLOOKUP(A216,Sheet2!A:C,3,FALSE)</f>
        <v>1640</v>
      </c>
      <c r="L216" s="112">
        <f t="shared" si="13"/>
        <v>0.025</v>
      </c>
    </row>
    <row r="217" spans="1:12">
      <c r="A217" s="109">
        <v>44880</v>
      </c>
      <c r="B217" s="106">
        <f>VLOOKUP(A217,Sheet2!A:C,2,FALSE)</f>
        <v>155</v>
      </c>
      <c r="C217" s="106">
        <v>3450</v>
      </c>
      <c r="D217" s="106">
        <f>VLOOKUP(A217,Sheet4!A:C,2,FALSE)</f>
        <v>1035</v>
      </c>
      <c r="E217" s="106">
        <f>VLOOKUP(A217,Sheet5!A:B,2,FALSE)</f>
        <v>7.0445</v>
      </c>
      <c r="F217" s="106">
        <f>VLOOKUP(A217,Sheet6!A:B,2,FALSE)</f>
        <v>106.4</v>
      </c>
      <c r="G217" s="106">
        <f>VLOOKUP(A217,WTI原油期货!A:B,2,FALSE)</f>
        <v>86.25</v>
      </c>
      <c r="H217" s="106">
        <f>VLOOKUP(A217,天然气期货!A:B,2,FALSE)</f>
        <v>6.395</v>
      </c>
      <c r="I217" s="111">
        <f>VLOOKUP(A217,黄金期货!A:B,2,FALSE)</f>
        <v>1776.8</v>
      </c>
      <c r="J217" s="106">
        <f>VLOOKUP(A217,Sheet2!A:C,3,FALSE)</f>
        <v>1660</v>
      </c>
      <c r="L217" s="112">
        <f t="shared" si="13"/>
        <v>0.0121951219512195</v>
      </c>
    </row>
    <row r="218" spans="1:12">
      <c r="A218" s="109">
        <v>44881</v>
      </c>
      <c r="B218" s="106">
        <f>VLOOKUP(A218,Sheet2!A:C,2,FALSE)</f>
        <v>159</v>
      </c>
      <c r="C218" s="106">
        <v>3450</v>
      </c>
      <c r="D218" s="106">
        <f>VLOOKUP(A218,Sheet4!A:C,2,FALSE)</f>
        <v>1035</v>
      </c>
      <c r="E218" s="106">
        <f>VLOOKUP(A218,Sheet5!A:B,2,FALSE)</f>
        <v>7.0889</v>
      </c>
      <c r="F218" s="106">
        <f>VLOOKUP(A218,Sheet6!A:B,2,FALSE)</f>
        <v>106.28</v>
      </c>
      <c r="G218" s="106">
        <f>VLOOKUP(A218,WTI原油期货!A:B,2,FALSE)</f>
        <v>85</v>
      </c>
      <c r="H218" s="106">
        <f>VLOOKUP(A218,天然气期货!A:B,2,FALSE)</f>
        <v>6.607</v>
      </c>
      <c r="I218" s="111">
        <f>VLOOKUP(A218,黄金期货!A:B,2,FALSE)</f>
        <v>1775.8</v>
      </c>
      <c r="J218" s="106">
        <f>VLOOKUP(A218,Sheet2!A:C,3,FALSE)</f>
        <v>1700</v>
      </c>
      <c r="L218" s="112">
        <f t="shared" si="13"/>
        <v>0.0240963855421687</v>
      </c>
    </row>
    <row r="219" spans="1:12">
      <c r="A219" s="109">
        <v>44882</v>
      </c>
      <c r="B219" s="106">
        <f>VLOOKUP(A219,Sheet2!A:C,2,FALSE)</f>
        <v>158</v>
      </c>
      <c r="C219" s="106">
        <v>3450</v>
      </c>
      <c r="D219" s="106">
        <f>VLOOKUP(A219,Sheet4!A:C,2,FALSE)</f>
        <v>1032</v>
      </c>
      <c r="E219" s="106">
        <f>VLOOKUP(A219,Sheet5!A:B,2,FALSE)</f>
        <v>7.1565</v>
      </c>
      <c r="F219" s="106">
        <f>VLOOKUP(A219,Sheet6!A:B,2,FALSE)</f>
        <v>106.69</v>
      </c>
      <c r="G219" s="106">
        <f>VLOOKUP(A219,WTI原油期货!A:B,2,FALSE)</f>
        <v>81.4</v>
      </c>
      <c r="H219" s="106">
        <f>VLOOKUP(A219,天然气期货!A:B,2,FALSE)</f>
        <v>6.744</v>
      </c>
      <c r="I219" s="111">
        <f>VLOOKUP(A219,黄金期货!A:B,2,FALSE)</f>
        <v>1763</v>
      </c>
      <c r="J219" s="106">
        <f>VLOOKUP(A219,Sheet2!A:C,3,FALSE)</f>
        <v>1750</v>
      </c>
      <c r="L219" s="112">
        <f t="shared" si="13"/>
        <v>0.0294117647058824</v>
      </c>
    </row>
    <row r="220" spans="1:12">
      <c r="A220" s="109">
        <v>44883</v>
      </c>
      <c r="B220" s="106">
        <f>VLOOKUP(A220,Sheet2!A:C,2,FALSE)</f>
        <v>160</v>
      </c>
      <c r="C220" s="106">
        <v>3450</v>
      </c>
      <c r="D220" s="106">
        <f>VLOOKUP(A220,Sheet4!A:C,2,FALSE)</f>
        <v>1032</v>
      </c>
      <c r="E220" s="106">
        <f>VLOOKUP(A220,Sheet5!A:B,2,FALSE)</f>
        <v>7.1196</v>
      </c>
      <c r="F220" s="106">
        <f>VLOOKUP(A220,Sheet6!A:B,2,FALSE)</f>
        <v>106.93</v>
      </c>
      <c r="G220" s="106">
        <f>VLOOKUP(A220,WTI原油期货!A:B,2,FALSE)</f>
        <v>80.11</v>
      </c>
      <c r="H220" s="106">
        <f>VLOOKUP(A220,天然气期货!A:B,2,FALSE)</f>
        <v>6.716</v>
      </c>
      <c r="I220" s="111">
        <f>VLOOKUP(A220,黄金期货!A:B,2,FALSE)</f>
        <v>1754.4</v>
      </c>
      <c r="J220" s="106">
        <f>VLOOKUP(A220,Sheet2!A:C,3,FALSE)</f>
        <v>1750</v>
      </c>
      <c r="L220" s="112">
        <f t="shared" si="13"/>
        <v>0</v>
      </c>
    </row>
    <row r="221" spans="1:12">
      <c r="A221" s="109">
        <v>44886</v>
      </c>
      <c r="B221" s="106">
        <f>VLOOKUP(A221,Sheet2!A:C,2,FALSE)</f>
        <v>160</v>
      </c>
      <c r="C221" s="106">
        <v>3550</v>
      </c>
      <c r="D221" s="106">
        <f>VLOOKUP(A221,Sheet4!A:C,2,FALSE)</f>
        <v>1028</v>
      </c>
      <c r="E221" s="106">
        <f>VLOOKUP(A221,Sheet5!A:B,2,FALSE)</f>
        <v>7.1653</v>
      </c>
      <c r="F221" s="106">
        <f>VLOOKUP(A221,Sheet6!A:B,2,FALSE)</f>
        <v>107.83</v>
      </c>
      <c r="G221" s="106">
        <f>VLOOKUP(A221,WTI原油期货!A:B,2,FALSE)</f>
        <v>80.04</v>
      </c>
      <c r="H221" s="106">
        <f>VLOOKUP(A221,天然气期货!A:B,2,FALSE)</f>
        <v>7.223</v>
      </c>
      <c r="I221" s="111">
        <f>VLOOKUP(A221,黄金期货!A:B,2,FALSE)</f>
        <v>1739.6</v>
      </c>
      <c r="J221" s="106">
        <f>VLOOKUP(A221,Sheet2!A:C,3,FALSE)</f>
        <v>1740</v>
      </c>
      <c r="L221" s="112">
        <f t="shared" si="13"/>
        <v>-0.00571428571428571</v>
      </c>
    </row>
    <row r="222" spans="1:12">
      <c r="A222" s="109">
        <v>44887</v>
      </c>
      <c r="B222" s="106">
        <f>VLOOKUP(A222,Sheet2!A:C,2,FALSE)</f>
        <v>158</v>
      </c>
      <c r="C222" s="106">
        <v>3600</v>
      </c>
      <c r="D222" s="106">
        <f>VLOOKUP(A222,Sheet4!A:C,2,FALSE)</f>
        <v>1025</v>
      </c>
      <c r="E222" s="106">
        <f>VLOOKUP(A222,Sheet5!A:B,2,FALSE)</f>
        <v>7.1399</v>
      </c>
      <c r="F222" s="106">
        <f>VLOOKUP(A222,Sheet6!A:B,2,FALSE)</f>
        <v>107.22</v>
      </c>
      <c r="G222" s="106">
        <f>VLOOKUP(A222,WTI原油期货!A:B,2,FALSE)</f>
        <v>80.73</v>
      </c>
      <c r="H222" s="106">
        <f>VLOOKUP(A222,天然气期货!A:B,2,FALSE)</f>
        <v>7.406</v>
      </c>
      <c r="I222" s="111">
        <f>VLOOKUP(A222,黄金期货!A:B,2,FALSE)</f>
        <v>1739.9</v>
      </c>
      <c r="J222" s="106">
        <f>VLOOKUP(A222,Sheet2!A:C,3,FALSE)</f>
        <v>1730</v>
      </c>
      <c r="L222" s="112">
        <f t="shared" si="13"/>
        <v>-0.00574712643678161</v>
      </c>
    </row>
    <row r="223" spans="1:12">
      <c r="A223" s="109">
        <v>44888</v>
      </c>
      <c r="B223" s="106">
        <f>VLOOKUP(A223,Sheet2!A:C,2,FALSE)</f>
        <v>157</v>
      </c>
      <c r="C223" s="106">
        <v>3600</v>
      </c>
      <c r="D223" s="106">
        <f>VLOOKUP(A223,Sheet4!A:C,2,FALSE)</f>
        <v>1025</v>
      </c>
      <c r="E223" s="106">
        <f>VLOOKUP(A223,Sheet5!A:B,2,FALSE)</f>
        <v>7.1605</v>
      </c>
      <c r="F223" s="106">
        <f>VLOOKUP(A223,Sheet6!A:B,2,FALSE)</f>
        <v>106.08</v>
      </c>
      <c r="G223" s="106">
        <f>VLOOKUP(A223,WTI原油期货!A:B,2,FALSE)</f>
        <v>78.07</v>
      </c>
      <c r="H223" s="106">
        <f>VLOOKUP(A223,天然气期货!A:B,2,FALSE)</f>
        <v>7.708</v>
      </c>
      <c r="I223" s="111">
        <f>VLOOKUP(A223,黄金期货!A:B,2,FALSE)</f>
        <v>1745.6</v>
      </c>
      <c r="J223" s="106">
        <f>VLOOKUP(A223,Sheet2!A:C,3,FALSE)</f>
        <v>1700</v>
      </c>
      <c r="L223" s="112">
        <f t="shared" si="13"/>
        <v>-0.0173410404624277</v>
      </c>
    </row>
    <row r="224" spans="1:12">
      <c r="A224" s="109">
        <v>44889</v>
      </c>
      <c r="B224" s="106">
        <f>VLOOKUP(A224,Sheet2!A:C,2,FALSE)</f>
        <v>157</v>
      </c>
      <c r="C224" s="106">
        <v>3600</v>
      </c>
      <c r="D224" s="106">
        <f>VLOOKUP(A224,Sheet4!A:C,2,FALSE)</f>
        <v>1026</v>
      </c>
      <c r="E224" s="106">
        <f>VLOOKUP(A224,Sheet5!A:B,2,FALSE)</f>
        <v>7.152</v>
      </c>
      <c r="F224" s="106">
        <f>VLOOKUP(A224,Sheet6!A:B,2,FALSE)</f>
        <v>105.82</v>
      </c>
      <c r="G224" s="106">
        <f>VLOOKUP(A224,WTI原油期货!A:B,2,FALSE)</f>
        <v>77.95</v>
      </c>
      <c r="H224" s="106">
        <f>VLOOKUP(A224,天然气期货!A:B,2,FALSE)</f>
        <v>7.177</v>
      </c>
      <c r="I224" s="111">
        <f>VLOOKUP(A224,黄金期货!A:B,2,FALSE)</f>
        <v>1754</v>
      </c>
      <c r="J224" s="106">
        <f>VLOOKUP(A224,Sheet2!A:C,3,FALSE)</f>
        <v>1690</v>
      </c>
      <c r="L224" s="112">
        <f t="shared" si="13"/>
        <v>-0.00588235294117647</v>
      </c>
    </row>
    <row r="225" spans="1:12">
      <c r="A225" s="109">
        <v>44890</v>
      </c>
      <c r="B225" s="106">
        <f>VLOOKUP(A225,Sheet2!A:C,2,FALSE)</f>
        <v>157</v>
      </c>
      <c r="C225" s="106">
        <v>3600</v>
      </c>
      <c r="D225" s="106">
        <f>VLOOKUP(A225,Sheet4!A:C,2,FALSE)</f>
        <v>1026</v>
      </c>
      <c r="E225" s="106">
        <f>VLOOKUP(A225,Sheet5!A:B,2,FALSE)</f>
        <v>7.1654</v>
      </c>
      <c r="F225" s="106">
        <f>VLOOKUP(A225,Sheet6!A:B,2,FALSE)</f>
        <v>105.96</v>
      </c>
      <c r="G225" s="106">
        <f>VLOOKUP(A225,WTI原油期货!A:B,2,FALSE)</f>
        <v>76.43</v>
      </c>
      <c r="H225" s="106">
        <f>VLOOKUP(A225,天然气期货!A:B,2,FALSE)</f>
        <v>7.33</v>
      </c>
      <c r="I225" s="111">
        <f>VLOOKUP(A225,黄金期货!A:B,2,FALSE)</f>
        <v>1754</v>
      </c>
      <c r="J225" s="106">
        <f>VLOOKUP(A225,Sheet2!A:C,3,FALSE)</f>
        <v>1690</v>
      </c>
      <c r="L225" s="112">
        <f t="shared" si="13"/>
        <v>0</v>
      </c>
    </row>
    <row r="226" spans="1:12">
      <c r="A226" s="109">
        <v>44893</v>
      </c>
      <c r="B226" s="106">
        <f>VLOOKUP(A226,Sheet2!A:C,2,FALSE)</f>
        <v>155</v>
      </c>
      <c r="C226" s="106">
        <v>3600</v>
      </c>
      <c r="D226" s="106">
        <f>VLOOKUP(A226,Sheet4!A:C,2,FALSE)</f>
        <v>1022</v>
      </c>
      <c r="E226" s="106">
        <f>VLOOKUP(A226,Sheet5!A:B,2,FALSE)</f>
        <v>7.2082</v>
      </c>
      <c r="F226" s="106">
        <f>VLOOKUP(A226,Sheet6!A:B,2,FALSE)</f>
        <v>106.68</v>
      </c>
      <c r="G226" s="106">
        <f>VLOOKUP(A226,WTI原油期货!A:B,2,FALSE)</f>
        <v>77.33</v>
      </c>
      <c r="H226" s="106">
        <f>VLOOKUP(A226,天然气期货!A:B,2,FALSE)</f>
        <v>7.196</v>
      </c>
      <c r="I226" s="111">
        <f>VLOOKUP(A226,黄金期货!A:B,2,FALSE)</f>
        <v>1740.3</v>
      </c>
      <c r="J226" s="106">
        <f>VLOOKUP(A226,Sheet2!A:C,3,FALSE)</f>
        <v>1690</v>
      </c>
      <c r="L226" s="112">
        <f t="shared" si="13"/>
        <v>0</v>
      </c>
    </row>
    <row r="227" spans="1:12">
      <c r="A227" s="109">
        <v>44894</v>
      </c>
      <c r="B227" s="106">
        <f>VLOOKUP(A227,Sheet2!A:C,2,FALSE)</f>
        <v>154</v>
      </c>
      <c r="C227" s="106">
        <v>3650</v>
      </c>
      <c r="D227" s="106">
        <f>VLOOKUP(A227,Sheet4!A:C,2,FALSE)</f>
        <v>1021</v>
      </c>
      <c r="E227" s="106">
        <f>VLOOKUP(A227,Sheet5!A:B,2,FALSE)</f>
        <v>7.1593</v>
      </c>
      <c r="F227" s="106">
        <f>VLOOKUP(A227,Sheet6!A:B,2,FALSE)</f>
        <v>106.82</v>
      </c>
      <c r="G227" s="106">
        <f>VLOOKUP(A227,WTI原油期货!A:B,2,FALSE)</f>
        <v>78.28</v>
      </c>
      <c r="H227" s="106">
        <f>VLOOKUP(A227,天然气期货!A:B,2,FALSE)</f>
        <v>7.084</v>
      </c>
      <c r="I227" s="111">
        <f>VLOOKUP(A227,黄金期货!A:B,2,FALSE)</f>
        <v>1756.3</v>
      </c>
      <c r="J227" s="106">
        <f>VLOOKUP(A227,Sheet2!A:C,3,FALSE)</f>
        <v>1690</v>
      </c>
      <c r="L227" s="112">
        <f t="shared" si="13"/>
        <v>0</v>
      </c>
    </row>
    <row r="228" spans="1:12">
      <c r="A228" s="109">
        <v>44895</v>
      </c>
      <c r="B228" s="106">
        <f>VLOOKUP(A228,Sheet2!A:C,2,FALSE)</f>
        <v>151</v>
      </c>
      <c r="C228" s="106">
        <v>3650</v>
      </c>
      <c r="D228" s="106">
        <f>VLOOKUP(A228,Sheet4!A:C,2,FALSE)</f>
        <v>1020</v>
      </c>
      <c r="E228" s="106">
        <f>VLOOKUP(A228,Sheet5!A:B,2,FALSE)</f>
        <v>7.0925</v>
      </c>
      <c r="F228" s="106">
        <f>VLOOKUP(A228,Sheet6!A:B,2,FALSE)</f>
        <v>105.95</v>
      </c>
      <c r="G228" s="106">
        <f>VLOOKUP(A228,WTI原油期货!A:B,2,FALSE)</f>
        <v>80.66</v>
      </c>
      <c r="H228" s="106">
        <f>VLOOKUP(A228,天然气期货!A:B,2,FALSE)</f>
        <v>6.818</v>
      </c>
      <c r="I228" s="111">
        <f>VLOOKUP(A228,黄金期货!A:B,2,FALSE)</f>
        <v>1753.2</v>
      </c>
      <c r="J228" s="106">
        <f>VLOOKUP(A228,Sheet2!A:C,3,FALSE)</f>
        <v>1690</v>
      </c>
      <c r="L228" s="112">
        <f t="shared" si="13"/>
        <v>0</v>
      </c>
    </row>
    <row r="229" spans="1:12">
      <c r="A229" s="109">
        <v>44896</v>
      </c>
      <c r="B229" s="106">
        <f>VLOOKUP(A229,Sheet2!A:C,2,FALSE)</f>
        <v>156</v>
      </c>
      <c r="C229" s="106">
        <v>3650</v>
      </c>
      <c r="D229" s="106">
        <f>VLOOKUP(A229,Sheet4!A:C,2,FALSE)</f>
        <v>1020</v>
      </c>
      <c r="E229" s="106">
        <f>VLOOKUP(A229,Sheet5!A:B,2,FALSE)</f>
        <v>7.0445</v>
      </c>
      <c r="F229" s="106">
        <f>VLOOKUP(A229,Sheet6!A:B,2,FALSE)</f>
        <v>104.73</v>
      </c>
      <c r="G229" s="106">
        <f>VLOOKUP(A229,WTI原油期货!A:B,2,FALSE)</f>
        <v>81.14</v>
      </c>
      <c r="H229" s="106">
        <f>VLOOKUP(A229,天然气期货!A:B,2,FALSE)</f>
        <v>6.631</v>
      </c>
      <c r="I229" s="111">
        <f>VLOOKUP(A229,黄金期货!A:B,2,FALSE)</f>
        <v>1808.2</v>
      </c>
      <c r="J229" s="106">
        <f>VLOOKUP(A229,Sheet2!A:C,3,FALSE)</f>
        <v>1680</v>
      </c>
      <c r="L229" s="112">
        <f t="shared" si="13"/>
        <v>-0.00591715976331361</v>
      </c>
    </row>
    <row r="230" spans="1:12">
      <c r="A230" s="109">
        <v>44897</v>
      </c>
      <c r="B230" s="106">
        <f>VLOOKUP(A230,Sheet2!A:C,2,FALSE)</f>
        <v>154</v>
      </c>
      <c r="C230" s="106">
        <v>3650</v>
      </c>
      <c r="D230" s="106">
        <f>VLOOKUP(A230,Sheet4!A:C,2,FALSE)</f>
        <v>1021</v>
      </c>
      <c r="E230" s="106">
        <f>VLOOKUP(A230,Sheet5!A:B,2,FALSE)</f>
        <v>7.0195</v>
      </c>
      <c r="F230" s="106">
        <f>VLOOKUP(A230,Sheet6!A:B,2,FALSE)</f>
        <v>104.54</v>
      </c>
      <c r="G230" s="106">
        <f>VLOOKUP(A230,WTI原油期货!A:B,2,FALSE)</f>
        <v>80.05</v>
      </c>
      <c r="H230" s="106">
        <f>VLOOKUP(A230,天然气期货!A:B,2,FALSE)</f>
        <v>6.169</v>
      </c>
      <c r="I230" s="111">
        <f>VLOOKUP(A230,黄金期货!A:B,2,FALSE)</f>
        <v>1802.6</v>
      </c>
      <c r="J230" s="106">
        <f>VLOOKUP(A230,Sheet2!A:C,3,FALSE)</f>
        <v>1670</v>
      </c>
      <c r="L230" s="112">
        <f t="shared" si="13"/>
        <v>-0.00595238095238095</v>
      </c>
    </row>
    <row r="231" spans="1:12">
      <c r="A231" s="109">
        <v>44900</v>
      </c>
      <c r="B231" s="106">
        <f>VLOOKUP(A231,Sheet2!A:C,2,FALSE)</f>
        <v>158</v>
      </c>
      <c r="C231" s="106">
        <v>3750</v>
      </c>
      <c r="D231" s="106">
        <f>VLOOKUP(A231,Sheet4!A:C,2,FALSE)</f>
        <v>1022</v>
      </c>
      <c r="E231" s="106">
        <f>VLOOKUP(A231,Sheet5!A:B,2,FALSE)</f>
        <v>6.962</v>
      </c>
      <c r="F231" s="106">
        <f>VLOOKUP(A231,Sheet6!A:B,2,FALSE)</f>
        <v>105.29</v>
      </c>
      <c r="G231" s="106">
        <f>VLOOKUP(A231,WTI原油期货!A:B,2,FALSE)</f>
        <v>77.08</v>
      </c>
      <c r="H231" s="106">
        <f>VLOOKUP(A231,天然气期货!A:B,2,FALSE)</f>
        <v>5.484</v>
      </c>
      <c r="I231" s="111">
        <f>VLOOKUP(A231,黄金期货!A:B,2,FALSE)</f>
        <v>1774.3</v>
      </c>
      <c r="J231" s="106">
        <f>VLOOKUP(A231,Sheet2!A:C,3,FALSE)</f>
        <v>1660</v>
      </c>
      <c r="L231" s="112">
        <f t="shared" si="13"/>
        <v>-0.00598802395209581</v>
      </c>
    </row>
    <row r="232" spans="1:12">
      <c r="A232" s="109">
        <v>44901</v>
      </c>
      <c r="B232" s="106">
        <f>VLOOKUP(A232,Sheet2!A:C,2,FALSE)</f>
        <v>158</v>
      </c>
      <c r="C232" s="106">
        <v>3750</v>
      </c>
      <c r="D232" s="106">
        <f>VLOOKUP(A232,Sheet4!A:C,2,FALSE)</f>
        <v>1020</v>
      </c>
      <c r="E232" s="106">
        <f>VLOOKUP(A232,Sheet5!A:B,2,FALSE)</f>
        <v>6.996</v>
      </c>
      <c r="F232" s="106">
        <f>VLOOKUP(A232,Sheet6!A:B,2,FALSE)</f>
        <v>105.58</v>
      </c>
      <c r="G232" s="106">
        <f>VLOOKUP(A232,WTI原油期货!A:B,2,FALSE)</f>
        <v>74.46</v>
      </c>
      <c r="H232" s="106">
        <f>VLOOKUP(A232,天然气期货!A:B,2,FALSE)</f>
        <v>5.378</v>
      </c>
      <c r="I232" s="111">
        <f>VLOOKUP(A232,黄金期货!A:B,2,FALSE)</f>
        <v>1775.5</v>
      </c>
      <c r="J232" s="106">
        <f>VLOOKUP(A232,Sheet2!A:C,3,FALSE)</f>
        <v>1650</v>
      </c>
      <c r="L232" s="112">
        <f t="shared" si="13"/>
        <v>-0.00602409638554217</v>
      </c>
    </row>
    <row r="233" spans="1:12">
      <c r="A233" s="109">
        <v>44902</v>
      </c>
      <c r="B233" s="106">
        <f>VLOOKUP(A233,Sheet2!A:C,2,FALSE)</f>
        <v>158</v>
      </c>
      <c r="C233" s="106">
        <v>3750</v>
      </c>
      <c r="D233" s="106">
        <f>VLOOKUP(A233,Sheet4!A:C,2,FALSE)</f>
        <v>1020</v>
      </c>
      <c r="E233" s="106">
        <f>VLOOKUP(A233,Sheet5!A:B,2,FALSE)</f>
        <v>6.9718</v>
      </c>
      <c r="F233" s="106">
        <f>VLOOKUP(A233,Sheet6!A:B,2,FALSE)</f>
        <v>105.1</v>
      </c>
      <c r="G233" s="106">
        <f>VLOOKUP(A233,WTI原油期货!A:B,2,FALSE)</f>
        <v>72.28</v>
      </c>
      <c r="H233" s="106">
        <f>VLOOKUP(A233,天然气期货!A:B,2,FALSE)</f>
        <v>5.617</v>
      </c>
      <c r="I233" s="111">
        <f>VLOOKUP(A233,黄金期货!A:B,2,FALSE)</f>
        <v>1791</v>
      </c>
      <c r="J233" s="106">
        <f>VLOOKUP(A233,Sheet2!A:C,3,FALSE)</f>
        <v>1600</v>
      </c>
      <c r="L233" s="112">
        <f t="shared" si="13"/>
        <v>-0.0303030303030303</v>
      </c>
    </row>
    <row r="234" spans="1:12">
      <c r="A234" s="109">
        <v>44903</v>
      </c>
      <c r="B234" s="106">
        <f>VLOOKUP(A234,Sheet2!A:C,2,FALSE)</f>
        <v>157</v>
      </c>
      <c r="C234" s="106">
        <v>3750</v>
      </c>
      <c r="D234" s="106">
        <f>VLOOKUP(A234,Sheet4!A:C,2,FALSE)</f>
        <v>1018</v>
      </c>
      <c r="E234" s="106">
        <f>VLOOKUP(A234,Sheet5!A:B,2,FALSE)</f>
        <v>6.9674</v>
      </c>
      <c r="F234" s="106">
        <f>VLOOKUP(A234,Sheet6!A:B,2,FALSE)</f>
        <v>104.77</v>
      </c>
      <c r="G234" s="106">
        <f>VLOOKUP(A234,WTI原油期货!A:B,2,FALSE)</f>
        <v>71.58</v>
      </c>
      <c r="H234" s="106">
        <f>VLOOKUP(A234,天然气期货!A:B,2,FALSE)</f>
        <v>5.82</v>
      </c>
      <c r="I234" s="111">
        <f>VLOOKUP(A234,黄金期货!A:B,2,FALSE)</f>
        <v>1794.2</v>
      </c>
      <c r="J234" s="106">
        <f>VLOOKUP(A234,Sheet2!A:C,3,FALSE)</f>
        <v>1580</v>
      </c>
      <c r="L234" s="112">
        <f t="shared" si="13"/>
        <v>-0.0125</v>
      </c>
    </row>
    <row r="235" spans="1:12">
      <c r="A235" s="109">
        <v>44904</v>
      </c>
      <c r="B235" s="106">
        <f>VLOOKUP(A235,Sheet2!A:C,2,FALSE)</f>
        <v>155</v>
      </c>
      <c r="C235" s="106">
        <v>3750</v>
      </c>
      <c r="D235" s="106">
        <f>VLOOKUP(A235,Sheet4!A:C,2,FALSE)</f>
        <v>1018</v>
      </c>
      <c r="E235" s="106">
        <f>VLOOKUP(A235,Sheet5!A:B,2,FALSE)</f>
        <v>6.9584</v>
      </c>
      <c r="F235" s="106">
        <f>VLOOKUP(A235,Sheet6!A:B,2,FALSE)</f>
        <v>104.81</v>
      </c>
      <c r="G235" s="106">
        <f>VLOOKUP(A235,WTI原油期货!A:B,2,FALSE)</f>
        <v>71.21</v>
      </c>
      <c r="H235" s="106">
        <f>VLOOKUP(A235,天然气期货!A:B,2,FALSE)</f>
        <v>6.082</v>
      </c>
      <c r="I235" s="111">
        <f>VLOOKUP(A235,黄金期货!A:B,2,FALSE)</f>
        <v>1803.5</v>
      </c>
      <c r="J235" s="106">
        <f>VLOOKUP(A235,Sheet2!A:C,3,FALSE)</f>
        <v>1550</v>
      </c>
      <c r="L235" s="112">
        <f t="shared" si="13"/>
        <v>-0.0189873417721519</v>
      </c>
    </row>
    <row r="236" spans="1:12">
      <c r="A236" s="109">
        <v>44907</v>
      </c>
      <c r="B236" s="106">
        <f>VLOOKUP(A236,Sheet2!A:C,2,FALSE)</f>
        <v>156</v>
      </c>
      <c r="C236" s="106">
        <v>3750</v>
      </c>
      <c r="D236" s="106">
        <f>VLOOKUP(A236,Sheet4!A:C,2,FALSE)</f>
        <v>1017</v>
      </c>
      <c r="E236" s="106">
        <f>VLOOKUP(A236,Sheet5!A:B,2,FALSE)</f>
        <v>6.9776</v>
      </c>
      <c r="F236" s="106">
        <f>VLOOKUP(A236,Sheet6!A:B,2,FALSE)</f>
        <v>105.13</v>
      </c>
      <c r="G236" s="106">
        <f>VLOOKUP(A236,WTI原油期货!A:B,2,FALSE)</f>
        <v>73.28</v>
      </c>
      <c r="H236" s="106">
        <f>VLOOKUP(A236,天然气期货!A:B,2,FALSE)</f>
        <v>6.416</v>
      </c>
      <c r="I236" s="111">
        <f>VLOOKUP(A236,黄金期货!A:B,2,FALSE)</f>
        <v>1785</v>
      </c>
      <c r="J236" s="106">
        <f>VLOOKUP(A236,Sheet2!A:C,3,FALSE)</f>
        <v>1520</v>
      </c>
      <c r="L236" s="112">
        <f t="shared" si="13"/>
        <v>-0.0193548387096774</v>
      </c>
    </row>
    <row r="237" spans="1:12">
      <c r="A237" s="109">
        <v>44908</v>
      </c>
      <c r="B237" s="106">
        <f>VLOOKUP(A237,Sheet2!A:C,2,FALSE)</f>
        <v>156</v>
      </c>
      <c r="C237" s="106">
        <v>3750</v>
      </c>
      <c r="D237" s="106">
        <f>VLOOKUP(A237,Sheet4!A:C,2,FALSE)</f>
        <v>1019</v>
      </c>
      <c r="E237" s="106">
        <f>VLOOKUP(A237,Sheet5!A:B,2,FALSE)</f>
        <v>6.9445</v>
      </c>
      <c r="F237" s="106">
        <f>VLOOKUP(A237,Sheet6!A:B,2,FALSE)</f>
        <v>103.98</v>
      </c>
      <c r="G237" s="106">
        <f>VLOOKUP(A237,WTI原油期货!A:B,2,FALSE)</f>
        <v>75.44</v>
      </c>
      <c r="H237" s="106">
        <f>VLOOKUP(A237,天然气期货!A:B,2,FALSE)</f>
        <v>6.733</v>
      </c>
      <c r="I237" s="111">
        <f>VLOOKUP(A237,黄金期货!A:B,2,FALSE)</f>
        <v>1818.3</v>
      </c>
      <c r="J237" s="106">
        <f>VLOOKUP(A237,Sheet2!A:C,3,FALSE)</f>
        <v>1530</v>
      </c>
      <c r="L237" s="112">
        <f t="shared" si="13"/>
        <v>0.00657894736842105</v>
      </c>
    </row>
    <row r="238" spans="1:12">
      <c r="A238" s="109">
        <v>44909</v>
      </c>
      <c r="B238" s="106">
        <f>VLOOKUP(A238,Sheet2!A:C,2,FALSE)</f>
        <v>155</v>
      </c>
      <c r="C238" s="106">
        <v>3750</v>
      </c>
      <c r="D238" s="106">
        <f>VLOOKUP(A238,Sheet4!A:C,2,FALSE)</f>
        <v>1019</v>
      </c>
      <c r="E238" s="106">
        <f>VLOOKUP(A238,Sheet5!A:B,2,FALSE)</f>
        <v>6.9509</v>
      </c>
      <c r="F238" s="106">
        <f>VLOOKUP(A238,Sheet6!A:B,2,FALSE)</f>
        <v>103.77</v>
      </c>
      <c r="G238" s="106">
        <f>VLOOKUP(A238,WTI原油期货!A:B,2,FALSE)</f>
        <v>77.31</v>
      </c>
      <c r="H238" s="106">
        <f>VLOOKUP(A238,天然气期货!A:B,2,FALSE)</f>
        <v>6.22</v>
      </c>
      <c r="I238" s="111">
        <f>VLOOKUP(A238,黄金期货!A:B,2,FALSE)</f>
        <v>1811.5</v>
      </c>
      <c r="J238" s="106">
        <f>VLOOKUP(A238,Sheet2!A:C,3,FALSE)</f>
        <v>1530</v>
      </c>
      <c r="L238" s="112">
        <f t="shared" si="13"/>
        <v>0</v>
      </c>
    </row>
    <row r="239" spans="1:12">
      <c r="A239" s="109">
        <v>44910</v>
      </c>
      <c r="B239" s="106">
        <f>VLOOKUP(A239,Sheet2!A:C,2,FALSE)</f>
        <v>150</v>
      </c>
      <c r="C239" s="106">
        <v>3800</v>
      </c>
      <c r="D239" s="106">
        <f>VLOOKUP(A239,Sheet4!A:C,2,FALSE)</f>
        <v>1019</v>
      </c>
      <c r="E239" s="106">
        <f>VLOOKUP(A239,Sheet5!A:B,2,FALSE)</f>
        <v>6.9738</v>
      </c>
      <c r="F239" s="106">
        <f>VLOOKUP(A239,Sheet6!A:B,2,FALSE)</f>
        <v>104.56</v>
      </c>
      <c r="G239" s="106">
        <f>VLOOKUP(A239,WTI原油期货!A:B,2,FALSE)</f>
        <v>76.15</v>
      </c>
      <c r="H239" s="106">
        <f>VLOOKUP(A239,天然气期货!A:B,2,FALSE)</f>
        <v>6.589</v>
      </c>
      <c r="I239" s="111">
        <f>VLOOKUP(A239,黄金期货!A:B,2,FALSE)</f>
        <v>1780.6</v>
      </c>
      <c r="J239" s="106">
        <f>VLOOKUP(A239,Sheet2!A:C,3,FALSE)</f>
        <v>1530</v>
      </c>
      <c r="L239" s="112">
        <f t="shared" si="13"/>
        <v>0</v>
      </c>
    </row>
    <row r="240" spans="1:12">
      <c r="A240" s="109">
        <v>44911</v>
      </c>
      <c r="B240" s="106">
        <f>VLOOKUP(A240,Sheet2!A:C,2,FALSE)</f>
        <v>150</v>
      </c>
      <c r="C240" s="106">
        <v>3800</v>
      </c>
      <c r="D240" s="106">
        <f>VLOOKUP(A240,Sheet4!A:C,2,FALSE)</f>
        <v>1019</v>
      </c>
      <c r="E240" s="106">
        <f>VLOOKUP(A240,Sheet5!A:B,2,FALSE)</f>
        <v>6.9733</v>
      </c>
      <c r="F240" s="106">
        <f>VLOOKUP(A240,Sheet6!A:B,2,FALSE)</f>
        <v>104.7</v>
      </c>
      <c r="G240" s="106">
        <f>VLOOKUP(A240,WTI原油期货!A:B,2,FALSE)</f>
        <v>74.46</v>
      </c>
      <c r="H240" s="106">
        <f>VLOOKUP(A240,天然气期货!A:B,2,FALSE)</f>
        <v>6.303</v>
      </c>
      <c r="I240" s="111">
        <f>VLOOKUP(A240,黄金期货!A:B,2,FALSE)</f>
        <v>1793.5</v>
      </c>
      <c r="J240" s="106">
        <f>VLOOKUP(A240,Sheet2!A:C,3,FALSE)</f>
        <v>1530</v>
      </c>
      <c r="L240" s="112">
        <f t="shared" si="13"/>
        <v>0</v>
      </c>
    </row>
    <row r="241" spans="1:12">
      <c r="A241" s="109">
        <v>44914</v>
      </c>
      <c r="B241" s="106">
        <f>VLOOKUP(A241,Sheet2!A:C,2,FALSE)</f>
        <v>150</v>
      </c>
      <c r="C241" s="106">
        <v>3800</v>
      </c>
      <c r="D241" s="106">
        <f>VLOOKUP(A241,Sheet4!A:C,2,FALSE)</f>
        <v>1016</v>
      </c>
      <c r="E241" s="106">
        <f>VLOOKUP(A241,Sheet5!A:B,2,FALSE)</f>
        <v>6.9797</v>
      </c>
      <c r="F241" s="106">
        <f>VLOOKUP(A241,Sheet6!A:B,2,FALSE)</f>
        <v>104.72</v>
      </c>
      <c r="G241" s="106">
        <f>VLOOKUP(A241,WTI原油期货!A:B,2,FALSE)</f>
        <v>75.38</v>
      </c>
      <c r="H241" s="106">
        <f>VLOOKUP(A241,天然气期货!A:B,2,FALSE)</f>
        <v>5.71</v>
      </c>
      <c r="I241" s="111">
        <f>VLOOKUP(A241,黄金期货!A:B,2,FALSE)</f>
        <v>1791</v>
      </c>
      <c r="J241" s="106">
        <f>VLOOKUP(A241,Sheet2!A:C,3,FALSE)</f>
        <v>1520</v>
      </c>
      <c r="L241" s="112">
        <f t="shared" si="13"/>
        <v>-0.0065359477124183</v>
      </c>
    </row>
    <row r="242" spans="1:12">
      <c r="A242" s="109">
        <v>44915</v>
      </c>
      <c r="B242" s="106">
        <f>VLOOKUP(A242,Sheet2!A:C,2,FALSE)</f>
        <v>150</v>
      </c>
      <c r="C242" s="106">
        <v>3800</v>
      </c>
      <c r="D242" s="106">
        <f>VLOOKUP(A242,Sheet4!A:C,2,FALSE)</f>
        <v>1014</v>
      </c>
      <c r="E242" s="106">
        <f>VLOOKUP(A242,Sheet5!A:B,2,FALSE)</f>
        <v>6.9619</v>
      </c>
      <c r="F242" s="106">
        <f>VLOOKUP(A242,Sheet6!A:B,2,FALSE)</f>
        <v>103.96</v>
      </c>
      <c r="G242" s="106">
        <f>VLOOKUP(A242,WTI原油期货!A:B,2,FALSE)</f>
        <v>76.23</v>
      </c>
      <c r="H242" s="106">
        <f>VLOOKUP(A242,天然气期货!A:B,2,FALSE)</f>
        <v>5.216</v>
      </c>
      <c r="I242" s="111">
        <f>VLOOKUP(A242,黄金期货!A:B,2,FALSE)</f>
        <v>1818.6</v>
      </c>
      <c r="J242" s="106">
        <f>VLOOKUP(A242,Sheet2!A:C,3,FALSE)</f>
        <v>1500</v>
      </c>
      <c r="L242" s="112">
        <f t="shared" si="13"/>
        <v>-0.0131578947368421</v>
      </c>
    </row>
    <row r="243" spans="1:12">
      <c r="A243" s="109">
        <v>44916</v>
      </c>
      <c r="B243" s="106">
        <f>VLOOKUP(A243,Sheet2!A:C,2,FALSE)</f>
        <v>149</v>
      </c>
      <c r="C243" s="106">
        <v>3800</v>
      </c>
      <c r="D243" s="106">
        <f>VLOOKUP(A243,Sheet4!A:C,2,FALSE)</f>
        <v>1015</v>
      </c>
      <c r="E243" s="106">
        <f>VLOOKUP(A243,Sheet5!A:B,2,FALSE)</f>
        <v>6.9815</v>
      </c>
      <c r="F243" s="106">
        <f>VLOOKUP(A243,Sheet6!A:B,2,FALSE)</f>
        <v>104.16</v>
      </c>
      <c r="G243" s="106">
        <f>VLOOKUP(A243,WTI原油期货!A:B,2,FALSE)</f>
        <v>78.24</v>
      </c>
      <c r="H243" s="106">
        <f>VLOOKUP(A243,天然气期货!A:B,2,FALSE)</f>
        <v>5.238</v>
      </c>
      <c r="I243" s="111">
        <f>VLOOKUP(A243,黄金期货!A:B,2,FALSE)</f>
        <v>1818.5</v>
      </c>
      <c r="J243" s="106">
        <f>VLOOKUP(A243,Sheet2!A:C,3,FALSE)</f>
        <v>1470</v>
      </c>
      <c r="L243" s="112">
        <f t="shared" si="13"/>
        <v>-0.02</v>
      </c>
    </row>
    <row r="244" spans="1:12">
      <c r="A244" s="109">
        <v>44917</v>
      </c>
      <c r="B244" s="106">
        <f>VLOOKUP(A244,Sheet2!A:C,2,FALSE)</f>
        <v>144</v>
      </c>
      <c r="C244" s="106">
        <v>3800</v>
      </c>
      <c r="D244" s="106">
        <f>VLOOKUP(A244,Sheet4!A:C,2,FALSE)</f>
        <v>1015</v>
      </c>
      <c r="E244" s="106">
        <f>VLOOKUP(A244,Sheet5!A:B,2,FALSE)</f>
        <v>6.9845</v>
      </c>
      <c r="F244" s="106">
        <f>VLOOKUP(A244,Sheet6!A:B,2,FALSE)</f>
        <v>104.43</v>
      </c>
      <c r="G244" s="106">
        <f>VLOOKUP(A244,WTI原油期货!A:B,2,FALSE)</f>
        <v>77.42</v>
      </c>
      <c r="H244" s="106">
        <f>VLOOKUP(A244,天然气期货!A:B,2,FALSE)</f>
        <v>4.928</v>
      </c>
      <c r="I244" s="111">
        <f>VLOOKUP(A244,黄金期货!A:B,2,FALSE)</f>
        <v>1788.5</v>
      </c>
      <c r="J244" s="106">
        <f>VLOOKUP(A244,Sheet2!A:C,3,FALSE)</f>
        <v>1430</v>
      </c>
      <c r="L244" s="112">
        <f t="shared" si="13"/>
        <v>-0.0272108843537415</v>
      </c>
    </row>
    <row r="245" spans="1:12">
      <c r="A245" s="109">
        <v>44918</v>
      </c>
      <c r="B245" s="106">
        <f>VLOOKUP(A245,Sheet2!A:C,2,FALSE)</f>
        <v>144</v>
      </c>
      <c r="C245" s="106">
        <v>3800</v>
      </c>
      <c r="D245" s="106">
        <f>VLOOKUP(A245,Sheet4!A:C,2,FALSE)</f>
        <v>1014</v>
      </c>
      <c r="E245" s="106">
        <f>VLOOKUP(A245,Sheet5!A:B,2,FALSE)</f>
        <v>6.9899</v>
      </c>
      <c r="F245" s="106">
        <f>VLOOKUP(A245,Sheet6!A:B,2,FALSE)</f>
        <v>104.31</v>
      </c>
      <c r="G245" s="106">
        <f>VLOOKUP(A245,WTI原油期货!A:B,2,FALSE)</f>
        <v>79.64</v>
      </c>
      <c r="H245" s="106">
        <f>VLOOKUP(A245,天然气期货!A:B,2,FALSE)</f>
        <v>4.98</v>
      </c>
      <c r="I245" s="111">
        <f>VLOOKUP(A245,黄金期货!A:B,2,FALSE)</f>
        <v>1797.4</v>
      </c>
      <c r="J245" s="106">
        <f>VLOOKUP(A245,Sheet2!A:C,3,FALSE)</f>
        <v>1430</v>
      </c>
      <c r="L245" s="112">
        <f t="shared" si="13"/>
        <v>0</v>
      </c>
    </row>
    <row r="246" spans="1:12">
      <c r="A246" s="109">
        <v>44921</v>
      </c>
      <c r="B246" s="106">
        <f>VLOOKUP(A246,Sheet2!A:C,2,FALSE)</f>
        <v>141</v>
      </c>
      <c r="C246" s="106">
        <v>3800</v>
      </c>
      <c r="D246" s="106">
        <f>VLOOKUP(A246,Sheet4!A:C,2,FALSE)</f>
        <v>1012</v>
      </c>
      <c r="E246" s="106">
        <f>VLOOKUP(A246,Sheet5!A:B,2,FALSE)</f>
        <v>6.9622</v>
      </c>
      <c r="F246" s="106">
        <f>F245</f>
        <v>104.31</v>
      </c>
      <c r="G246" s="106">
        <f>VLOOKUP(A246,WTI原油期货!A:B,2,FALSE)</f>
        <v>80.97</v>
      </c>
      <c r="H246" s="106">
        <f>VLOOKUP(A246,天然气期货!A:B,2,FALSE)</f>
        <v>5.144</v>
      </c>
      <c r="I246" s="111">
        <f>I245</f>
        <v>1797.4</v>
      </c>
      <c r="J246" s="106">
        <f>VLOOKUP(A246,Sheet2!A:C,3,FALSE)</f>
        <v>1430</v>
      </c>
      <c r="L246" s="112">
        <f t="shared" si="13"/>
        <v>0</v>
      </c>
    </row>
    <row r="247" spans="1:12">
      <c r="A247" s="109">
        <v>44922</v>
      </c>
      <c r="B247" s="106">
        <f>VLOOKUP(A247,Sheet2!A:C,2,FALSE)</f>
        <v>142</v>
      </c>
      <c r="C247" s="106">
        <v>3800</v>
      </c>
      <c r="D247" s="106">
        <f>VLOOKUP(A247,Sheet4!A:C,2,FALSE)</f>
        <v>1013</v>
      </c>
      <c r="E247" s="106">
        <f>VLOOKUP(A247,Sheet5!A:B,2,FALSE)</f>
        <v>6.9601</v>
      </c>
      <c r="F247" s="106">
        <f>VLOOKUP(A247,Sheet6!A:B,2,FALSE)</f>
        <v>104.18</v>
      </c>
      <c r="G247" s="106">
        <f>VLOOKUP(A247,WTI原油期货!A:B,2,FALSE)</f>
        <v>79.64</v>
      </c>
      <c r="H247" s="106">
        <f>VLOOKUP(A247,天然气期货!A:B,2,FALSE)</f>
        <v>5.118</v>
      </c>
      <c r="I247" s="111">
        <f>VLOOKUP(A247,黄金期货!A:B,2,FALSE)</f>
        <v>1816.3</v>
      </c>
      <c r="J247" s="106">
        <f>VLOOKUP(A247,Sheet2!A:C,3,FALSE)</f>
        <v>1420</v>
      </c>
      <c r="L247" s="112">
        <f t="shared" si="13"/>
        <v>-0.00699300699300699</v>
      </c>
    </row>
    <row r="248" spans="1:12">
      <c r="A248" s="109">
        <v>44923</v>
      </c>
      <c r="B248" s="106">
        <f>VLOOKUP(A248,Sheet2!A:C,2,FALSE)</f>
        <v>141</v>
      </c>
      <c r="C248" s="106">
        <v>3800</v>
      </c>
      <c r="D248" s="106">
        <f>VLOOKUP(A248,Sheet4!A:C,2,FALSE)</f>
        <v>1012</v>
      </c>
      <c r="E248" s="106">
        <f>VLOOKUP(A248,Sheet5!A:B,2,FALSE)</f>
        <v>6.9787</v>
      </c>
      <c r="F248" s="106">
        <f>VLOOKUP(A248,Sheet6!A:B,2,FALSE)</f>
        <v>104.46</v>
      </c>
      <c r="G248" s="106">
        <f>VLOOKUP(A248,WTI原油期货!A:B,2,FALSE)</f>
        <v>79.08</v>
      </c>
      <c r="H248" s="106">
        <f>VLOOKUP(A248,天然气期货!A:B,2,FALSE)</f>
        <v>4.685</v>
      </c>
      <c r="I248" s="111">
        <f>VLOOKUP(A248,黄金期货!A:B,2,FALSE)</f>
        <v>1808.8</v>
      </c>
      <c r="J248" s="106">
        <f>VLOOKUP(A248,Sheet2!A:C,3,FALSE)</f>
        <v>1380</v>
      </c>
      <c r="L248" s="112">
        <f t="shared" si="13"/>
        <v>-0.028169014084507</v>
      </c>
    </row>
    <row r="249" spans="1:12">
      <c r="A249" s="109">
        <v>44924</v>
      </c>
      <c r="B249" s="106">
        <f>VLOOKUP(A249,Sheet2!A:C,2,FALSE)</f>
        <v>141</v>
      </c>
      <c r="C249" s="106">
        <v>3800</v>
      </c>
      <c r="D249" s="106">
        <f>VLOOKUP(A249,Sheet4!A:C,2,FALSE)</f>
        <v>1011</v>
      </c>
      <c r="E249" s="106">
        <f>VLOOKUP(A249,Sheet5!A:B,2,FALSE)</f>
        <v>6.9638</v>
      </c>
      <c r="F249" s="106">
        <f>VLOOKUP(A249,Sheet6!A:B,2,FALSE)</f>
        <v>103.84</v>
      </c>
      <c r="G249" s="106">
        <f>VLOOKUP(A249,WTI原油期货!A:B,2,FALSE)</f>
        <v>78.5</v>
      </c>
      <c r="H249" s="106">
        <f>VLOOKUP(A249,天然气期货!A:B,2,FALSE)</f>
        <v>4.117</v>
      </c>
      <c r="I249" s="111">
        <f>VLOOKUP(A249,黄金期货!A:B,2,FALSE)</f>
        <v>1826</v>
      </c>
      <c r="J249" s="106">
        <f>VLOOKUP(A249,Sheet2!A:C,3,FALSE)</f>
        <v>1400</v>
      </c>
      <c r="L249" s="112">
        <f t="shared" si="13"/>
        <v>0.0144927536231884</v>
      </c>
    </row>
    <row r="250" spans="1:12">
      <c r="A250" s="109">
        <v>44925</v>
      </c>
      <c r="B250" s="106">
        <f>VLOOKUP(A250,Sheet2!A:C,2,FALSE)</f>
        <v>140</v>
      </c>
      <c r="C250" s="106">
        <v>3800</v>
      </c>
      <c r="D250" s="106">
        <f>VLOOKUP(A250,Sheet4!A:C,2,FALSE)</f>
        <v>1011</v>
      </c>
      <c r="E250" s="106">
        <f>VLOOKUP(A250,Sheet5!A:B,2,FALSE)</f>
        <v>6.8986</v>
      </c>
      <c r="F250" s="106">
        <f>VLOOKUP(A250,Sheet6!A:B,2,FALSE)</f>
        <v>103.52</v>
      </c>
      <c r="G250" s="106">
        <f>VLOOKUP(A250,WTI原油期货!A:B,2,FALSE)</f>
        <v>80.45</v>
      </c>
      <c r="H250" s="106">
        <f>VLOOKUP(A250,天然气期货!A:B,2,FALSE)</f>
        <v>4.104</v>
      </c>
      <c r="I250" s="111">
        <f>VLOOKUP(A250,黄金期货!A:B,2,FALSE)</f>
        <v>1826.2</v>
      </c>
      <c r="J250" s="106">
        <f>VLOOKUP(A250,Sheet2!A:C,3,FALSE)</f>
        <v>1400</v>
      </c>
      <c r="L250" s="112">
        <f t="shared" si="13"/>
        <v>0</v>
      </c>
    </row>
    <row r="251" spans="1:12">
      <c r="A251" s="109">
        <v>44929</v>
      </c>
      <c r="B251" s="106">
        <f>VLOOKUP(A251,Sheet2!A:C,2,FALSE)</f>
        <v>142</v>
      </c>
      <c r="C251" s="106">
        <v>3800</v>
      </c>
      <c r="D251" s="106">
        <f>VLOOKUP(A251,Sheet4!A:C,2,FALSE)</f>
        <v>1009</v>
      </c>
      <c r="E251" s="106">
        <f>VLOOKUP(A251,Sheet5!A:B,2,FALSE)</f>
        <v>6.915</v>
      </c>
      <c r="F251" s="106">
        <f>VLOOKUP(A251,Sheet6!A:B,2,FALSE)</f>
        <v>104.52</v>
      </c>
      <c r="G251" s="106">
        <f>VLOOKUP(A251,WTI原油期货!A:B,2,FALSE)</f>
        <v>77.12</v>
      </c>
      <c r="H251" s="106">
        <f>VLOOKUP(A251,天然气期货!A:B,2,FALSE)</f>
        <v>3.641</v>
      </c>
      <c r="I251" s="111">
        <f>VLOOKUP(A251,黄金期货!A:B,2,FALSE)</f>
        <v>1846.1</v>
      </c>
      <c r="J251" s="106">
        <f>VLOOKUP(A251,Sheet2!A:C,3,FALSE)</f>
        <v>1400</v>
      </c>
      <c r="L251" s="112">
        <f t="shared" si="13"/>
        <v>0</v>
      </c>
    </row>
    <row r="252" spans="1:12">
      <c r="A252" s="109">
        <v>44930</v>
      </c>
      <c r="B252" s="106">
        <f>VLOOKUP(A252,Sheet2!A:C,2,FALSE)</f>
        <v>141</v>
      </c>
      <c r="C252" s="106">
        <v>3800</v>
      </c>
      <c r="D252" s="106">
        <f>VLOOKUP(A252,Sheet4!A:C,2,FALSE)</f>
        <v>1010</v>
      </c>
      <c r="E252" s="106">
        <f>VLOOKUP(A252,Sheet5!A:B,2,FALSE)</f>
        <v>6.8888</v>
      </c>
      <c r="F252" s="106">
        <f>VLOOKUP(A252,Sheet6!A:B,2,FALSE)</f>
        <v>104.25</v>
      </c>
      <c r="G252" s="106">
        <f>VLOOKUP(A252,WTI原油期货!A:B,2,FALSE)</f>
        <v>73.1</v>
      </c>
      <c r="H252" s="106">
        <f>VLOOKUP(A252,天然气期货!A:B,2,FALSE)</f>
        <v>3.78</v>
      </c>
      <c r="I252" s="111">
        <f>VLOOKUP(A252,黄金期货!A:B,2,FALSE)</f>
        <v>1859</v>
      </c>
      <c r="J252" s="106">
        <f>VLOOKUP(A252,Sheet2!A:C,3,FALSE)</f>
        <v>1410</v>
      </c>
      <c r="L252" s="112">
        <f t="shared" si="13"/>
        <v>0.00714285714285714</v>
      </c>
    </row>
    <row r="253" spans="1:12">
      <c r="A253" s="109">
        <v>44931</v>
      </c>
      <c r="B253" s="106">
        <f>VLOOKUP(A253,Sheet2!A:C,2,FALSE)</f>
        <v>144</v>
      </c>
      <c r="C253" s="106">
        <v>3800</v>
      </c>
      <c r="D253" s="106">
        <f>VLOOKUP(A253,Sheet4!A:C,2,FALSE)</f>
        <v>1005</v>
      </c>
      <c r="E253" s="106">
        <f>VLOOKUP(A253,Sheet5!A:B,2,FALSE)</f>
        <v>6.882</v>
      </c>
      <c r="F253" s="106">
        <f>VLOOKUP(A253,Sheet6!A:B,2,FALSE)</f>
        <v>105.04</v>
      </c>
      <c r="G253" s="106">
        <f>VLOOKUP(A253,WTI原油期货!A:B,2,FALSE)</f>
        <v>73.92</v>
      </c>
      <c r="H253" s="106">
        <f>VLOOKUP(A253,天然气期货!A:B,2,FALSE)</f>
        <v>3.426</v>
      </c>
      <c r="I253" s="111">
        <f>VLOOKUP(A253,黄金期货!A:B,2,FALSE)</f>
        <v>1840.6</v>
      </c>
      <c r="J253" s="106">
        <f>VLOOKUP(A253,Sheet2!A:C,3,FALSE)</f>
        <v>1420</v>
      </c>
      <c r="L253" s="112">
        <f t="shared" si="13"/>
        <v>0.00709219858156028</v>
      </c>
    </row>
    <row r="254" spans="1:12">
      <c r="A254" s="109">
        <v>44932</v>
      </c>
      <c r="B254" s="106">
        <f>VLOOKUP(A254,Sheet2!A:C,2,FALSE)</f>
        <v>145</v>
      </c>
      <c r="C254" s="106">
        <v>3800</v>
      </c>
      <c r="D254" s="106">
        <f>VLOOKUP(A254,Sheet4!A:C,2,FALSE)</f>
        <v>1003</v>
      </c>
      <c r="E254" s="106">
        <f>VLOOKUP(A254,Sheet5!A:B,2,FALSE)</f>
        <v>6.8385</v>
      </c>
      <c r="F254" s="106">
        <f>VLOOKUP(A254,Sheet6!A:B,2,FALSE)</f>
        <v>103.88</v>
      </c>
      <c r="G254" s="106">
        <f>VLOOKUP(A254,WTI原油期货!A:B,2,FALSE)</f>
        <v>74.04</v>
      </c>
      <c r="H254" s="106">
        <f>VLOOKUP(A254,天然气期货!A:B,2,FALSE)</f>
        <v>3.392</v>
      </c>
      <c r="I254" s="111">
        <f>VLOOKUP(A254,黄金期货!A:B,2,FALSE)</f>
        <v>1869.7</v>
      </c>
      <c r="J254" s="106">
        <f>VLOOKUP(A254,Sheet2!A:C,3,FALSE)</f>
        <v>1410</v>
      </c>
      <c r="L254" s="112">
        <f t="shared" si="13"/>
        <v>-0.00704225352112676</v>
      </c>
    </row>
    <row r="255" spans="1:12">
      <c r="A255" s="109">
        <v>44935</v>
      </c>
      <c r="B255" s="106">
        <f>VLOOKUP(A255,Sheet2!A:C,2,FALSE)</f>
        <v>143</v>
      </c>
      <c r="C255" s="106">
        <v>3800</v>
      </c>
      <c r="D255" s="106">
        <f>VLOOKUP(A255,Sheet4!A:C,2,FALSE)</f>
        <v>1005</v>
      </c>
      <c r="E255" s="106">
        <f>VLOOKUP(A255,Sheet5!A:B,2,FALSE)</f>
        <v>6.7725</v>
      </c>
      <c r="F255" s="106">
        <f>VLOOKUP(A255,Sheet6!A:B,2,FALSE)</f>
        <v>103</v>
      </c>
      <c r="G255" s="106">
        <f>VLOOKUP(A255,WTI原油期货!A:B,2,FALSE)</f>
        <v>74.92</v>
      </c>
      <c r="H255" s="106">
        <f>VLOOKUP(A255,天然气期货!A:B,2,FALSE)</f>
        <v>3.563</v>
      </c>
      <c r="I255" s="111">
        <f>VLOOKUP(A255,黄金期货!A:B,2,FALSE)</f>
        <v>1877.8</v>
      </c>
      <c r="J255" s="106">
        <f>VLOOKUP(A255,Sheet2!A:C,3,FALSE)</f>
        <v>1400</v>
      </c>
      <c r="L255" s="112">
        <f t="shared" si="13"/>
        <v>-0.00709219858156028</v>
      </c>
    </row>
    <row r="256" spans="1:12">
      <c r="A256" s="109">
        <v>44936</v>
      </c>
      <c r="B256" s="106">
        <f>VLOOKUP(A256,Sheet2!A:C,2,FALSE)</f>
        <v>143</v>
      </c>
      <c r="C256" s="106">
        <v>3800</v>
      </c>
      <c r="D256" s="106">
        <f>VLOOKUP(A256,Sheet4!A:C,2,FALSE)</f>
        <v>1005</v>
      </c>
      <c r="E256" s="106">
        <f>VLOOKUP(A256,Sheet5!A:B,2,FALSE)</f>
        <v>6.7785</v>
      </c>
      <c r="F256" s="106">
        <f>VLOOKUP(A256,Sheet6!A:B,2,FALSE)</f>
        <v>103.24</v>
      </c>
      <c r="G256" s="106">
        <f>VLOOKUP(A256,WTI原油期货!A:B,2,FALSE)</f>
        <v>75.37</v>
      </c>
      <c r="H256" s="106">
        <f>VLOOKUP(A256,天然气期货!A:B,2,FALSE)</f>
        <v>3.314</v>
      </c>
      <c r="I256" s="111">
        <f>VLOOKUP(A256,黄金期货!A:B,2,FALSE)</f>
        <v>1876.5</v>
      </c>
      <c r="J256" s="106">
        <f>VLOOKUP(A256,Sheet2!A:C,3,FALSE)</f>
        <v>1400</v>
      </c>
      <c r="L256" s="112">
        <f t="shared" si="13"/>
        <v>0</v>
      </c>
    </row>
    <row r="257" spans="1:12">
      <c r="A257" s="109">
        <v>44937</v>
      </c>
      <c r="B257" s="106">
        <f>VLOOKUP(A257,Sheet2!A:C,2,FALSE)</f>
        <v>143</v>
      </c>
      <c r="C257" s="106">
        <v>3800</v>
      </c>
      <c r="D257" s="106">
        <f>VLOOKUP(A257,Sheet4!A:C,2,FALSE)</f>
        <v>1005</v>
      </c>
      <c r="E257" s="106">
        <f>VLOOKUP(A257,Sheet5!A:B,2,FALSE)</f>
        <v>6.7705</v>
      </c>
      <c r="F257" s="106">
        <f>VLOOKUP(A257,Sheet6!A:B,2,FALSE)</f>
        <v>103.19</v>
      </c>
      <c r="G257" s="106">
        <f>VLOOKUP(A257,WTI原油期货!A:B,2,FALSE)</f>
        <v>77.68</v>
      </c>
      <c r="H257" s="106">
        <f>VLOOKUP(A257,天然气期货!A:B,2,FALSE)</f>
        <v>3.346</v>
      </c>
      <c r="I257" s="111">
        <f>VLOOKUP(A257,黄金期货!A:B,2,FALSE)</f>
        <v>1878.9</v>
      </c>
      <c r="J257" s="106">
        <f>VLOOKUP(A257,Sheet2!A:C,3,FALSE)</f>
        <v>1390</v>
      </c>
      <c r="L257" s="112">
        <f t="shared" si="13"/>
        <v>-0.00714285714285714</v>
      </c>
    </row>
    <row r="258" spans="1:12">
      <c r="A258" s="109">
        <v>44938</v>
      </c>
      <c r="B258" s="106">
        <f>VLOOKUP(A258,Sheet2!A:C,2,FALSE)</f>
        <v>141</v>
      </c>
      <c r="C258" s="106">
        <v>3800</v>
      </c>
      <c r="D258" s="106">
        <f>VLOOKUP(A258,Sheet4!A:C,2,FALSE)</f>
        <v>1005</v>
      </c>
      <c r="E258" s="106">
        <f>VLOOKUP(A258,Sheet5!A:B,2,FALSE)</f>
        <v>6.7388</v>
      </c>
      <c r="F258" s="106">
        <f>VLOOKUP(A258,Sheet6!A:B,2,FALSE)</f>
        <v>102.25</v>
      </c>
      <c r="G258" s="106">
        <f>VLOOKUP(A258,WTI原油期货!A:B,2,FALSE)</f>
        <v>78.65</v>
      </c>
      <c r="H258" s="106">
        <f>VLOOKUP(A258,天然气期货!A:B,2,FALSE)</f>
        <v>3.355</v>
      </c>
      <c r="I258" s="111">
        <f>VLOOKUP(A258,黄金期货!A:B,2,FALSE)</f>
        <v>1898.8</v>
      </c>
      <c r="J258" s="106">
        <f>VLOOKUP(A258,Sheet2!A:C,3,FALSE)</f>
        <v>1390</v>
      </c>
      <c r="L258" s="112">
        <f t="shared" si="13"/>
        <v>0</v>
      </c>
    </row>
    <row r="259" spans="1:12">
      <c r="A259" s="109">
        <v>44939</v>
      </c>
      <c r="B259" s="106">
        <f>VLOOKUP(A259,Sheet2!A:C,2,FALSE)</f>
        <v>144</v>
      </c>
      <c r="C259" s="106">
        <v>3800</v>
      </c>
      <c r="D259" s="106">
        <f>VLOOKUP(A259,Sheet4!A:C,2,FALSE)</f>
        <v>1006</v>
      </c>
      <c r="E259" s="106">
        <f>VLOOKUP(A259,Sheet5!A:B,2,FALSE)</f>
        <v>6.703</v>
      </c>
      <c r="F259" s="106">
        <f>VLOOKUP(A259,Sheet6!A:B,2,FALSE)</f>
        <v>102.2</v>
      </c>
      <c r="G259" s="106">
        <f>VLOOKUP(A259,WTI原油期货!A:B,2,FALSE)</f>
        <v>80.11</v>
      </c>
      <c r="H259" s="106">
        <f>VLOOKUP(A259,天然气期货!A:B,2,FALSE)</f>
        <v>3.196</v>
      </c>
      <c r="I259" s="111">
        <f>VLOOKUP(A259,黄金期货!A:B,2,FALSE)</f>
        <v>1921.7</v>
      </c>
      <c r="J259" s="106">
        <f>VLOOKUP(A259,Sheet2!A:C,3,FALSE)</f>
        <v>1350</v>
      </c>
      <c r="L259" s="112">
        <f t="shared" ref="L259:L322" si="14">(J259-J258)/J258</f>
        <v>-0.0287769784172662</v>
      </c>
    </row>
    <row r="260" spans="1:12">
      <c r="A260" s="109">
        <v>44942</v>
      </c>
      <c r="B260" s="106">
        <f>VLOOKUP(A260,Sheet2!A:C,2,FALSE)</f>
        <v>142</v>
      </c>
      <c r="C260" s="106">
        <v>3800</v>
      </c>
      <c r="D260" s="106">
        <f>VLOOKUP(A260,Sheet4!A:C,2,FALSE)</f>
        <v>1007</v>
      </c>
      <c r="E260" s="106">
        <f>VLOOKUP(A260,Sheet5!A:B,2,FALSE)</f>
        <v>6.7336</v>
      </c>
      <c r="F260" s="106">
        <f>VLOOKUP(A260,Sheet6!A:B,2,FALSE)</f>
        <v>102.27</v>
      </c>
      <c r="G260" s="106">
        <f>VLOOKUP(A260,WTI原油期货!A:B,2,FALSE)</f>
        <v>79.04</v>
      </c>
      <c r="H260" s="106">
        <f>VLOOKUP(A260,天然气期货!A:B,2,FALSE)</f>
        <v>3.675</v>
      </c>
      <c r="I260" s="111">
        <f>VLOOKUP(A260,黄金期货!A:B,2,FALSE)</f>
        <v>1909.9</v>
      </c>
      <c r="J260" s="106">
        <f>VLOOKUP(A260,Sheet2!A:C,3,FALSE)</f>
        <v>1350</v>
      </c>
      <c r="L260" s="112">
        <f t="shared" si="14"/>
        <v>0</v>
      </c>
    </row>
    <row r="261" spans="1:12">
      <c r="A261" s="109">
        <v>44943</v>
      </c>
      <c r="B261" s="106">
        <f>VLOOKUP(A261,Sheet2!A:C,2,FALSE)</f>
        <v>141</v>
      </c>
      <c r="C261" s="106">
        <v>3800</v>
      </c>
      <c r="D261" s="106">
        <f>VLOOKUP(A261,Sheet4!A:C,2,FALSE)</f>
        <v>1006</v>
      </c>
      <c r="E261" s="106">
        <f>VLOOKUP(A261,Sheet5!A:B,2,FALSE)</f>
        <v>6.7739</v>
      </c>
      <c r="F261" s="106">
        <f>VLOOKUP(A261,Sheet6!A:B,2,FALSE)</f>
        <v>102.39</v>
      </c>
      <c r="G261" s="106">
        <f>VLOOKUP(A261,WTI原油期货!A:B,2,FALSE)</f>
        <v>80.45</v>
      </c>
      <c r="H261" s="106">
        <f>VLOOKUP(A261,天然气期货!A:B,2,FALSE)</f>
        <v>3.253</v>
      </c>
      <c r="I261" s="111">
        <f>VLOOKUP(A261,黄金期货!A:B,2,FALSE)</f>
        <v>1909.9</v>
      </c>
      <c r="J261" s="106">
        <f>VLOOKUP(A261,Sheet2!A:C,3,FALSE)</f>
        <v>1320</v>
      </c>
      <c r="L261" s="112">
        <f t="shared" si="14"/>
        <v>-0.0222222222222222</v>
      </c>
    </row>
    <row r="262" spans="1:12">
      <c r="A262" s="109">
        <v>44944</v>
      </c>
      <c r="B262" s="106">
        <f>VLOOKUP(A262,Sheet2!A:C,2,FALSE)</f>
        <v>141</v>
      </c>
      <c r="C262" s="106">
        <v>3800</v>
      </c>
      <c r="D262" s="106">
        <f>VLOOKUP(A262,Sheet4!A:C,2,FALSE)</f>
        <v>1008</v>
      </c>
      <c r="E262" s="106">
        <f>VLOOKUP(A262,Sheet5!A:B,2,FALSE)</f>
        <v>6.7485</v>
      </c>
      <c r="F262" s="106">
        <f>VLOOKUP(A262,Sheet6!A:B,2,FALSE)</f>
        <v>102.36</v>
      </c>
      <c r="G262" s="106">
        <f>VLOOKUP(A262,WTI原油期货!A:B,2,FALSE)</f>
        <v>79.8</v>
      </c>
      <c r="H262" s="106">
        <f>VLOOKUP(A262,天然气期货!A:B,2,FALSE)</f>
        <v>3.111</v>
      </c>
      <c r="I262" s="111">
        <f>VLOOKUP(A262,黄金期货!A:B,2,FALSE)</f>
        <v>1907</v>
      </c>
      <c r="J262" s="106">
        <f>VLOOKUP(A262,Sheet2!A:C,3,FALSE)</f>
        <v>1320</v>
      </c>
      <c r="L262" s="112">
        <f t="shared" si="14"/>
        <v>0</v>
      </c>
    </row>
    <row r="263" spans="1:12">
      <c r="A263" s="109">
        <v>44945</v>
      </c>
      <c r="B263" s="106">
        <f>VLOOKUP(A263,Sheet2!A:C,2,FALSE)</f>
        <v>145</v>
      </c>
      <c r="C263" s="106">
        <v>3800</v>
      </c>
      <c r="D263" s="106">
        <f>VLOOKUP(A263,Sheet4!A:C,2,FALSE)</f>
        <v>1008</v>
      </c>
      <c r="E263" s="106">
        <f>VLOOKUP(A263,Sheet5!A:B,2,FALSE)</f>
        <v>6.7769</v>
      </c>
      <c r="F263" s="106">
        <f>VLOOKUP(A263,Sheet6!A:B,2,FALSE)</f>
        <v>102.06</v>
      </c>
      <c r="G263" s="106">
        <f>VLOOKUP(A263,WTI原油期货!A:B,2,FALSE)</f>
        <v>80.61</v>
      </c>
      <c r="H263" s="106">
        <f>VLOOKUP(A263,天然气期货!A:B,2,FALSE)</f>
        <v>3.124</v>
      </c>
      <c r="I263" s="111">
        <f>VLOOKUP(A263,黄金期货!A:B,2,FALSE)</f>
        <v>1923.9</v>
      </c>
      <c r="J263" s="106">
        <f>VLOOKUP(A263,Sheet2!A:C,3,FALSE)</f>
        <v>1320</v>
      </c>
      <c r="L263" s="112">
        <f t="shared" si="14"/>
        <v>0</v>
      </c>
    </row>
    <row r="264" spans="1:12">
      <c r="A264" s="109">
        <v>44946</v>
      </c>
      <c r="B264" s="106">
        <f>VLOOKUP(A264,Sheet2!A:C,2,FALSE)</f>
        <v>144</v>
      </c>
      <c r="C264" s="106">
        <v>3800</v>
      </c>
      <c r="D264" s="106">
        <f>VLOOKUP(A264,Sheet4!A:C,2,FALSE)</f>
        <v>1008</v>
      </c>
      <c r="E264" s="106">
        <f>VLOOKUP(A264,Sheet5!A:B,2,FALSE)</f>
        <v>6.7845</v>
      </c>
      <c r="F264" s="106">
        <f>VLOOKUP(A264,Sheet6!A:B,2,FALSE)</f>
        <v>102.01</v>
      </c>
      <c r="G264" s="106">
        <f>VLOOKUP(A264,WTI原油期货!A:B,2,FALSE)</f>
        <v>81.64</v>
      </c>
      <c r="H264" s="106">
        <f>VLOOKUP(A264,天然气期货!A:B,2,FALSE)</f>
        <v>3.036</v>
      </c>
      <c r="I264" s="111">
        <f>VLOOKUP(A264,黄金期货!A:B,2,FALSE)</f>
        <v>1928.2</v>
      </c>
      <c r="J264" s="106">
        <f>VLOOKUP(A264,Sheet2!A:C,3,FALSE)</f>
        <v>1320</v>
      </c>
      <c r="L264" s="112">
        <f t="shared" si="14"/>
        <v>0</v>
      </c>
    </row>
    <row r="265" spans="1:12">
      <c r="A265" s="109">
        <v>44954</v>
      </c>
      <c r="B265" s="106">
        <f>VLOOKUP(A265,Sheet2!A:C,2,FALSE)</f>
        <v>151</v>
      </c>
      <c r="C265" s="106">
        <v>3800</v>
      </c>
      <c r="D265" s="106">
        <f>VLOOKUP(A265,Sheet4!A:C,2,FALSE)</f>
        <v>1012</v>
      </c>
      <c r="E265" s="106">
        <f t="shared" ref="E265:E266" si="15">E264</f>
        <v>6.7845</v>
      </c>
      <c r="F265" s="106">
        <f t="shared" ref="F265:F266" si="16">F264</f>
        <v>102.01</v>
      </c>
      <c r="G265" s="106">
        <f t="shared" ref="G265:G266" si="17">G264</f>
        <v>81.64</v>
      </c>
      <c r="H265" s="106">
        <f t="shared" ref="H265:H266" si="18">H264</f>
        <v>3.036</v>
      </c>
      <c r="I265" s="111">
        <f t="shared" ref="I265:I266" si="19">I264</f>
        <v>1928.2</v>
      </c>
      <c r="J265" s="106">
        <f>VLOOKUP(A265,Sheet2!A:C,3,FALSE)</f>
        <v>1320</v>
      </c>
      <c r="L265" s="112">
        <f t="shared" si="14"/>
        <v>0</v>
      </c>
    </row>
    <row r="266" spans="1:12">
      <c r="A266" s="109">
        <v>44955</v>
      </c>
      <c r="B266" s="106">
        <f>VLOOKUP(A266,Sheet2!A:C,2,FALSE)</f>
        <v>150</v>
      </c>
      <c r="C266" s="106">
        <v>3800</v>
      </c>
      <c r="D266" s="106">
        <f>VLOOKUP(A266,Sheet4!A:C,2,FALSE)</f>
        <v>1014</v>
      </c>
      <c r="E266" s="106">
        <f t="shared" si="15"/>
        <v>6.7845</v>
      </c>
      <c r="F266" s="106">
        <f t="shared" si="16"/>
        <v>102.01</v>
      </c>
      <c r="G266" s="106">
        <f t="shared" si="17"/>
        <v>81.64</v>
      </c>
      <c r="H266" s="106">
        <f t="shared" si="18"/>
        <v>3.036</v>
      </c>
      <c r="I266" s="111">
        <f t="shared" si="19"/>
        <v>1928.2</v>
      </c>
      <c r="J266" s="106">
        <f>VLOOKUP(A266,Sheet2!A:C,3,FALSE)</f>
        <v>1300</v>
      </c>
      <c r="L266" s="112">
        <f t="shared" si="14"/>
        <v>-0.0151515151515152</v>
      </c>
    </row>
    <row r="267" spans="1:12">
      <c r="A267" s="109">
        <v>44956</v>
      </c>
      <c r="B267" s="106">
        <f>VLOOKUP(A267,Sheet2!A:C,2,FALSE)</f>
        <v>149</v>
      </c>
      <c r="C267" s="106">
        <v>3800</v>
      </c>
      <c r="D267" s="106">
        <f>VLOOKUP(A267,Sheet4!A:C,2,FALSE)</f>
        <v>1018</v>
      </c>
      <c r="E267" s="106">
        <f>VLOOKUP(A267,Sheet5!A:B,2,FALSE)</f>
        <v>6.7495</v>
      </c>
      <c r="F267" s="106">
        <f>VLOOKUP(A267,Sheet6!A:B,2,FALSE)</f>
        <v>102.28</v>
      </c>
      <c r="G267" s="106">
        <f>VLOOKUP(A267,WTI原油期货!A:B,2,FALSE)</f>
        <v>78.18</v>
      </c>
      <c r="H267" s="106">
        <f>VLOOKUP(A267,天然气期货!A:B,2,FALSE)</f>
        <v>2.731</v>
      </c>
      <c r="I267" s="111">
        <f>VLOOKUP(A267,黄金期货!A:B,2,FALSE)</f>
        <v>1930.2</v>
      </c>
      <c r="J267" s="106">
        <f>VLOOKUP(A267,Sheet2!A:C,3,FALSE)</f>
        <v>1250</v>
      </c>
      <c r="L267" s="112">
        <f t="shared" si="14"/>
        <v>-0.0384615384615385</v>
      </c>
    </row>
    <row r="268" spans="1:12">
      <c r="A268" s="109">
        <v>44957</v>
      </c>
      <c r="B268" s="106">
        <f>VLOOKUP(A268,Sheet2!A:C,2,FALSE)</f>
        <v>150</v>
      </c>
      <c r="C268" s="106">
        <v>3800</v>
      </c>
      <c r="D268" s="106">
        <f>VLOOKUP(A268,Sheet4!A:C,2,FALSE)</f>
        <v>1019</v>
      </c>
      <c r="E268" s="106">
        <f>VLOOKUP(A268,Sheet5!A:B,2,FALSE)</f>
        <v>6.7547</v>
      </c>
      <c r="F268" s="106">
        <f>VLOOKUP(A268,Sheet6!A:B,2,FALSE)</f>
        <v>102.1</v>
      </c>
      <c r="G268" s="106">
        <f>VLOOKUP(A268,WTI原油期货!A:B,2,FALSE)</f>
        <v>79.17</v>
      </c>
      <c r="H268" s="106">
        <f>VLOOKUP(A268,天然气期货!A:B,2,FALSE)</f>
        <v>2.741</v>
      </c>
      <c r="I268" s="111">
        <f>VLOOKUP(A268,黄金期货!A:B,2,FALSE)</f>
        <v>1936.6</v>
      </c>
      <c r="J268" s="106">
        <f>VLOOKUP(A268,Sheet2!A:C,3,FALSE)</f>
        <v>1180</v>
      </c>
      <c r="L268" s="113">
        <f t="shared" si="14"/>
        <v>-0.056</v>
      </c>
    </row>
    <row r="269" spans="1:12">
      <c r="A269" s="109">
        <v>44958</v>
      </c>
      <c r="B269" s="106">
        <f>VLOOKUP(A269,Sheet2!A:C,2,FALSE)</f>
        <v>151</v>
      </c>
      <c r="C269" s="106">
        <v>3800</v>
      </c>
      <c r="D269" s="106">
        <f>VLOOKUP(A269,Sheet4!A:C,2,FALSE)</f>
        <v>1019</v>
      </c>
      <c r="E269" s="106">
        <f>VLOOKUP(A269,Sheet5!A:B,2,FALSE)</f>
        <v>6.7419</v>
      </c>
      <c r="F269" s="106">
        <f>VLOOKUP(A269,Sheet6!A:B,2,FALSE)</f>
        <v>101.22</v>
      </c>
      <c r="G269" s="106">
        <f>VLOOKUP(A269,WTI原油期货!A:B,2,FALSE)</f>
        <v>76.73</v>
      </c>
      <c r="H269" s="106">
        <f>VLOOKUP(A269,天然气期货!A:B,2,FALSE)</f>
        <v>2.536</v>
      </c>
      <c r="I269" s="111">
        <f>VLOOKUP(A269,黄金期货!A:B,2,FALSE)</f>
        <v>1934.3</v>
      </c>
      <c r="J269" s="106">
        <f>VLOOKUP(A269,Sheet2!A:C,3,FALSE)</f>
        <v>1150</v>
      </c>
      <c r="L269" s="112">
        <f t="shared" si="14"/>
        <v>-0.0254237288135593</v>
      </c>
    </row>
    <row r="270" spans="1:12">
      <c r="A270" s="109">
        <v>44959</v>
      </c>
      <c r="B270" s="106">
        <f>VLOOKUP(A270,Sheet2!A:C,2,FALSE)</f>
        <v>153</v>
      </c>
      <c r="C270" s="106">
        <v>3800</v>
      </c>
      <c r="D270" s="106">
        <f>VLOOKUP(A270,Sheet4!A:C,2,FALSE)</f>
        <v>1019</v>
      </c>
      <c r="E270" s="106">
        <f>VLOOKUP(A270,Sheet5!A:B,2,FALSE)</f>
        <v>6.7323</v>
      </c>
      <c r="F270" s="106">
        <f>VLOOKUP(A270,Sheet6!A:B,2,FALSE)</f>
        <v>101.75</v>
      </c>
      <c r="G270" s="106">
        <f>VLOOKUP(A270,WTI原油期货!A:B,2,FALSE)</f>
        <v>76.2</v>
      </c>
      <c r="H270" s="106">
        <f>VLOOKUP(A270,天然气期货!A:B,2,FALSE)</f>
        <v>2.522</v>
      </c>
      <c r="I270" s="111">
        <f>VLOOKUP(A270,黄金期货!A:B,2,FALSE)</f>
        <v>1922.2</v>
      </c>
      <c r="J270" s="106">
        <f>VLOOKUP(A270,Sheet2!A:C,3,FALSE)</f>
        <v>1150</v>
      </c>
      <c r="L270" s="112">
        <f t="shared" si="14"/>
        <v>0</v>
      </c>
    </row>
    <row r="271" spans="1:12">
      <c r="A271" s="109">
        <v>44960</v>
      </c>
      <c r="B271" s="106">
        <f>VLOOKUP(A271,Sheet2!A:C,2,FALSE)</f>
        <v>153</v>
      </c>
      <c r="C271" s="106">
        <v>3800</v>
      </c>
      <c r="D271" s="106">
        <f>VLOOKUP(A271,Sheet4!A:C,2,FALSE)</f>
        <v>1017</v>
      </c>
      <c r="E271" s="106">
        <f>VLOOKUP(A271,Sheet5!A:B,2,FALSE)</f>
        <v>6.7749</v>
      </c>
      <c r="F271" s="106">
        <f>VLOOKUP(A271,Sheet6!A:B,2,FALSE)</f>
        <v>102.92</v>
      </c>
      <c r="G271" s="106">
        <f>VLOOKUP(A271,WTI原油期货!A:B,2,FALSE)</f>
        <v>73.74</v>
      </c>
      <c r="H271" s="106">
        <f>VLOOKUP(A271,天然气期货!A:B,2,FALSE)</f>
        <v>2.48</v>
      </c>
      <c r="I271" s="111">
        <f>VLOOKUP(A271,黄金期货!A:B,2,FALSE)</f>
        <v>1868.3</v>
      </c>
      <c r="J271" s="106">
        <f>VLOOKUP(A271,Sheet2!A:C,3,FALSE)</f>
        <v>1160</v>
      </c>
      <c r="L271" s="112">
        <f t="shared" si="14"/>
        <v>0.00869565217391304</v>
      </c>
    </row>
    <row r="272" spans="1:12">
      <c r="A272" s="109">
        <v>44963</v>
      </c>
      <c r="B272" s="106">
        <f>VLOOKUP(A272,Sheet2!A:C,2,FALSE)</f>
        <v>154</v>
      </c>
      <c r="C272" s="106">
        <v>3800</v>
      </c>
      <c r="D272" s="106">
        <f>VLOOKUP(A272,Sheet4!A:C,2,FALSE)</f>
        <v>1014</v>
      </c>
      <c r="E272" s="106">
        <f>VLOOKUP(A272,Sheet5!A:B,2,FALSE)</f>
        <v>6.7954</v>
      </c>
      <c r="F272" s="106">
        <f>VLOOKUP(A272,Sheet6!A:B,2,FALSE)</f>
        <v>103.62</v>
      </c>
      <c r="G272" s="106">
        <f>VLOOKUP(A272,WTI原油期货!A:B,2,FALSE)</f>
        <v>74.47</v>
      </c>
      <c r="H272" s="106">
        <f>VLOOKUP(A272,天然气期货!A:B,2,FALSE)</f>
        <v>2.535</v>
      </c>
      <c r="I272" s="111">
        <f>VLOOKUP(A272,黄金期货!A:B,2,FALSE)</f>
        <v>1871.2</v>
      </c>
      <c r="J272" s="106">
        <f>VLOOKUP(A272,Sheet2!A:C,3,FALSE)</f>
        <v>1180</v>
      </c>
      <c r="L272" s="112">
        <f t="shared" si="14"/>
        <v>0.0172413793103448</v>
      </c>
    </row>
    <row r="273" spans="1:12">
      <c r="A273" s="109">
        <v>44964</v>
      </c>
      <c r="B273" s="106">
        <f>VLOOKUP(A273,Sheet2!A:C,2,FALSE)</f>
        <v>154</v>
      </c>
      <c r="C273" s="106">
        <v>3800</v>
      </c>
      <c r="D273" s="106">
        <f>VLOOKUP(A273,Sheet4!A:C,2,FALSE)</f>
        <v>1012</v>
      </c>
      <c r="E273" s="106">
        <f>VLOOKUP(A273,Sheet5!A:B,2,FALSE)</f>
        <v>6.7927</v>
      </c>
      <c r="F273" s="106">
        <f>VLOOKUP(A273,Sheet6!A:B,2,FALSE)</f>
        <v>103.43</v>
      </c>
      <c r="G273" s="106">
        <f>VLOOKUP(A273,WTI原油期货!A:B,2,FALSE)</f>
        <v>77.39</v>
      </c>
      <c r="H273" s="106">
        <f>VLOOKUP(A273,天然气期货!A:B,2,FALSE)</f>
        <v>2.664</v>
      </c>
      <c r="I273" s="111">
        <f>VLOOKUP(A273,黄金期货!A:B,2,FALSE)</f>
        <v>1876.5</v>
      </c>
      <c r="J273" s="106">
        <f>VLOOKUP(A273,Sheet2!A:C,3,FALSE)</f>
        <v>1200</v>
      </c>
      <c r="L273" s="112">
        <f t="shared" si="14"/>
        <v>0.0169491525423729</v>
      </c>
    </row>
    <row r="274" spans="1:12">
      <c r="A274" s="109">
        <v>44965</v>
      </c>
      <c r="B274" s="106">
        <f>VLOOKUP(A274,Sheet2!A:C,2,FALSE)</f>
        <v>158</v>
      </c>
      <c r="C274" s="106">
        <v>3800</v>
      </c>
      <c r="D274" s="106">
        <f>VLOOKUP(A274,Sheet4!A:C,2,FALSE)</f>
        <v>1012</v>
      </c>
      <c r="E274" s="106">
        <f>VLOOKUP(A274,Sheet5!A:B,2,FALSE)</f>
        <v>6.7891</v>
      </c>
      <c r="F274" s="106">
        <f>VLOOKUP(A274,Sheet6!A:B,2,FALSE)</f>
        <v>103.41</v>
      </c>
      <c r="G274" s="106">
        <f>VLOOKUP(A274,WTI原油期货!A:B,2,FALSE)</f>
        <v>78.69</v>
      </c>
      <c r="H274" s="106">
        <f>VLOOKUP(A274,天然气期货!A:B,2,FALSE)</f>
        <v>2.477</v>
      </c>
      <c r="I274" s="111">
        <f>VLOOKUP(A274,黄金期货!A:B,2,FALSE)</f>
        <v>1882.2</v>
      </c>
      <c r="J274" s="106">
        <f>VLOOKUP(A274,Sheet2!A:C,3,FALSE)</f>
        <v>1210</v>
      </c>
      <c r="L274" s="112">
        <f t="shared" si="14"/>
        <v>0.00833333333333333</v>
      </c>
    </row>
    <row r="275" spans="1:12">
      <c r="A275" s="109">
        <v>44966</v>
      </c>
      <c r="B275" s="106">
        <f>VLOOKUP(A275,Sheet2!A:C,2,FALSE)</f>
        <v>158</v>
      </c>
      <c r="C275" s="106">
        <v>3800</v>
      </c>
      <c r="D275" s="106">
        <f>VLOOKUP(A275,Sheet4!A:C,2,FALSE)</f>
        <v>1012</v>
      </c>
      <c r="E275" s="106">
        <f>VLOOKUP(A275,Sheet5!A:B,2,FALSE)</f>
        <v>6.7806</v>
      </c>
      <c r="F275" s="106">
        <f>VLOOKUP(A275,Sheet6!A:B,2,FALSE)</f>
        <v>103.22</v>
      </c>
      <c r="G275" s="106">
        <f>VLOOKUP(A275,WTI原油期货!A:B,2,FALSE)</f>
        <v>78.27</v>
      </c>
      <c r="H275" s="106">
        <f>VLOOKUP(A275,天然气期货!A:B,2,FALSE)</f>
        <v>2.492</v>
      </c>
      <c r="I275" s="111">
        <f>VLOOKUP(A275,黄金期货!A:B,2,FALSE)</f>
        <v>1870</v>
      </c>
      <c r="J275" s="106">
        <f>VLOOKUP(A275,Sheet2!A:C,3,FALSE)</f>
        <v>1230</v>
      </c>
      <c r="L275" s="112">
        <f t="shared" si="14"/>
        <v>0.0165289256198347</v>
      </c>
    </row>
    <row r="276" spans="1:12">
      <c r="A276" s="109">
        <v>44967</v>
      </c>
      <c r="B276" s="106">
        <f>VLOOKUP(A276,Sheet2!A:C,2,FALSE)</f>
        <v>157</v>
      </c>
      <c r="C276" s="106">
        <v>3800</v>
      </c>
      <c r="D276" s="106">
        <f>VLOOKUP(A276,Sheet4!A:C,2,FALSE)</f>
        <v>1010</v>
      </c>
      <c r="E276" s="106">
        <f>VLOOKUP(A276,Sheet5!A:B,2,FALSE)</f>
        <v>6.8095</v>
      </c>
      <c r="F276" s="106">
        <f>VLOOKUP(A276,Sheet6!A:B,2,FALSE)</f>
        <v>103.63</v>
      </c>
      <c r="G276" s="106">
        <f>VLOOKUP(A276,WTI原油期货!A:B,2,FALSE)</f>
        <v>79.92</v>
      </c>
      <c r="H276" s="106">
        <f>VLOOKUP(A276,天然气期货!A:B,2,FALSE)</f>
        <v>2.607</v>
      </c>
      <c r="I276" s="111">
        <f>VLOOKUP(A276,黄金期货!A:B,2,FALSE)</f>
        <v>1865.9</v>
      </c>
      <c r="J276" s="106">
        <f>VLOOKUP(A276,Sheet2!A:C,3,FALSE)</f>
        <v>1300</v>
      </c>
      <c r="L276" s="113">
        <f t="shared" si="14"/>
        <v>0.0569105691056911</v>
      </c>
    </row>
    <row r="277" spans="1:12">
      <c r="A277" s="109">
        <v>44970</v>
      </c>
      <c r="B277" s="106">
        <f>VLOOKUP(A277,Sheet2!A:C,2,FALSE)</f>
        <v>156</v>
      </c>
      <c r="C277" s="106">
        <v>3800</v>
      </c>
      <c r="D277" s="106">
        <f>VLOOKUP(A277,Sheet4!A:C,2,FALSE)</f>
        <v>1008</v>
      </c>
      <c r="E277" s="106">
        <f>VLOOKUP(A277,Sheet5!A:B,2,FALSE)</f>
        <v>6.8231</v>
      </c>
      <c r="F277" s="106">
        <f>VLOOKUP(A277,Sheet6!A:B,2,FALSE)</f>
        <v>103.35</v>
      </c>
      <c r="G277" s="106">
        <f>VLOOKUP(A277,WTI原油期货!A:B,2,FALSE)</f>
        <v>80.33</v>
      </c>
      <c r="H277" s="106">
        <f>VLOOKUP(A277,天然气期货!A:B,2,FALSE)</f>
        <v>2.499</v>
      </c>
      <c r="I277" s="111">
        <f>VLOOKUP(A277,黄金期货!A:B,2,FALSE)</f>
        <v>1855.1</v>
      </c>
      <c r="J277" s="106">
        <f>VLOOKUP(A277,Sheet2!A:C,3,FALSE)</f>
        <v>1250</v>
      </c>
      <c r="L277" s="112">
        <f t="shared" si="14"/>
        <v>-0.0384615384615385</v>
      </c>
    </row>
    <row r="278" spans="1:12">
      <c r="A278" s="109">
        <v>44971</v>
      </c>
      <c r="B278" s="106">
        <f>VLOOKUP(A278,Sheet2!A:C,2,FALSE)</f>
        <v>155</v>
      </c>
      <c r="C278" s="106">
        <v>3800</v>
      </c>
      <c r="D278" s="106">
        <f>VLOOKUP(A278,Sheet4!A:C,2,FALSE)</f>
        <v>1006</v>
      </c>
      <c r="E278" s="106">
        <f>VLOOKUP(A278,Sheet5!A:B,2,FALSE)</f>
        <v>6.8269</v>
      </c>
      <c r="F278" s="106">
        <f>VLOOKUP(A278,Sheet6!A:B,2,FALSE)</f>
        <v>103.23</v>
      </c>
      <c r="G278" s="106">
        <f>VLOOKUP(A278,WTI原油期货!A:B,2,FALSE)</f>
        <v>79.24</v>
      </c>
      <c r="H278" s="106">
        <f>VLOOKUP(A278,天然气期货!A:B,2,FALSE)</f>
        <v>2.652</v>
      </c>
      <c r="I278" s="111">
        <f>VLOOKUP(A278,黄金期货!A:B,2,FALSE)</f>
        <v>1857</v>
      </c>
      <c r="J278" s="106">
        <f>VLOOKUP(A278,Sheet2!A:C,3,FALSE)</f>
        <v>1270</v>
      </c>
      <c r="L278" s="112">
        <f t="shared" si="14"/>
        <v>0.016</v>
      </c>
    </row>
    <row r="279" spans="1:12">
      <c r="A279" s="109">
        <v>44972</v>
      </c>
      <c r="B279" s="106">
        <f>VLOOKUP(A279,Sheet2!A:C,2,FALSE)</f>
        <v>150</v>
      </c>
      <c r="C279" s="106">
        <v>3800</v>
      </c>
      <c r="D279" s="106">
        <f>VLOOKUP(A279,Sheet4!A:C,2,FALSE)</f>
        <v>1005</v>
      </c>
      <c r="E279" s="106">
        <f>VLOOKUP(A279,Sheet5!A:B,2,FALSE)</f>
        <v>6.853</v>
      </c>
      <c r="F279" s="106">
        <f>VLOOKUP(A279,Sheet6!A:B,2,FALSE)</f>
        <v>103.92</v>
      </c>
      <c r="G279" s="106">
        <f>VLOOKUP(A279,WTI原油期货!A:B,2,FALSE)</f>
        <v>78.83</v>
      </c>
      <c r="H279" s="106">
        <f>VLOOKUP(A279,天然气期货!A:B,2,FALSE)</f>
        <v>2.555</v>
      </c>
      <c r="I279" s="111">
        <f>VLOOKUP(A279,黄金期货!A:B,2,FALSE)</f>
        <v>1837</v>
      </c>
      <c r="J279" s="106">
        <f>VLOOKUP(A279,Sheet2!A:C,3,FALSE)</f>
        <v>1270</v>
      </c>
      <c r="L279" s="112">
        <f t="shared" si="14"/>
        <v>0</v>
      </c>
    </row>
    <row r="280" spans="1:12">
      <c r="A280" s="109">
        <v>44973</v>
      </c>
      <c r="B280" s="106">
        <f>VLOOKUP(A280,Sheet2!A:C,2,FALSE)</f>
        <v>151</v>
      </c>
      <c r="C280" s="106">
        <v>3800</v>
      </c>
      <c r="D280" s="106">
        <f>VLOOKUP(A280,Sheet4!A:C,2,FALSE)</f>
        <v>1005</v>
      </c>
      <c r="E280" s="106">
        <f>VLOOKUP(A280,Sheet5!A:B,2,FALSE)</f>
        <v>6.8606</v>
      </c>
      <c r="F280" s="106">
        <f>VLOOKUP(A280,Sheet6!A:B,2,FALSE)</f>
        <v>103.86</v>
      </c>
      <c r="G280" s="106">
        <f>VLOOKUP(A280,WTI原油期货!A:B,2,FALSE)</f>
        <v>78.74</v>
      </c>
      <c r="H280" s="106">
        <f>VLOOKUP(A280,天然气期货!A:B,2,FALSE)</f>
        <v>2.485</v>
      </c>
      <c r="I280" s="111">
        <f>VLOOKUP(A280,黄金期货!A:B,2,FALSE)</f>
        <v>1843.4</v>
      </c>
      <c r="J280" s="106">
        <f>VLOOKUP(A280,Sheet2!A:C,3,FALSE)</f>
        <v>1270</v>
      </c>
      <c r="L280" s="112">
        <f t="shared" si="14"/>
        <v>0</v>
      </c>
    </row>
    <row r="281" spans="1:12">
      <c r="A281" s="109">
        <v>44974</v>
      </c>
      <c r="B281" s="106">
        <f>VLOOKUP(A281,Sheet2!A:C,2,FALSE)</f>
        <v>152</v>
      </c>
      <c r="C281" s="106">
        <v>3800</v>
      </c>
      <c r="D281" s="106">
        <f>VLOOKUP(A281,Sheet4!A:C,2,FALSE)</f>
        <v>1006</v>
      </c>
      <c r="E281" s="106">
        <f>VLOOKUP(A281,Sheet5!A:B,2,FALSE)</f>
        <v>6.8676</v>
      </c>
      <c r="F281" s="106">
        <f>VLOOKUP(A281,Sheet6!A:B,2,FALSE)</f>
        <v>103.86</v>
      </c>
      <c r="G281" s="106">
        <f>VLOOKUP(A281,WTI原油期货!A:B,2,FALSE)</f>
        <v>76.55</v>
      </c>
      <c r="H281" s="106">
        <f>VLOOKUP(A281,天然气期货!A:B,2,FALSE)</f>
        <v>2.352</v>
      </c>
      <c r="I281" s="111">
        <f>VLOOKUP(A281,黄金期货!A:B,2,FALSE)</f>
        <v>1842</v>
      </c>
      <c r="J281" s="106">
        <f>VLOOKUP(A281,Sheet2!A:C,3,FALSE)</f>
        <v>1270</v>
      </c>
      <c r="L281" s="112">
        <f t="shared" si="14"/>
        <v>0</v>
      </c>
    </row>
    <row r="282" spans="1:12">
      <c r="A282" s="109">
        <v>44977</v>
      </c>
      <c r="B282" s="106">
        <f>VLOOKUP(A282,Sheet2!A:C,2,FALSE)</f>
        <v>153</v>
      </c>
      <c r="C282" s="106">
        <v>3800</v>
      </c>
      <c r="D282" s="106">
        <f>VLOOKUP(A282,Sheet4!A:C,2,FALSE)</f>
        <v>1006</v>
      </c>
      <c r="E282" s="106">
        <f>VLOOKUP(A282,Sheet5!A:B,2,FALSE)</f>
        <v>6.8552</v>
      </c>
      <c r="F282" s="106">
        <f>VLOOKUP(A282,Sheet6!A:B,2,FALSE)</f>
        <v>103.86</v>
      </c>
      <c r="G282" s="106">
        <f>VLOOKUP(A282,WTI原油期货!A:B,2,FALSE)</f>
        <v>77.3</v>
      </c>
      <c r="H282" s="106">
        <f>VLOOKUP(A282,天然气期货!A:B,2,FALSE)</f>
        <v>2.324</v>
      </c>
      <c r="I282" s="111">
        <f>VLOOKUP(A282,黄金期货!A:B,2,FALSE)</f>
        <v>1842.5</v>
      </c>
      <c r="J282" s="106">
        <f>VLOOKUP(A282,Sheet2!A:C,3,FALSE)</f>
        <v>1270</v>
      </c>
      <c r="L282" s="112">
        <f t="shared" si="14"/>
        <v>0</v>
      </c>
    </row>
    <row r="283" spans="1:12">
      <c r="A283" s="109">
        <v>44978</v>
      </c>
      <c r="B283" s="106">
        <f>VLOOKUP(A283,Sheet2!A:C,2,FALSE)</f>
        <v>158</v>
      </c>
      <c r="C283" s="106">
        <v>3800</v>
      </c>
      <c r="D283" s="106">
        <f>VLOOKUP(A283,Sheet4!A:C,2,FALSE)</f>
        <v>1007</v>
      </c>
      <c r="E283" s="106">
        <f>VLOOKUP(A283,Sheet5!A:B,2,FALSE)</f>
        <v>6.8735</v>
      </c>
      <c r="F283" s="106">
        <f>VLOOKUP(A283,Sheet6!A:B,2,FALSE)</f>
        <v>104.18</v>
      </c>
      <c r="G283" s="106">
        <f>VLOOKUP(A283,WTI原油期货!A:B,2,FALSE)</f>
        <v>76.36</v>
      </c>
      <c r="H283" s="106">
        <f>VLOOKUP(A283,天然气期货!A:B,2,FALSE)</f>
        <v>2.177</v>
      </c>
      <c r="I283" s="111">
        <f>VLOOKUP(A283,黄金期货!A:B,2,FALSE)</f>
        <v>1834.2</v>
      </c>
      <c r="J283" s="106">
        <f>VLOOKUP(A283,Sheet2!A:C,3,FALSE)</f>
        <v>1290</v>
      </c>
      <c r="L283" s="112">
        <f t="shared" si="14"/>
        <v>0.015748031496063</v>
      </c>
    </row>
    <row r="284" spans="1:12">
      <c r="A284" s="109">
        <v>44979</v>
      </c>
      <c r="B284" s="106">
        <f>VLOOKUP(A284,Sheet2!A:C,2,FALSE)</f>
        <v>158</v>
      </c>
      <c r="C284" s="106">
        <v>3800</v>
      </c>
      <c r="D284" s="106">
        <f>VLOOKUP(A284,Sheet4!A:C,2,FALSE)</f>
        <v>1009</v>
      </c>
      <c r="E284" s="106">
        <f>VLOOKUP(A284,Sheet5!A:B,2,FALSE)</f>
        <v>6.8923</v>
      </c>
      <c r="F284" s="106">
        <f>VLOOKUP(A284,Sheet6!A:B,2,FALSE)</f>
        <v>104.58</v>
      </c>
      <c r="G284" s="106">
        <f>VLOOKUP(A284,WTI原油期货!A:B,2,FALSE)</f>
        <v>74.19</v>
      </c>
      <c r="H284" s="106">
        <f>VLOOKUP(A284,天然气期货!A:B,2,FALSE)</f>
        <v>2.298</v>
      </c>
      <c r="I284" s="111">
        <f>VLOOKUP(A284,黄金期货!A:B,2,FALSE)</f>
        <v>1833.3</v>
      </c>
      <c r="J284" s="106">
        <f>VLOOKUP(A284,Sheet2!A:C,3,FALSE)</f>
        <v>1300</v>
      </c>
      <c r="L284" s="112">
        <f t="shared" si="14"/>
        <v>0.00775193798449612</v>
      </c>
    </row>
    <row r="285" spans="1:12">
      <c r="A285" s="109">
        <v>44980</v>
      </c>
      <c r="B285" s="106">
        <f>VLOOKUP(A285,Sheet2!A:C,2,FALSE)</f>
        <v>159</v>
      </c>
      <c r="C285" s="106">
        <v>3800</v>
      </c>
      <c r="D285" s="106">
        <f>VLOOKUP(A285,Sheet4!A:C,2,FALSE)</f>
        <v>1009</v>
      </c>
      <c r="E285" s="106">
        <f>VLOOKUP(A285,Sheet5!A:B,2,FALSE)</f>
        <v>6.9081</v>
      </c>
      <c r="F285" s="106">
        <f>VLOOKUP(A285,Sheet6!A:B,2,FALSE)</f>
        <v>104.6</v>
      </c>
      <c r="G285" s="106">
        <f>VLOOKUP(A285,WTI原油期货!A:B,2,FALSE)</f>
        <v>75.6</v>
      </c>
      <c r="H285" s="106">
        <f>VLOOKUP(A285,天然气期货!A:B,2,FALSE)</f>
        <v>2.432</v>
      </c>
      <c r="I285" s="111">
        <f>VLOOKUP(A285,黄金期货!A:B,2,FALSE)</f>
        <v>1818.8</v>
      </c>
      <c r="J285" s="106">
        <f>VLOOKUP(A285,Sheet2!A:C,3,FALSE)</f>
        <v>1300</v>
      </c>
      <c r="L285" s="112">
        <f t="shared" si="14"/>
        <v>0</v>
      </c>
    </row>
    <row r="286" spans="1:12">
      <c r="A286" s="109">
        <v>44981</v>
      </c>
      <c r="B286" s="106">
        <f>VLOOKUP(A286,Sheet2!A:C,2,FALSE)</f>
        <v>160</v>
      </c>
      <c r="C286" s="106">
        <v>3800</v>
      </c>
      <c r="D286" s="106">
        <f>VLOOKUP(A286,Sheet4!A:C,2,FALSE)</f>
        <v>1008</v>
      </c>
      <c r="E286" s="106">
        <f>VLOOKUP(A286,Sheet5!A:B,2,FALSE)</f>
        <v>6.9563</v>
      </c>
      <c r="F286" s="106">
        <f>VLOOKUP(A286,Sheet6!A:B,2,FALSE)</f>
        <v>105.21</v>
      </c>
      <c r="G286" s="106">
        <f>VLOOKUP(A286,WTI原油期货!A:B,2,FALSE)</f>
        <v>76.47</v>
      </c>
      <c r="H286" s="106">
        <f>VLOOKUP(A286,天然气期货!A:B,2,FALSE)</f>
        <v>2.548</v>
      </c>
      <c r="I286" s="111">
        <f>VLOOKUP(A286,黄金期货!A:B,2,FALSE)</f>
        <v>1809.2</v>
      </c>
      <c r="J286" s="106">
        <f>VLOOKUP(A286,Sheet2!A:C,3,FALSE)</f>
        <v>1300</v>
      </c>
      <c r="L286" s="112">
        <f t="shared" si="14"/>
        <v>0</v>
      </c>
    </row>
    <row r="287" spans="1:12">
      <c r="A287" s="109">
        <v>44984</v>
      </c>
      <c r="B287" s="106">
        <f>VLOOKUP(A287,Sheet2!A:C,2,FALSE)</f>
        <v>160</v>
      </c>
      <c r="C287" s="106">
        <v>3800</v>
      </c>
      <c r="D287" s="106">
        <f>VLOOKUP(A287,Sheet4!A:C,2,FALSE)</f>
        <v>1009</v>
      </c>
      <c r="E287" s="106">
        <f>VLOOKUP(A287,Sheet5!A:B,2,FALSE)</f>
        <v>6.945</v>
      </c>
      <c r="F287" s="106">
        <f>VLOOKUP(A287,Sheet6!A:B,2,FALSE)</f>
        <v>104.67</v>
      </c>
      <c r="G287" s="106">
        <f>VLOOKUP(A287,WTI原油期货!A:B,2,FALSE)</f>
        <v>75.81</v>
      </c>
      <c r="H287" s="106">
        <f>VLOOKUP(A287,天然气期货!A:B,2,FALSE)</f>
        <v>2.853</v>
      </c>
      <c r="I287" s="111">
        <f>VLOOKUP(A287,黄金期货!A:B,2,FALSE)</f>
        <v>1824.9</v>
      </c>
      <c r="J287" s="106">
        <f>VLOOKUP(A287,Sheet2!A:C,3,FALSE)</f>
        <v>1300</v>
      </c>
      <c r="L287" s="112">
        <f t="shared" si="14"/>
        <v>0</v>
      </c>
    </row>
    <row r="288" spans="1:12">
      <c r="A288" s="109">
        <v>44985</v>
      </c>
      <c r="B288" s="106">
        <f>VLOOKUP(A288,Sheet2!A:C,2,FALSE)</f>
        <v>165</v>
      </c>
      <c r="C288" s="106">
        <v>3800</v>
      </c>
      <c r="D288" s="106">
        <f>VLOOKUP(A288,Sheet4!A:C,2,FALSE)</f>
        <v>1010</v>
      </c>
      <c r="E288" s="106">
        <f>VLOOKUP(A288,Sheet5!A:B,2,FALSE)</f>
        <v>6.9334</v>
      </c>
      <c r="F288" s="106">
        <f>VLOOKUP(A288,Sheet6!A:B,2,FALSE)</f>
        <v>104.87</v>
      </c>
      <c r="G288" s="106">
        <f>VLOOKUP(A288,WTI原油期货!A:B,2,FALSE)</f>
        <v>77.19</v>
      </c>
      <c r="H288" s="106">
        <f>VLOOKUP(A288,天然气期货!A:B,2,FALSE)</f>
        <v>2.863</v>
      </c>
      <c r="I288" s="111">
        <f>VLOOKUP(A288,黄金期货!A:B,2,FALSE)</f>
        <v>1836.7</v>
      </c>
      <c r="J288" s="106">
        <f>VLOOKUP(A288,Sheet2!A:C,3,FALSE)</f>
        <v>1320</v>
      </c>
      <c r="L288" s="112">
        <f t="shared" si="14"/>
        <v>0.0153846153846154</v>
      </c>
    </row>
    <row r="289" spans="1:12">
      <c r="A289" s="109">
        <v>44986</v>
      </c>
      <c r="B289" s="106">
        <f>VLOOKUP(A289,Sheet2!A:C,2,FALSE)</f>
        <v>165</v>
      </c>
      <c r="C289" s="106">
        <v>3800</v>
      </c>
      <c r="D289" s="106">
        <f>VLOOKUP(A289,Sheet4!A:C,2,FALSE)</f>
        <v>1010</v>
      </c>
      <c r="E289" s="106">
        <f>VLOOKUP(A289,Sheet5!A:B,2,FALSE)</f>
        <v>6.8691</v>
      </c>
      <c r="F289" s="106">
        <f>VLOOKUP(A289,Sheet6!A:B,2,FALSE)</f>
        <v>104.48</v>
      </c>
      <c r="G289" s="106">
        <f>VLOOKUP(A289,WTI原油期货!A:B,2,FALSE)</f>
        <v>77.83</v>
      </c>
      <c r="H289" s="106">
        <f>VLOOKUP(A289,天然气期货!A:B,2,FALSE)</f>
        <v>2.943</v>
      </c>
      <c r="I289" s="111">
        <f>VLOOKUP(A289,黄金期货!A:B,2,FALSE)</f>
        <v>1845.4</v>
      </c>
      <c r="J289" s="106">
        <f>VLOOKUP(A289,Sheet2!A:C,3,FALSE)</f>
        <v>1330</v>
      </c>
      <c r="L289" s="112">
        <f t="shared" si="14"/>
        <v>0.00757575757575758</v>
      </c>
    </row>
    <row r="290" spans="1:12">
      <c r="A290" s="109">
        <v>44987</v>
      </c>
      <c r="B290" s="106">
        <f>VLOOKUP(A290,Sheet2!A:C,2,FALSE)</f>
        <v>161</v>
      </c>
      <c r="C290" s="106">
        <v>3800</v>
      </c>
      <c r="D290" s="106">
        <f>VLOOKUP(A290,Sheet4!A:C,2,FALSE)</f>
        <v>1010</v>
      </c>
      <c r="E290" s="106">
        <f>VLOOKUP(A290,Sheet5!A:B,2,FALSE)</f>
        <v>6.9153</v>
      </c>
      <c r="F290" s="106">
        <f>VLOOKUP(A290,Sheet6!A:B,2,FALSE)</f>
        <v>105.03</v>
      </c>
      <c r="G290" s="106">
        <f>VLOOKUP(A290,WTI原油期货!A:B,2,FALSE)</f>
        <v>78.31</v>
      </c>
      <c r="H290" s="106">
        <f>VLOOKUP(A290,天然气期货!A:B,2,FALSE)</f>
        <v>2.899</v>
      </c>
      <c r="I290" s="111">
        <f>VLOOKUP(A290,黄金期货!A:B,2,FALSE)</f>
        <v>1840.5</v>
      </c>
      <c r="J290" s="106">
        <f>VLOOKUP(A290,Sheet2!A:C,3,FALSE)</f>
        <v>1330</v>
      </c>
      <c r="L290" s="112">
        <f t="shared" si="14"/>
        <v>0</v>
      </c>
    </row>
    <row r="291" spans="1:12">
      <c r="A291" s="109">
        <v>44988</v>
      </c>
      <c r="B291" s="106">
        <f>VLOOKUP(A291,Sheet2!A:C,2,FALSE)</f>
        <v>161</v>
      </c>
      <c r="C291" s="106">
        <v>3800</v>
      </c>
      <c r="D291" s="106">
        <f>VLOOKUP(A291,Sheet4!A:C,2,FALSE)</f>
        <v>1011</v>
      </c>
      <c r="E291" s="106">
        <f>VLOOKUP(A291,Sheet5!A:B,2,FALSE)</f>
        <v>6.9074</v>
      </c>
      <c r="F291" s="106">
        <f>VLOOKUP(A291,Sheet6!A:B,2,FALSE)</f>
        <v>104.52</v>
      </c>
      <c r="G291" s="106">
        <f>VLOOKUP(A291,WTI原油期货!A:B,2,FALSE)</f>
        <v>79.79</v>
      </c>
      <c r="H291" s="106">
        <f>VLOOKUP(A291,天然气期货!A:B,2,FALSE)</f>
        <v>3.141</v>
      </c>
      <c r="I291" s="111">
        <f>VLOOKUP(A291,黄金期货!A:B,2,FALSE)</f>
        <v>1854.6</v>
      </c>
      <c r="J291" s="106">
        <f>VLOOKUP(A291,Sheet2!A:C,3,FALSE)</f>
        <v>1330</v>
      </c>
      <c r="L291" s="112">
        <f t="shared" si="14"/>
        <v>0</v>
      </c>
    </row>
    <row r="292" spans="1:12">
      <c r="A292" s="109">
        <v>44991</v>
      </c>
      <c r="B292" s="106">
        <f>VLOOKUP(A292,Sheet2!A:C,2,FALSE)</f>
        <v>161</v>
      </c>
      <c r="C292" s="106">
        <v>3800</v>
      </c>
      <c r="D292" s="106">
        <f>VLOOKUP(A292,Sheet4!A:C,2,FALSE)</f>
        <v>1010</v>
      </c>
      <c r="E292" s="106">
        <f>VLOOKUP(A292,Sheet5!A:B,2,FALSE)</f>
        <v>6.93</v>
      </c>
      <c r="F292" s="106">
        <f>VLOOKUP(A292,Sheet6!A:B,2,FALSE)</f>
        <v>104.35</v>
      </c>
      <c r="G292" s="106">
        <f>VLOOKUP(A292,WTI原油期货!A:B,2,FALSE)</f>
        <v>80.56</v>
      </c>
      <c r="H292" s="106">
        <f>VLOOKUP(A292,天然气期货!A:B,2,FALSE)</f>
        <v>2.73</v>
      </c>
      <c r="I292" s="111">
        <f>VLOOKUP(A292,黄金期货!A:B,2,FALSE)</f>
        <v>1854.6</v>
      </c>
      <c r="J292" s="106">
        <f>VLOOKUP(A292,Sheet2!A:C,3,FALSE)</f>
        <v>1330</v>
      </c>
      <c r="L292" s="112">
        <f t="shared" si="14"/>
        <v>0</v>
      </c>
    </row>
    <row r="293" spans="1:12">
      <c r="A293" s="109">
        <v>44992</v>
      </c>
      <c r="B293" s="106">
        <f>VLOOKUP(A293,Sheet2!A:C,2,FALSE)</f>
        <v>160</v>
      </c>
      <c r="C293" s="106">
        <v>3800</v>
      </c>
      <c r="D293" s="106">
        <f>VLOOKUP(A293,Sheet4!A:C,2,FALSE)</f>
        <v>1010</v>
      </c>
      <c r="E293" s="106">
        <f>VLOOKUP(A293,Sheet5!A:B,2,FALSE)</f>
        <v>6.9628</v>
      </c>
      <c r="F293" s="106">
        <f>VLOOKUP(A293,Sheet6!A:B,2,FALSE)</f>
        <v>105.61</v>
      </c>
      <c r="G293" s="106">
        <f>VLOOKUP(A293,WTI原油期货!A:B,2,FALSE)</f>
        <v>77.72</v>
      </c>
      <c r="H293" s="106">
        <f>VLOOKUP(A293,天然气期货!A:B,2,FALSE)</f>
        <v>2.84</v>
      </c>
      <c r="I293" s="111">
        <f>VLOOKUP(A293,黄金期货!A:B,2,FALSE)</f>
        <v>1820</v>
      </c>
      <c r="J293" s="106">
        <f>VLOOKUP(A293,Sheet2!A:C,3,FALSE)</f>
        <v>1330</v>
      </c>
      <c r="L293" s="112">
        <f t="shared" si="14"/>
        <v>0</v>
      </c>
    </row>
    <row r="294" spans="1:12">
      <c r="A294" s="109">
        <v>44993</v>
      </c>
      <c r="B294" s="106">
        <f>VLOOKUP(A294,Sheet2!A:C,2,FALSE)</f>
        <v>158</v>
      </c>
      <c r="C294" s="106">
        <v>3800</v>
      </c>
      <c r="D294" s="106">
        <f>VLOOKUP(A294,Sheet4!A:C,2,FALSE)</f>
        <v>1009</v>
      </c>
      <c r="E294" s="106">
        <f>VLOOKUP(A294,Sheet5!A:B,2,FALSE)</f>
        <v>6.9516</v>
      </c>
      <c r="F294" s="106">
        <f>VLOOKUP(A294,Sheet6!A:B,2,FALSE)</f>
        <v>105.66</v>
      </c>
      <c r="G294" s="106">
        <f>VLOOKUP(A294,WTI原油期货!A:B,2,FALSE)</f>
        <v>76.81</v>
      </c>
      <c r="H294" s="106">
        <f>VLOOKUP(A294,天然气期货!A:B,2,FALSE)</f>
        <v>2.713</v>
      </c>
      <c r="I294" s="111">
        <f>VLOOKUP(A294,黄金期货!A:B,2,FALSE)</f>
        <v>1818.6</v>
      </c>
      <c r="J294" s="106">
        <f>VLOOKUP(A294,Sheet2!A:C,3,FALSE)</f>
        <v>1310</v>
      </c>
      <c r="L294" s="112">
        <f t="shared" si="14"/>
        <v>-0.0150375939849624</v>
      </c>
    </row>
    <row r="295" spans="1:12">
      <c r="A295" s="109">
        <v>44994</v>
      </c>
      <c r="B295" s="106">
        <f>VLOOKUP(A295,Sheet2!A:C,2,FALSE)</f>
        <v>160</v>
      </c>
      <c r="C295" s="106">
        <v>3800</v>
      </c>
      <c r="D295" s="106">
        <f>VLOOKUP(A295,Sheet4!A:C,2,FALSE)</f>
        <v>1009</v>
      </c>
      <c r="E295" s="106">
        <f>VLOOKUP(A295,Sheet5!A:B,2,FALSE)</f>
        <v>6.9648</v>
      </c>
      <c r="F295" s="106">
        <f>VLOOKUP(A295,Sheet6!A:B,2,FALSE)</f>
        <v>105.31</v>
      </c>
      <c r="G295" s="106">
        <f>VLOOKUP(A295,WTI原油期货!A:B,2,FALSE)</f>
        <v>75.84</v>
      </c>
      <c r="H295" s="106">
        <f>VLOOKUP(A295,天然气期货!A:B,2,FALSE)</f>
        <v>2.683</v>
      </c>
      <c r="I295" s="111">
        <f>VLOOKUP(A295,黄金期货!A:B,2,FALSE)</f>
        <v>1834.6</v>
      </c>
      <c r="J295" s="106">
        <f>VLOOKUP(A295,Sheet2!A:C,3,FALSE)</f>
        <v>1300</v>
      </c>
      <c r="L295" s="112">
        <f t="shared" si="14"/>
        <v>-0.00763358778625954</v>
      </c>
    </row>
    <row r="296" spans="1:12">
      <c r="A296" s="109">
        <v>44995</v>
      </c>
      <c r="B296" s="106">
        <f>VLOOKUP(A296,Sheet2!A:C,2,FALSE)</f>
        <v>161</v>
      </c>
      <c r="C296" s="106">
        <v>3800</v>
      </c>
      <c r="D296" s="106">
        <f>VLOOKUP(A296,Sheet4!A:C,2,FALSE)</f>
        <v>1008</v>
      </c>
      <c r="E296" s="106">
        <f>VLOOKUP(A296,Sheet5!A:B,2,FALSE)</f>
        <v>6.9063</v>
      </c>
      <c r="F296" s="106">
        <f>VLOOKUP(A296,Sheet6!A:B,2,FALSE)</f>
        <v>104.58</v>
      </c>
      <c r="G296" s="106">
        <f>VLOOKUP(A296,WTI原油期货!A:B,2,FALSE)</f>
        <v>76.78</v>
      </c>
      <c r="H296" s="106">
        <f>VLOOKUP(A296,天然气期货!A:B,2,FALSE)</f>
        <v>2.559</v>
      </c>
      <c r="I296" s="111">
        <f>VLOOKUP(A296,黄金期货!A:B,2,FALSE)</f>
        <v>1867.2</v>
      </c>
      <c r="J296" s="106">
        <f>VLOOKUP(A296,Sheet2!A:C,3,FALSE)</f>
        <v>1290</v>
      </c>
      <c r="L296" s="112">
        <f t="shared" si="14"/>
        <v>-0.00769230769230769</v>
      </c>
    </row>
    <row r="297" spans="1:12">
      <c r="A297" s="109">
        <v>44998</v>
      </c>
      <c r="B297" s="106">
        <f>VLOOKUP(A297,Sheet2!A:C,2,FALSE)</f>
        <v>162</v>
      </c>
      <c r="C297" s="106">
        <v>3800</v>
      </c>
      <c r="D297" s="106">
        <f>VLOOKUP(A297,Sheet4!A:C,2,FALSE)</f>
        <v>1007</v>
      </c>
      <c r="E297" s="106">
        <f>VLOOKUP(A297,Sheet5!A:B,2,FALSE)</f>
        <v>6.8465</v>
      </c>
      <c r="F297" s="106">
        <f>VLOOKUP(A297,Sheet6!A:B,2,FALSE)</f>
        <v>103.6</v>
      </c>
      <c r="G297" s="106">
        <f>VLOOKUP(A297,WTI原油期货!A:B,2,FALSE)</f>
        <v>74.91</v>
      </c>
      <c r="H297" s="106">
        <f>VLOOKUP(A297,天然气期货!A:B,2,FALSE)</f>
        <v>2.726</v>
      </c>
      <c r="I297" s="111">
        <f>VLOOKUP(A297,黄金期货!A:B,2,FALSE)</f>
        <v>1916.5</v>
      </c>
      <c r="J297" s="106">
        <f>VLOOKUP(A297,Sheet2!A:C,3,FALSE)</f>
        <v>1250</v>
      </c>
      <c r="L297" s="112">
        <f t="shared" si="14"/>
        <v>-0.0310077519379845</v>
      </c>
    </row>
    <row r="298" spans="1:12">
      <c r="A298" s="109">
        <v>44999</v>
      </c>
      <c r="B298" s="106">
        <f>VLOOKUP(A298,Sheet2!A:C,2,FALSE)</f>
        <v>162</v>
      </c>
      <c r="C298" s="106">
        <v>3800</v>
      </c>
      <c r="D298" s="106">
        <f>VLOOKUP(A298,Sheet4!A:C,2,FALSE)</f>
        <v>1009</v>
      </c>
      <c r="E298" s="106">
        <f>VLOOKUP(A298,Sheet5!A:B,2,FALSE)</f>
        <v>6.8715</v>
      </c>
      <c r="F298" s="106">
        <f>VLOOKUP(A298,Sheet6!A:B,2,FALSE)</f>
        <v>103.6</v>
      </c>
      <c r="G298" s="106">
        <f>VLOOKUP(A298,WTI原油期货!A:B,2,FALSE)</f>
        <v>71.49</v>
      </c>
      <c r="H298" s="106">
        <f>VLOOKUP(A298,天然气期货!A:B,2,FALSE)</f>
        <v>2.69</v>
      </c>
      <c r="I298" s="111">
        <f>VLOOKUP(A298,黄金期货!A:B,2,FALSE)</f>
        <v>1910.9</v>
      </c>
      <c r="J298" s="106">
        <f>VLOOKUP(A298,Sheet2!A:C,3,FALSE)</f>
        <v>1200</v>
      </c>
      <c r="L298" s="112">
        <f t="shared" si="14"/>
        <v>-0.04</v>
      </c>
    </row>
    <row r="299" spans="1:12">
      <c r="A299" s="109">
        <v>45000</v>
      </c>
      <c r="B299" s="106">
        <f>VLOOKUP(A299,Sheet2!A:C,2,FALSE)</f>
        <v>166</v>
      </c>
      <c r="C299" s="106">
        <v>3800</v>
      </c>
      <c r="D299" s="106">
        <f>VLOOKUP(A299,Sheet4!A:C,2,FALSE)</f>
        <v>1008</v>
      </c>
      <c r="E299" s="106">
        <f>VLOOKUP(A299,Sheet5!A:B,2,FALSE)</f>
        <v>6.9074</v>
      </c>
      <c r="F299" s="106">
        <f>VLOOKUP(A299,Sheet6!A:B,2,FALSE)</f>
        <v>104.65</v>
      </c>
      <c r="G299" s="106">
        <f>VLOOKUP(A299,WTI原油期货!A:B,2,FALSE)</f>
        <v>67.74</v>
      </c>
      <c r="H299" s="106">
        <f>VLOOKUP(A299,天然气期货!A:B,2,FALSE)</f>
        <v>2.546</v>
      </c>
      <c r="I299" s="111">
        <f>VLOOKUP(A299,黄金期货!A:B,2,FALSE)</f>
        <v>1931.3</v>
      </c>
      <c r="J299" s="106">
        <f>VLOOKUP(A299,Sheet2!A:C,3,FALSE)</f>
        <v>1170</v>
      </c>
      <c r="L299" s="112">
        <f t="shared" si="14"/>
        <v>-0.025</v>
      </c>
    </row>
    <row r="300" spans="1:12">
      <c r="A300" s="109">
        <v>45001</v>
      </c>
      <c r="B300" s="106">
        <f>VLOOKUP(A300,Sheet2!A:C,2,FALSE)</f>
        <v>164</v>
      </c>
      <c r="C300" s="106">
        <v>3810</v>
      </c>
      <c r="D300" s="106">
        <f>VLOOKUP(A300,Sheet4!A:C,2,FALSE)</f>
        <v>1003</v>
      </c>
      <c r="E300" s="106">
        <f>VLOOKUP(A300,Sheet5!A:B,2,FALSE)</f>
        <v>6.8983</v>
      </c>
      <c r="F300" s="106">
        <f>VLOOKUP(A300,Sheet6!A:B,2,FALSE)</f>
        <v>104.42</v>
      </c>
      <c r="G300" s="106">
        <f>VLOOKUP(A300,WTI原油期货!A:B,2,FALSE)</f>
        <v>68.52</v>
      </c>
      <c r="H300" s="106">
        <f>VLOOKUP(A300,天然气期货!A:B,2,FALSE)</f>
        <v>2.626</v>
      </c>
      <c r="I300" s="111">
        <f>VLOOKUP(A300,黄金期货!A:B,2,FALSE)</f>
        <v>1923</v>
      </c>
      <c r="J300" s="106">
        <f>VLOOKUP(A300,Sheet2!A:C,3,FALSE)</f>
        <v>1170</v>
      </c>
      <c r="L300" s="112">
        <f t="shared" si="14"/>
        <v>0</v>
      </c>
    </row>
    <row r="301" spans="1:12">
      <c r="A301" s="109">
        <v>45002</v>
      </c>
      <c r="B301" s="106">
        <f>VLOOKUP(A301,Sheet2!A:C,2,FALSE)</f>
        <v>164</v>
      </c>
      <c r="C301" s="106">
        <v>3810</v>
      </c>
      <c r="D301" s="106">
        <f>VLOOKUP(A301,Sheet4!A:C,2,FALSE)</f>
        <v>1001</v>
      </c>
      <c r="E301" s="106">
        <f>VLOOKUP(A301,Sheet5!A:B,2,FALSE)</f>
        <v>6.8867</v>
      </c>
      <c r="F301" s="106">
        <f>VLOOKUP(A301,Sheet6!A:B,2,FALSE)</f>
        <v>103.71</v>
      </c>
      <c r="G301" s="106">
        <f>VLOOKUP(A301,WTI原油期货!A:B,2,FALSE)</f>
        <v>66.93</v>
      </c>
      <c r="H301" s="106">
        <f>VLOOKUP(A301,天然气期货!A:B,2,FALSE)</f>
        <v>2.446</v>
      </c>
      <c r="I301" s="111">
        <f>VLOOKUP(A301,黄金期货!A:B,2,FALSE)</f>
        <v>1973.5</v>
      </c>
      <c r="J301" s="106">
        <f>VLOOKUP(A301,Sheet2!A:C,3,FALSE)</f>
        <v>1170</v>
      </c>
      <c r="L301" s="112">
        <f t="shared" si="14"/>
        <v>0</v>
      </c>
    </row>
    <row r="302" spans="1:12">
      <c r="A302" s="109">
        <v>45005</v>
      </c>
      <c r="B302" s="106">
        <f>VLOOKUP(A302,Sheet2!A:C,2,FALSE)</f>
        <v>163</v>
      </c>
      <c r="C302" s="106">
        <v>3810</v>
      </c>
      <c r="D302" s="106">
        <f>VLOOKUP(A302,Sheet4!A:C,2,FALSE)</f>
        <v>998</v>
      </c>
      <c r="E302" s="106">
        <f>VLOOKUP(A302,Sheet5!A:B,2,FALSE)</f>
        <v>6.8785</v>
      </c>
      <c r="F302" s="106">
        <f>VLOOKUP(A302,Sheet6!A:B,2,FALSE)</f>
        <v>103.28</v>
      </c>
      <c r="G302" s="106">
        <f>VLOOKUP(A302,WTI原油期货!A:B,2,FALSE)</f>
        <v>67.82</v>
      </c>
      <c r="H302" s="106">
        <f>VLOOKUP(A302,天然气期货!A:B,2,FALSE)</f>
        <v>2.331</v>
      </c>
      <c r="I302" s="111">
        <f>VLOOKUP(A302,黄金期货!A:B,2,FALSE)</f>
        <v>1982.8</v>
      </c>
      <c r="J302" s="106">
        <f>VLOOKUP(A302,Sheet2!A:C,3,FALSE)</f>
        <v>1180</v>
      </c>
      <c r="L302" s="112">
        <f t="shared" si="14"/>
        <v>0.00854700854700855</v>
      </c>
    </row>
    <row r="303" spans="1:12">
      <c r="A303" s="109">
        <v>45006</v>
      </c>
      <c r="B303" s="106">
        <f>VLOOKUP(A303,Sheet2!A:C,2,FALSE)</f>
        <v>163</v>
      </c>
      <c r="C303" s="106">
        <v>3810</v>
      </c>
      <c r="D303" s="106">
        <f>VLOOKUP(A303,Sheet4!A:C,2,FALSE)</f>
        <v>995</v>
      </c>
      <c r="E303" s="106">
        <f>VLOOKUP(A303,Sheet5!A:B,2,FALSE)</f>
        <v>6.8845</v>
      </c>
      <c r="F303" s="106">
        <f>VLOOKUP(A303,Sheet6!A:B,2,FALSE)</f>
        <v>103.26</v>
      </c>
      <c r="G303" s="106">
        <f>VLOOKUP(A303,WTI原油期货!A:B,2,FALSE)</f>
        <v>69.67</v>
      </c>
      <c r="H303" s="106">
        <f>VLOOKUP(A303,天然气期货!A:B,2,FALSE)</f>
        <v>2.485</v>
      </c>
      <c r="I303" s="111">
        <f>VLOOKUP(A303,黄金期货!A:B,2,FALSE)</f>
        <v>1941.1</v>
      </c>
      <c r="J303" s="106">
        <f>VLOOKUP(A303,Sheet2!A:C,3,FALSE)</f>
        <v>1180</v>
      </c>
      <c r="L303" s="112">
        <f t="shared" si="14"/>
        <v>0</v>
      </c>
    </row>
    <row r="304" spans="1:12">
      <c r="A304" s="109">
        <v>45007</v>
      </c>
      <c r="B304" s="106">
        <f>VLOOKUP(A304,Sheet2!A:C,2,FALSE)</f>
        <v>162</v>
      </c>
      <c r="C304" s="106">
        <v>3810</v>
      </c>
      <c r="D304" s="106">
        <f>VLOOKUP(A304,Sheet4!A:C,2,FALSE)</f>
        <v>993</v>
      </c>
      <c r="E304" s="106">
        <f>VLOOKUP(A304,Sheet5!A:B,2,FALSE)</f>
        <v>6.8807</v>
      </c>
      <c r="F304" s="106">
        <f>VLOOKUP(A304,Sheet6!A:B,2,FALSE)</f>
        <v>102.35</v>
      </c>
      <c r="G304" s="106">
        <f>VLOOKUP(A304,WTI原油期货!A:B,2,FALSE)</f>
        <v>71.02</v>
      </c>
      <c r="H304" s="106">
        <f>VLOOKUP(A304,天然气期货!A:B,2,FALSE)</f>
        <v>2.307</v>
      </c>
      <c r="I304" s="111">
        <f>VLOOKUP(A304,黄金期货!A:B,2,FALSE)</f>
        <v>1949.6</v>
      </c>
      <c r="J304" s="106">
        <f>VLOOKUP(A304,Sheet2!A:C,3,FALSE)</f>
        <v>1170</v>
      </c>
      <c r="L304" s="112">
        <f t="shared" si="14"/>
        <v>-0.00847457627118644</v>
      </c>
    </row>
    <row r="305" spans="1:12">
      <c r="A305" s="109">
        <v>45008</v>
      </c>
      <c r="B305" s="106">
        <f>VLOOKUP(A305,Sheet2!A:C,2,FALSE)</f>
        <v>164</v>
      </c>
      <c r="C305" s="106">
        <v>3810</v>
      </c>
      <c r="D305" s="106">
        <f>VLOOKUP(A305,Sheet4!A:C,2,FALSE)</f>
        <v>991</v>
      </c>
      <c r="E305" s="106">
        <f>VLOOKUP(A305,Sheet5!A:B,2,FALSE)</f>
        <v>6.8199</v>
      </c>
      <c r="F305" s="106">
        <f>VLOOKUP(A305,Sheet6!A:B,2,FALSE)</f>
        <v>102.53</v>
      </c>
      <c r="G305" s="106">
        <f>VLOOKUP(A305,WTI原油期货!A:B,2,FALSE)</f>
        <v>70.12</v>
      </c>
      <c r="H305" s="106">
        <f>VLOOKUP(A305,天然气期货!A:B,2,FALSE)</f>
        <v>2.283</v>
      </c>
      <c r="I305" s="111">
        <f>VLOOKUP(A305,黄金期货!A:B,2,FALSE)</f>
        <v>1995.9</v>
      </c>
      <c r="J305" s="106">
        <f>VLOOKUP(A305,Sheet2!A:C,3,FALSE)</f>
        <v>1170</v>
      </c>
      <c r="L305" s="112">
        <f t="shared" si="14"/>
        <v>0</v>
      </c>
    </row>
    <row r="306" spans="1:12">
      <c r="A306" s="109">
        <v>45009</v>
      </c>
      <c r="B306" s="106">
        <f>VLOOKUP(A306,Sheet2!A:C,2,FALSE)</f>
        <v>164</v>
      </c>
      <c r="C306" s="106">
        <v>3810</v>
      </c>
      <c r="D306" s="106">
        <f>VLOOKUP(A306,Sheet4!A:C,2,FALSE)</f>
        <v>990</v>
      </c>
      <c r="E306" s="106">
        <f>VLOOKUP(A306,Sheet5!A:B,2,FALSE)</f>
        <v>6.868</v>
      </c>
      <c r="F306" s="106">
        <f>VLOOKUP(A306,Sheet6!A:B,2,FALSE)</f>
        <v>103.12</v>
      </c>
      <c r="G306" s="106">
        <f>VLOOKUP(A306,WTI原油期货!A:B,2,FALSE)</f>
        <v>69.41</v>
      </c>
      <c r="H306" s="106">
        <f>VLOOKUP(A306,天然气期货!A:B,2,FALSE)</f>
        <v>2.361</v>
      </c>
      <c r="I306" s="111">
        <f>VLOOKUP(A306,黄金期货!A:B,2,FALSE)</f>
        <v>1983.8</v>
      </c>
      <c r="J306" s="106">
        <f>VLOOKUP(A306,Sheet2!A:C,3,FALSE)</f>
        <v>1150</v>
      </c>
      <c r="L306" s="112">
        <f t="shared" si="14"/>
        <v>-0.0170940170940171</v>
      </c>
    </row>
    <row r="307" spans="1:12">
      <c r="A307" s="109">
        <v>45012</v>
      </c>
      <c r="B307" s="106">
        <f>VLOOKUP(A307,Sheet2!A:C,2,FALSE)</f>
        <v>158</v>
      </c>
      <c r="C307" s="106">
        <v>3810</v>
      </c>
      <c r="D307" s="106">
        <f>VLOOKUP(A307,Sheet4!A:C,2,FALSE)</f>
        <v>990</v>
      </c>
      <c r="E307" s="106">
        <f>VLOOKUP(A307,Sheet5!A:B,2,FALSE)</f>
        <v>6.8851</v>
      </c>
      <c r="F307" s="106">
        <f>VLOOKUP(A307,Sheet6!A:B,2,FALSE)</f>
        <v>102.86</v>
      </c>
      <c r="G307" s="106">
        <f>VLOOKUP(A307,WTI原油期货!A:B,2,FALSE)</f>
        <v>72.93</v>
      </c>
      <c r="H307" s="106">
        <f>VLOOKUP(A307,天然气期货!A:B,2,FALSE)</f>
        <v>2.215</v>
      </c>
      <c r="I307" s="111">
        <f>VLOOKUP(A307,黄金期货!A:B,2,FALSE)</f>
        <v>1953.8</v>
      </c>
      <c r="J307" s="106">
        <f>VLOOKUP(A307,Sheet2!A:C,3,FALSE)</f>
        <v>1120</v>
      </c>
      <c r="L307" s="112">
        <f t="shared" si="14"/>
        <v>-0.0260869565217391</v>
      </c>
    </row>
    <row r="308" spans="1:12">
      <c r="A308" s="109">
        <v>45013</v>
      </c>
      <c r="B308" s="106">
        <f>VLOOKUP(A308,Sheet2!A:C,2,FALSE)</f>
        <v>161</v>
      </c>
      <c r="C308" s="106">
        <v>3810</v>
      </c>
      <c r="D308" s="106">
        <f>VLOOKUP(A308,Sheet4!A:C,2,FALSE)</f>
        <v>991</v>
      </c>
      <c r="E308" s="106">
        <f>VLOOKUP(A308,Sheet5!A:B,2,FALSE)</f>
        <v>6.875</v>
      </c>
      <c r="F308" s="106">
        <f>VLOOKUP(A308,Sheet6!A:B,2,FALSE)</f>
        <v>102.43</v>
      </c>
      <c r="G308" s="106">
        <f>VLOOKUP(A308,WTI原油期货!A:B,2,FALSE)</f>
        <v>73.34</v>
      </c>
      <c r="H308" s="106">
        <f>VLOOKUP(A308,天然气期货!A:B,2,FALSE)</f>
        <v>2.147</v>
      </c>
      <c r="I308" s="111">
        <f>VLOOKUP(A308,黄金期货!A:B,2,FALSE)</f>
        <v>1973.5</v>
      </c>
      <c r="J308" s="106">
        <f>VLOOKUP(A308,Sheet2!A:C,3,FALSE)</f>
        <v>1100</v>
      </c>
      <c r="L308" s="112">
        <f t="shared" si="14"/>
        <v>-0.0178571428571429</v>
      </c>
    </row>
    <row r="309" spans="1:12">
      <c r="A309" s="109">
        <v>45014</v>
      </c>
      <c r="B309" s="106">
        <f>VLOOKUP(A309,Sheet2!A:C,2,FALSE)</f>
        <v>159</v>
      </c>
      <c r="C309" s="106">
        <v>3810</v>
      </c>
      <c r="D309" s="106">
        <f>VLOOKUP(A309,Sheet4!A:C,2,FALSE)</f>
        <v>992</v>
      </c>
      <c r="E309" s="106">
        <f>VLOOKUP(A309,Sheet5!A:B,2,FALSE)</f>
        <v>6.8871</v>
      </c>
      <c r="F309" s="106">
        <f>VLOOKUP(A309,Sheet6!A:B,2,FALSE)</f>
        <v>102.64</v>
      </c>
      <c r="G309" s="106">
        <f>VLOOKUP(A309,WTI原油期货!A:B,2,FALSE)</f>
        <v>73.12</v>
      </c>
      <c r="H309" s="106">
        <f>VLOOKUP(A309,天然气期货!A:B,2,FALSE)</f>
        <v>2.184</v>
      </c>
      <c r="I309" s="111">
        <f>VLOOKUP(A309,黄金期货!A:B,2,FALSE)</f>
        <v>1966.9</v>
      </c>
      <c r="J309" s="106">
        <f>VLOOKUP(A309,Sheet2!A:C,3,FALSE)</f>
        <v>1060</v>
      </c>
      <c r="L309" s="112">
        <f t="shared" si="14"/>
        <v>-0.0363636363636364</v>
      </c>
    </row>
    <row r="310" spans="1:12">
      <c r="A310" s="109">
        <v>45015</v>
      </c>
      <c r="B310" s="106">
        <f>VLOOKUP(A310,Sheet2!A:C,2,FALSE)</f>
        <v>160</v>
      </c>
      <c r="C310" s="106">
        <v>3810</v>
      </c>
      <c r="D310" s="106">
        <f>VLOOKUP(A310,Sheet4!A:C,2,FALSE)</f>
        <v>991</v>
      </c>
      <c r="E310" s="106">
        <f>VLOOKUP(A310,Sheet5!A:B,2,FALSE)</f>
        <v>6.8719</v>
      </c>
      <c r="F310" s="106">
        <f>VLOOKUP(A310,Sheet6!A:B,2,FALSE)</f>
        <v>102.14</v>
      </c>
      <c r="G310" s="106">
        <f>VLOOKUP(A310,WTI原油期货!A:B,2,FALSE)</f>
        <v>74.49</v>
      </c>
      <c r="H310" s="106">
        <f>VLOOKUP(A310,天然气期货!A:B,2,FALSE)</f>
        <v>2.358</v>
      </c>
      <c r="I310" s="111">
        <f>VLOOKUP(A310,黄金期货!A:B,2,FALSE)</f>
        <v>1988.5</v>
      </c>
      <c r="J310" s="106">
        <f>VLOOKUP(A310,Sheet2!A:C,3,FALSE)</f>
        <v>1050</v>
      </c>
      <c r="L310" s="112">
        <f t="shared" si="14"/>
        <v>-0.00943396226415094</v>
      </c>
    </row>
    <row r="311" spans="1:12">
      <c r="A311" s="109">
        <v>45016</v>
      </c>
      <c r="B311" s="106">
        <f>VLOOKUP(A311,Sheet2!A:C,2,FALSE)</f>
        <v>160</v>
      </c>
      <c r="C311" s="106">
        <v>3810</v>
      </c>
      <c r="D311" s="106">
        <f>VLOOKUP(A311,Sheet4!A:C,2,FALSE)</f>
        <v>991</v>
      </c>
      <c r="E311" s="106">
        <f>VLOOKUP(A311,Sheet5!A:B,2,FALSE)</f>
        <v>6.869</v>
      </c>
      <c r="F311" s="106">
        <f>VLOOKUP(A311,Sheet6!A:B,2,FALSE)</f>
        <v>102.51</v>
      </c>
      <c r="G311" s="106">
        <f>VLOOKUP(A311,WTI原油期货!A:B,2,FALSE)</f>
        <v>75.8</v>
      </c>
      <c r="H311" s="106">
        <f>VLOOKUP(A311,天然气期货!A:B,2,FALSE)</f>
        <v>2.465</v>
      </c>
      <c r="I311" s="111">
        <f>VLOOKUP(A311,黄金期货!A:B,2,FALSE)</f>
        <v>1977</v>
      </c>
      <c r="J311" s="106">
        <f>VLOOKUP(A311,Sheet2!A:C,3,FALSE)</f>
        <v>1030</v>
      </c>
      <c r="L311" s="112">
        <f t="shared" si="14"/>
        <v>-0.019047619047619</v>
      </c>
    </row>
    <row r="312" spans="1:12">
      <c r="A312" s="109">
        <v>45019</v>
      </c>
      <c r="B312" s="106">
        <f>VLOOKUP(A312,Sheet2!A:C,2,FALSE)</f>
        <v>162</v>
      </c>
      <c r="C312" s="106">
        <v>3810</v>
      </c>
      <c r="D312" s="106">
        <f>VLOOKUP(A312,Sheet4!A:C,2,FALSE)</f>
        <v>991</v>
      </c>
      <c r="E312" s="106">
        <f>VLOOKUP(A312,Sheet5!A:B,2,FALSE)</f>
        <v>6.8783</v>
      </c>
      <c r="F312" s="106">
        <f>VLOOKUP(A312,Sheet6!A:B,2,FALSE)</f>
        <v>102.09</v>
      </c>
      <c r="G312" s="106">
        <f>VLOOKUP(A312,WTI原油期货!A:B,2,FALSE)</f>
        <v>80.44</v>
      </c>
      <c r="H312" s="106">
        <f>VLOOKUP(A312,天然气期货!A:B,2,FALSE)</f>
        <v>2.333</v>
      </c>
      <c r="I312" s="111">
        <f>VLOOKUP(A312,黄金期货!A:B,2,FALSE)</f>
        <v>1991.3</v>
      </c>
      <c r="J312" s="106">
        <f>VLOOKUP(A312,Sheet2!A:C,3,FALSE)</f>
        <v>1030</v>
      </c>
      <c r="L312" s="112">
        <f t="shared" si="14"/>
        <v>0</v>
      </c>
    </row>
    <row r="313" spans="1:12">
      <c r="A313" s="109">
        <v>45020</v>
      </c>
      <c r="B313" s="106">
        <f>VLOOKUP(A313,Sheet2!A:C,2,FALSE)</f>
        <v>163</v>
      </c>
      <c r="C313" s="106">
        <v>3810</v>
      </c>
      <c r="D313" s="106">
        <f>VLOOKUP(A313,Sheet4!A:C,2,FALSE)</f>
        <v>990</v>
      </c>
      <c r="E313" s="106">
        <f>VLOOKUP(A313,Sheet5!A:B,2,FALSE)</f>
        <v>6.8798</v>
      </c>
      <c r="F313" s="106">
        <f>VLOOKUP(A313,Sheet6!A:B,2,FALSE)</f>
        <v>101.59</v>
      </c>
      <c r="G313" s="106">
        <f>VLOOKUP(A313,WTI原油期货!A:B,2,FALSE)</f>
        <v>80.72</v>
      </c>
      <c r="H313" s="106">
        <f>VLOOKUP(A313,天然气期货!A:B,2,FALSE)</f>
        <v>2.344</v>
      </c>
      <c r="I313" s="111">
        <f>VLOOKUP(A313,黄金期货!A:B,2,FALSE)</f>
        <v>2029.4</v>
      </c>
      <c r="J313" s="106">
        <f>VLOOKUP(A313,Sheet2!A:C,3,FALSE)</f>
        <v>1030</v>
      </c>
      <c r="L313" s="112">
        <f t="shared" si="14"/>
        <v>0</v>
      </c>
    </row>
    <row r="314" spans="1:12">
      <c r="A314" s="109">
        <v>45022</v>
      </c>
      <c r="B314" s="106">
        <f>VLOOKUP(A314,Sheet2!A:C,2,FALSE)</f>
        <v>157</v>
      </c>
      <c r="C314" s="106">
        <v>3810</v>
      </c>
      <c r="D314" s="106">
        <f>VLOOKUP(A314,Sheet4!A:C,2,FALSE)</f>
        <v>986</v>
      </c>
      <c r="E314" s="106">
        <f>VLOOKUP(A314,Sheet5!A:B,2,FALSE)</f>
        <v>6.8758</v>
      </c>
      <c r="F314" s="106">
        <f>VLOOKUP(A314,Sheet6!A:B,2,FALSE)</f>
        <v>101.82</v>
      </c>
      <c r="G314" s="106">
        <f>VLOOKUP(A314,WTI原油期货!A:B,2,FALSE)</f>
        <v>80.68</v>
      </c>
      <c r="H314" s="106">
        <f>VLOOKUP(A314,天然气期货!A:B,2,FALSE)</f>
        <v>2.238</v>
      </c>
      <c r="I314" s="111">
        <f>VLOOKUP(A314,黄金期货!A:B,2,FALSE)</f>
        <v>2017.4</v>
      </c>
      <c r="J314" s="106">
        <f>VLOOKUP(A314,Sheet2!A:C,3,FALSE)</f>
        <v>1030</v>
      </c>
      <c r="L314" s="112">
        <f t="shared" si="14"/>
        <v>0</v>
      </c>
    </row>
    <row r="315" spans="1:12">
      <c r="A315" s="109">
        <v>45023</v>
      </c>
      <c r="B315" s="106">
        <f>VLOOKUP(A315,Sheet2!A:C,2,FALSE)</f>
        <v>157</v>
      </c>
      <c r="C315" s="106">
        <v>3810</v>
      </c>
      <c r="D315" s="106">
        <f>VLOOKUP(A315,Sheet4!A:C,2,FALSE)</f>
        <v>985</v>
      </c>
      <c r="E315" s="106">
        <f>VLOOKUP(A315,Sheet5!A:B,2,FALSE)</f>
        <v>6.8703</v>
      </c>
      <c r="F315" s="106">
        <f>VLOOKUP(A315,Sheet6!A:B,2,FALSE)</f>
        <v>102.09</v>
      </c>
      <c r="G315" s="106">
        <f>G314</f>
        <v>80.68</v>
      </c>
      <c r="H315" s="106">
        <f>H314</f>
        <v>2.238</v>
      </c>
      <c r="I315" s="111">
        <f>I314</f>
        <v>2017.4</v>
      </c>
      <c r="J315" s="106">
        <f>VLOOKUP(A315,Sheet2!A:C,3,FALSE)</f>
        <v>1020</v>
      </c>
      <c r="L315" s="112">
        <f t="shared" si="14"/>
        <v>-0.00970873786407767</v>
      </c>
    </row>
    <row r="316" spans="1:12">
      <c r="A316" s="109">
        <v>45026</v>
      </c>
      <c r="B316" s="106">
        <f>VLOOKUP(A316,Sheet2!A:C,2,FALSE)</f>
        <v>154</v>
      </c>
      <c r="C316" s="106">
        <v>3810</v>
      </c>
      <c r="D316" s="106">
        <f>VLOOKUP(A316,Sheet4!A:C,2,FALSE)</f>
        <v>983</v>
      </c>
      <c r="E316" s="106">
        <f>VLOOKUP(A316,Sheet5!A:B,2,FALSE)</f>
        <v>6.8816</v>
      </c>
      <c r="F316" s="106">
        <f>VLOOKUP(A316,Sheet6!A:B,2,FALSE)</f>
        <v>102.58</v>
      </c>
      <c r="G316" s="106">
        <f>VLOOKUP(A316,WTI原油期货!A:B,2,FALSE)</f>
        <v>79.77</v>
      </c>
      <c r="H316" s="106">
        <f>VLOOKUP(A316,天然气期货!A:B,2,FALSE)</f>
        <v>2.361</v>
      </c>
      <c r="I316" s="111">
        <f>VLOOKUP(A316,黄金期货!A:B,2,FALSE)</f>
        <v>1994.8</v>
      </c>
      <c r="J316" s="106">
        <f>VLOOKUP(A316,Sheet2!A:C,3,FALSE)</f>
        <v>1000</v>
      </c>
      <c r="L316" s="112">
        <f t="shared" si="14"/>
        <v>-0.0196078431372549</v>
      </c>
    </row>
    <row r="317" spans="1:12">
      <c r="A317" s="109">
        <v>45027</v>
      </c>
      <c r="B317" s="106">
        <f>VLOOKUP(A317,Sheet2!A:C,2,FALSE)</f>
        <v>154</v>
      </c>
      <c r="C317" s="106">
        <v>3810</v>
      </c>
      <c r="D317" s="106">
        <f>VLOOKUP(A317,Sheet4!A:C,2,FALSE)</f>
        <v>982</v>
      </c>
      <c r="E317" s="106">
        <f>VLOOKUP(A317,Sheet5!A:B,2,FALSE)</f>
        <v>6.887</v>
      </c>
      <c r="F317" s="106">
        <f>VLOOKUP(A317,Sheet6!A:B,2,FALSE)</f>
        <v>102.2</v>
      </c>
      <c r="G317" s="106">
        <f>VLOOKUP(A317,WTI原油期货!A:B,2,FALSE)</f>
        <v>81.49</v>
      </c>
      <c r="H317" s="106">
        <f>VLOOKUP(A317,天然气期货!A:B,2,FALSE)</f>
        <v>2.351</v>
      </c>
      <c r="I317" s="111">
        <f>VLOOKUP(A317,黄金期货!A:B,2,FALSE)</f>
        <v>2010</v>
      </c>
      <c r="J317" s="106">
        <f>VLOOKUP(A317,Sheet2!A:C,3,FALSE)</f>
        <v>980</v>
      </c>
      <c r="L317" s="112">
        <f t="shared" si="14"/>
        <v>-0.02</v>
      </c>
    </row>
    <row r="318" spans="1:12">
      <c r="A318" s="109">
        <v>45028</v>
      </c>
      <c r="B318" s="106">
        <f>VLOOKUP(A318,Sheet2!A:C,2,FALSE)</f>
        <v>154</v>
      </c>
      <c r="C318" s="106">
        <v>3810</v>
      </c>
      <c r="D318" s="106">
        <f>VLOOKUP(A318,Sheet4!A:C,2,FALSE)</f>
        <v>982</v>
      </c>
      <c r="E318" s="106">
        <f>VLOOKUP(A318,Sheet5!A:B,2,FALSE)</f>
        <v>6.8748</v>
      </c>
      <c r="F318" s="106">
        <f>VLOOKUP(A318,Sheet6!A:B,2,FALSE)</f>
        <v>101.5</v>
      </c>
      <c r="G318" s="106">
        <f>VLOOKUP(A318,WTI原油期货!A:B,2,FALSE)</f>
        <v>83.09</v>
      </c>
      <c r="H318" s="106">
        <f>VLOOKUP(A318,天然气期货!A:B,2,FALSE)</f>
        <v>2.267</v>
      </c>
      <c r="I318" s="111">
        <f>VLOOKUP(A318,黄金期货!A:B,2,FALSE)</f>
        <v>2015.7</v>
      </c>
      <c r="J318" s="106">
        <f>VLOOKUP(A318,Sheet2!A:C,3,FALSE)</f>
        <v>950</v>
      </c>
      <c r="L318" s="112">
        <f t="shared" si="14"/>
        <v>-0.0306122448979592</v>
      </c>
    </row>
    <row r="319" spans="1:12">
      <c r="A319" s="109">
        <v>45029</v>
      </c>
      <c r="B319" s="106">
        <f>VLOOKUP(A319,Sheet2!A:C,2,FALSE)</f>
        <v>157</v>
      </c>
      <c r="C319" s="106">
        <v>3810</v>
      </c>
      <c r="D319" s="106">
        <f>VLOOKUP(A319,Sheet4!A:C,2,FALSE)</f>
        <v>982</v>
      </c>
      <c r="E319" s="106">
        <f>VLOOKUP(A319,Sheet5!A:B,2,FALSE)</f>
        <v>6.8683</v>
      </c>
      <c r="F319" s="106">
        <f>VLOOKUP(A319,Sheet6!A:B,2,FALSE)</f>
        <v>101.01</v>
      </c>
      <c r="G319" s="106">
        <f>VLOOKUP(A319,WTI原油期货!A:B,2,FALSE)</f>
        <v>82.04</v>
      </c>
      <c r="H319" s="106">
        <f>VLOOKUP(A319,天然气期货!A:B,2,FALSE)</f>
        <v>2.197</v>
      </c>
      <c r="I319" s="111">
        <f>VLOOKUP(A319,黄金期货!A:B,2,FALSE)</f>
        <v>2045.8</v>
      </c>
      <c r="J319" s="106">
        <f>VLOOKUP(A319,Sheet2!A:C,3,FALSE)</f>
        <v>950</v>
      </c>
      <c r="L319" s="112">
        <f t="shared" si="14"/>
        <v>0</v>
      </c>
    </row>
    <row r="320" spans="1:12">
      <c r="A320" s="109">
        <v>45030</v>
      </c>
      <c r="B320" s="106">
        <f>VLOOKUP(A320,Sheet2!A:C,2,FALSE)</f>
        <v>158</v>
      </c>
      <c r="C320" s="106">
        <v>3810</v>
      </c>
      <c r="D320" s="106">
        <f>VLOOKUP(A320,Sheet4!A:C,2,FALSE)</f>
        <v>983</v>
      </c>
      <c r="E320" s="106">
        <f>VLOOKUP(A320,Sheet5!A:B,2,FALSE)</f>
        <v>6.8714</v>
      </c>
      <c r="F320" s="106">
        <f>VLOOKUP(A320,Sheet6!A:B,2,FALSE)</f>
        <v>101.55</v>
      </c>
      <c r="G320" s="106">
        <f>VLOOKUP(A320,WTI原油期货!A:B,2,FALSE)</f>
        <v>82.43</v>
      </c>
      <c r="H320" s="106">
        <f>VLOOKUP(A320,天然气期货!A:B,2,FALSE)</f>
        <v>2.305</v>
      </c>
      <c r="I320" s="111">
        <f>VLOOKUP(A320,黄金期货!A:B,2,FALSE)</f>
        <v>2006.5</v>
      </c>
      <c r="J320" s="106">
        <f>VLOOKUP(A320,Sheet2!A:C,3,FALSE)</f>
        <v>950</v>
      </c>
      <c r="L320" s="112">
        <f t="shared" si="14"/>
        <v>0</v>
      </c>
    </row>
    <row r="321" spans="1:12">
      <c r="A321" s="109">
        <v>45033</v>
      </c>
      <c r="B321" s="106">
        <f>VLOOKUP(A321,Sheet2!A:C,2,FALSE)</f>
        <v>159</v>
      </c>
      <c r="C321" s="106">
        <v>3800</v>
      </c>
      <c r="D321" s="106">
        <f>VLOOKUP(A321,Sheet4!A:C,2,FALSE)</f>
        <v>985</v>
      </c>
      <c r="E321" s="106">
        <f>VLOOKUP(A321,Sheet5!A:B,2,FALSE)</f>
        <v>6.8798</v>
      </c>
      <c r="F321" s="106">
        <f>VLOOKUP(A321,Sheet6!A:B,2,FALSE)</f>
        <v>102.1</v>
      </c>
      <c r="G321" s="106">
        <f>VLOOKUP(A321,WTI原油期货!A:B,2,FALSE)</f>
        <v>80.83</v>
      </c>
      <c r="H321" s="106">
        <f>VLOOKUP(A321,天然气期货!A:B,2,FALSE)</f>
        <v>2.444</v>
      </c>
      <c r="I321" s="111">
        <f>VLOOKUP(A321,黄金期货!A:B,2,FALSE)</f>
        <v>1997.6</v>
      </c>
      <c r="J321" s="106">
        <f>VLOOKUP(A321,Sheet2!A:C,3,FALSE)</f>
        <v>950</v>
      </c>
      <c r="L321" s="112">
        <f t="shared" si="14"/>
        <v>0</v>
      </c>
    </row>
    <row r="322" spans="1:12">
      <c r="A322" s="109">
        <v>45034</v>
      </c>
      <c r="B322" s="106">
        <f>VLOOKUP(A322,Sheet2!A:C,2,FALSE)</f>
        <v>159</v>
      </c>
      <c r="C322" s="106">
        <v>3800</v>
      </c>
      <c r="D322" s="106">
        <f>VLOOKUP(A322,Sheet4!A:C,2,FALSE)</f>
        <v>986</v>
      </c>
      <c r="E322" s="106">
        <f>VLOOKUP(A322,Sheet5!A:B,2,FALSE)</f>
        <v>6.876</v>
      </c>
      <c r="F322" s="106">
        <f>VLOOKUP(A322,Sheet6!A:B,2,FALSE)</f>
        <v>101.75</v>
      </c>
      <c r="G322" s="106">
        <f>VLOOKUP(A322,WTI原油期货!A:B,2,FALSE)</f>
        <v>80.9</v>
      </c>
      <c r="H322" s="106">
        <f>VLOOKUP(A322,天然气期货!A:B,2,FALSE)</f>
        <v>2.517</v>
      </c>
      <c r="I322" s="111">
        <f>VLOOKUP(A322,黄金期货!A:B,2,FALSE)</f>
        <v>2010.3</v>
      </c>
      <c r="J322" s="106">
        <f>VLOOKUP(A322,Sheet2!A:C,3,FALSE)</f>
        <v>960</v>
      </c>
      <c r="L322" s="112">
        <f t="shared" si="14"/>
        <v>0.0105263157894737</v>
      </c>
    </row>
    <row r="323" spans="1:12">
      <c r="A323" s="109">
        <v>45035</v>
      </c>
      <c r="B323" s="106">
        <f>VLOOKUP(A323,Sheet2!A:C,2,FALSE)</f>
        <v>159</v>
      </c>
      <c r="C323" s="106">
        <v>3800</v>
      </c>
      <c r="D323" s="106">
        <f>VLOOKUP(A323,Sheet4!A:C,2,FALSE)</f>
        <v>987</v>
      </c>
      <c r="E323" s="106">
        <f>VLOOKUP(A323,Sheet5!A:B,2,FALSE)</f>
        <v>6.8858</v>
      </c>
      <c r="F323" s="106">
        <f>VLOOKUP(A323,Sheet6!A:B,2,FALSE)</f>
        <v>101.97</v>
      </c>
      <c r="G323" s="106">
        <f>VLOOKUP(A323,WTI原油期货!A:B,2,FALSE)</f>
        <v>79.24</v>
      </c>
      <c r="H323" s="106">
        <f>VLOOKUP(A323,天然气期货!A:B,2,FALSE)</f>
        <v>2.395</v>
      </c>
      <c r="I323" s="111">
        <f>VLOOKUP(A323,黄金期货!A:B,2,FALSE)</f>
        <v>1998</v>
      </c>
      <c r="J323" s="106">
        <f>VLOOKUP(A323,Sheet2!A:C,3,FALSE)</f>
        <v>950</v>
      </c>
      <c r="L323" s="112">
        <f t="shared" ref="L323:L386" si="20">(J323-J322)/J322</f>
        <v>-0.0104166666666667</v>
      </c>
    </row>
    <row r="324" spans="1:12">
      <c r="A324" s="109">
        <v>45036</v>
      </c>
      <c r="B324" s="106">
        <f>VLOOKUP(A324,Sheet2!A:C,2,FALSE)</f>
        <v>161</v>
      </c>
      <c r="C324" s="106">
        <v>3800</v>
      </c>
      <c r="D324" s="106">
        <f>VLOOKUP(A324,Sheet4!A:C,2,FALSE)</f>
        <v>984</v>
      </c>
      <c r="E324" s="106">
        <f>VLOOKUP(A324,Sheet5!A:B,2,FALSE)</f>
        <v>6.8732</v>
      </c>
      <c r="F324" s="106">
        <f>VLOOKUP(A324,Sheet6!A:B,2,FALSE)</f>
        <v>101.84</v>
      </c>
      <c r="G324" s="106">
        <f>VLOOKUP(A324,WTI原油期货!A:B,2,FALSE)</f>
        <v>77.37</v>
      </c>
      <c r="H324" s="106">
        <f>VLOOKUP(A324,天然气期货!A:B,2,FALSE)</f>
        <v>2.427</v>
      </c>
      <c r="I324" s="111">
        <f>VLOOKUP(A324,黄金期货!A:B,2,FALSE)</f>
        <v>2009.8</v>
      </c>
      <c r="J324" s="106">
        <f>VLOOKUP(A324,Sheet2!A:C,3,FALSE)</f>
        <v>940</v>
      </c>
      <c r="L324" s="112">
        <f t="shared" si="20"/>
        <v>-0.0105263157894737</v>
      </c>
    </row>
    <row r="325" spans="1:12">
      <c r="A325" s="109">
        <v>45037</v>
      </c>
      <c r="B325" s="106">
        <f>VLOOKUP(A325,Sheet2!A:C,2,FALSE)</f>
        <v>160</v>
      </c>
      <c r="C325" s="106">
        <v>3750</v>
      </c>
      <c r="D325" s="106">
        <f>VLOOKUP(A325,Sheet4!A:C,2,FALSE)</f>
        <v>979</v>
      </c>
      <c r="E325" s="106">
        <f>VLOOKUP(A325,Sheet5!A:B,2,FALSE)</f>
        <v>6.8935</v>
      </c>
      <c r="F325" s="106">
        <f>VLOOKUP(A325,Sheet6!A:B,2,FALSE)</f>
        <v>101.82</v>
      </c>
      <c r="G325" s="106">
        <f>VLOOKUP(A325,WTI原油期货!A:B,2,FALSE)</f>
        <v>77.71</v>
      </c>
      <c r="H325" s="106">
        <f>VLOOKUP(A325,天然气期货!A:B,2,FALSE)</f>
        <v>2.408</v>
      </c>
      <c r="I325" s="111">
        <f>VLOOKUP(A325,黄金期货!A:B,2,FALSE)</f>
        <v>1981.3</v>
      </c>
      <c r="J325" s="106">
        <f>VLOOKUP(A325,Sheet2!A:C,3,FALSE)</f>
        <v>930</v>
      </c>
      <c r="L325" s="112">
        <f t="shared" si="20"/>
        <v>-0.0106382978723404</v>
      </c>
    </row>
    <row r="326" spans="1:12">
      <c r="A326" s="109">
        <v>45039</v>
      </c>
      <c r="B326" s="106">
        <f>VLOOKUP(A326,Sheet2!A:C,2,FALSE)</f>
        <v>159</v>
      </c>
      <c r="C326" s="106">
        <v>3750</v>
      </c>
      <c r="D326" s="106">
        <f>VLOOKUP(A326,Sheet4!A:C,2,FALSE)</f>
        <v>976</v>
      </c>
      <c r="E326" s="106">
        <f>E325</f>
        <v>6.8935</v>
      </c>
      <c r="F326" s="106">
        <f>F325</f>
        <v>101.82</v>
      </c>
      <c r="G326" s="106">
        <f>G325</f>
        <v>77.71</v>
      </c>
      <c r="H326" s="106">
        <f>H325</f>
        <v>2.408</v>
      </c>
      <c r="I326" s="111">
        <f>I325</f>
        <v>1981.3</v>
      </c>
      <c r="J326" s="106">
        <f>VLOOKUP(A326,Sheet2!A:C,3,FALSE)</f>
        <v>930</v>
      </c>
      <c r="L326" s="112">
        <f t="shared" si="20"/>
        <v>0</v>
      </c>
    </row>
    <row r="327" spans="1:12">
      <c r="A327" s="109">
        <v>45040</v>
      </c>
      <c r="B327" s="106">
        <f>VLOOKUP(A327,Sheet2!A:C,2,FALSE)</f>
        <v>156</v>
      </c>
      <c r="C327" s="106">
        <v>3730</v>
      </c>
      <c r="D327" s="106">
        <f>VLOOKUP(A327,Sheet4!A:C,2,FALSE)</f>
        <v>975</v>
      </c>
      <c r="E327" s="106">
        <f>VLOOKUP(A327,Sheet5!A:B,2,FALSE)</f>
        <v>6.8964</v>
      </c>
      <c r="F327" s="106">
        <f>VLOOKUP(A327,Sheet6!A:B,2,FALSE)</f>
        <v>101.35</v>
      </c>
      <c r="G327" s="106">
        <f>VLOOKUP(A327,WTI原油期货!A:B,2,FALSE)</f>
        <v>78.6</v>
      </c>
      <c r="H327" s="106">
        <f>VLOOKUP(A327,天然气期货!A:B,2,FALSE)</f>
        <v>2.471</v>
      </c>
      <c r="I327" s="111">
        <f>VLOOKUP(A327,黄金期货!A:B,2,FALSE)</f>
        <v>1990.6</v>
      </c>
      <c r="J327" s="106">
        <f>VLOOKUP(A327,Sheet2!A:C,3,FALSE)</f>
        <v>920</v>
      </c>
      <c r="L327" s="112">
        <f t="shared" si="20"/>
        <v>-0.010752688172043</v>
      </c>
    </row>
    <row r="328" spans="1:12">
      <c r="A328" s="109">
        <v>45041</v>
      </c>
      <c r="B328" s="106">
        <f>VLOOKUP(A328,Sheet2!A:C,2,FALSE)</f>
        <v>155</v>
      </c>
      <c r="C328" s="106">
        <v>3730</v>
      </c>
      <c r="D328" s="106">
        <f>VLOOKUP(A328,Sheet4!A:C,2,FALSE)</f>
        <v>972</v>
      </c>
      <c r="E328" s="106">
        <f>VLOOKUP(A328,Sheet5!A:B,2,FALSE)</f>
        <v>6.9327</v>
      </c>
      <c r="F328" s="106">
        <f>VLOOKUP(A328,Sheet6!A:B,2,FALSE)</f>
        <v>101.86</v>
      </c>
      <c r="G328" s="106">
        <f>VLOOKUP(A328,WTI原油期货!A:B,2,FALSE)</f>
        <v>76.87</v>
      </c>
      <c r="H328" s="106">
        <f>VLOOKUP(A328,天然气期货!A:B,2,FALSE)</f>
        <v>2.437</v>
      </c>
      <c r="I328" s="111">
        <f>VLOOKUP(A328,黄金期货!A:B,2,FALSE)</f>
        <v>1995.1</v>
      </c>
      <c r="J328" s="106">
        <f>VLOOKUP(A328,Sheet2!A:C,3,FALSE)</f>
        <v>915</v>
      </c>
      <c r="L328" s="112">
        <f t="shared" si="20"/>
        <v>-0.00543478260869565</v>
      </c>
    </row>
    <row r="329" spans="1:12">
      <c r="A329" s="109">
        <v>45042</v>
      </c>
      <c r="B329" s="106">
        <f>VLOOKUP(A329,Sheet2!A:C,2,FALSE)</f>
        <v>154</v>
      </c>
      <c r="C329" s="106">
        <v>3730</v>
      </c>
      <c r="D329" s="106">
        <f>VLOOKUP(A329,Sheet4!A:C,2,FALSE)</f>
        <v>969</v>
      </c>
      <c r="E329" s="106">
        <f>VLOOKUP(A329,Sheet5!A:B,2,FALSE)</f>
        <v>6.9268</v>
      </c>
      <c r="F329" s="106">
        <f>VLOOKUP(A329,Sheet6!A:B,2,FALSE)</f>
        <v>101.47</v>
      </c>
      <c r="G329" s="106">
        <f>VLOOKUP(A329,WTI原油期货!A:B,2,FALSE)</f>
        <v>74.19</v>
      </c>
      <c r="H329" s="106">
        <f>VLOOKUP(A329,天然气期货!A:B,2,FALSE)</f>
        <v>2.305</v>
      </c>
      <c r="I329" s="111">
        <f>VLOOKUP(A329,黄金期货!A:B,2,FALSE)</f>
        <v>1986.9</v>
      </c>
      <c r="J329" s="106">
        <f>VLOOKUP(A329,Sheet2!A:C,3,FALSE)</f>
        <v>915</v>
      </c>
      <c r="L329" s="112">
        <f t="shared" si="20"/>
        <v>0</v>
      </c>
    </row>
    <row r="330" spans="1:12">
      <c r="A330" s="109">
        <v>45043</v>
      </c>
      <c r="B330" s="106">
        <f>VLOOKUP(A330,Sheet2!A:C,2,FALSE)</f>
        <v>155</v>
      </c>
      <c r="C330" s="106">
        <v>3730</v>
      </c>
      <c r="D330" s="106">
        <f>VLOOKUP(A330,Sheet4!A:C,2,FALSE)</f>
        <v>967</v>
      </c>
      <c r="E330" s="106">
        <f>VLOOKUP(A330,Sheet5!A:B,2,FALSE)</f>
        <v>6.9238</v>
      </c>
      <c r="F330" s="106">
        <f>VLOOKUP(A330,Sheet6!A:B,2,FALSE)</f>
        <v>101.5</v>
      </c>
      <c r="G330" s="106">
        <f>VLOOKUP(A330,WTI原油期货!A:B,2,FALSE)</f>
        <v>74.58</v>
      </c>
      <c r="H330" s="106">
        <f>VLOOKUP(A330,天然气期货!A:B,2,FALSE)</f>
        <v>2.548</v>
      </c>
      <c r="I330" s="111">
        <f>VLOOKUP(A330,黄金期货!A:B,2,FALSE)</f>
        <v>1999</v>
      </c>
      <c r="J330" s="106">
        <f>VLOOKUP(A330,Sheet2!A:C,3,FALSE)</f>
        <v>915</v>
      </c>
      <c r="L330" s="112">
        <f t="shared" si="20"/>
        <v>0</v>
      </c>
    </row>
    <row r="331" spans="1:12">
      <c r="A331" s="109">
        <v>45044</v>
      </c>
      <c r="B331" s="106">
        <f>VLOOKUP(A331,Sheet2!A:C,2,FALSE)</f>
        <v>160</v>
      </c>
      <c r="C331" s="106">
        <v>3730</v>
      </c>
      <c r="D331" s="106">
        <f>VLOOKUP(A331,Sheet4!A:C,2,FALSE)</f>
        <v>967</v>
      </c>
      <c r="E331" s="106">
        <f>VLOOKUP(A331,Sheet5!A:B,2,FALSE)</f>
        <v>6.9121</v>
      </c>
      <c r="F331" s="106">
        <f>VLOOKUP(A331,Sheet6!A:B,2,FALSE)</f>
        <v>101.66</v>
      </c>
      <c r="G331" s="106">
        <f>VLOOKUP(A331,WTI原油期货!A:B,2,FALSE)</f>
        <v>76.61</v>
      </c>
      <c r="H331" s="106">
        <f>VLOOKUP(A331,天然气期货!A:B,2,FALSE)</f>
        <v>2.578</v>
      </c>
      <c r="I331" s="111">
        <f>VLOOKUP(A331,黄金期货!A:B,2,FALSE)</f>
        <v>1999.1</v>
      </c>
      <c r="J331" s="106">
        <f>VLOOKUP(A331,Sheet2!A:C,3,FALSE)</f>
        <v>915</v>
      </c>
      <c r="L331" s="112">
        <f t="shared" si="20"/>
        <v>0</v>
      </c>
    </row>
    <row r="332" spans="1:12">
      <c r="A332" s="109">
        <v>45050</v>
      </c>
      <c r="B332" s="106">
        <f>VLOOKUP(A332,Sheet2!A:C,2,FALSE)</f>
        <v>163</v>
      </c>
      <c r="C332" s="106">
        <v>3730</v>
      </c>
      <c r="D332" s="106">
        <f>VLOOKUP(A332,Sheet4!A:C,2,FALSE)</f>
        <v>965</v>
      </c>
      <c r="E332" s="106">
        <f>VLOOKUP(A332,Sheet5!A:B,2,FALSE)</f>
        <v>6.9067</v>
      </c>
      <c r="F332" s="106">
        <f>VLOOKUP(A332,Sheet6!A:B,2,FALSE)</f>
        <v>101.4</v>
      </c>
      <c r="G332" s="106">
        <f>VLOOKUP(A332,WTI原油期货!A:B,2,FALSE)</f>
        <v>68.51</v>
      </c>
      <c r="H332" s="106">
        <f>VLOOKUP(A332,天然气期货!A:B,2,FALSE)</f>
        <v>2.297</v>
      </c>
      <c r="I332" s="111">
        <f>VLOOKUP(A332,黄金期货!A:B,2,FALSE)</f>
        <v>2055.7</v>
      </c>
      <c r="J332" s="106">
        <f>VLOOKUP(A332,Sheet2!A:C,3,FALSE)</f>
        <v>915</v>
      </c>
      <c r="L332" s="112">
        <f t="shared" si="20"/>
        <v>0</v>
      </c>
    </row>
    <row r="333" spans="1:12">
      <c r="A333" s="109">
        <v>45051</v>
      </c>
      <c r="B333" s="106">
        <f>VLOOKUP(A333,Sheet2!A:C,2,FALSE)</f>
        <v>164</v>
      </c>
      <c r="C333" s="106">
        <v>3730</v>
      </c>
      <c r="D333" s="106">
        <f>VLOOKUP(A333,Sheet4!A:C,2,FALSE)</f>
        <v>962</v>
      </c>
      <c r="E333" s="106">
        <f>VLOOKUP(A333,Sheet5!A:B,2,FALSE)</f>
        <v>6.9105</v>
      </c>
      <c r="F333" s="106">
        <f>VLOOKUP(A333,Sheet6!A:B,2,FALSE)</f>
        <v>101.21</v>
      </c>
      <c r="G333" s="106">
        <f>VLOOKUP(A333,WTI原油期货!A:B,2,FALSE)</f>
        <v>71.27</v>
      </c>
      <c r="H333" s="106">
        <f>VLOOKUP(A333,天然气期货!A:B,2,FALSE)</f>
        <v>2.321</v>
      </c>
      <c r="I333" s="111">
        <f>VLOOKUP(A333,黄金期货!A:B,2,FALSE)</f>
        <v>2024.8</v>
      </c>
      <c r="J333" s="106">
        <f>VLOOKUP(A333,Sheet2!A:C,3,FALSE)</f>
        <v>920</v>
      </c>
      <c r="L333" s="112">
        <f t="shared" si="20"/>
        <v>0.00546448087431694</v>
      </c>
    </row>
    <row r="334" spans="1:12">
      <c r="A334" s="109">
        <v>45052</v>
      </c>
      <c r="B334" s="106">
        <f>VLOOKUP(A334,Sheet2!A:C,2,FALSE)</f>
        <v>164</v>
      </c>
      <c r="C334" s="106">
        <v>3730</v>
      </c>
      <c r="D334" s="106">
        <f>VLOOKUP(A334,Sheet4!A:C,2,FALSE)</f>
        <v>961</v>
      </c>
      <c r="E334" s="106">
        <f>E333</f>
        <v>6.9105</v>
      </c>
      <c r="F334" s="106">
        <f>F333</f>
        <v>101.21</v>
      </c>
      <c r="G334" s="106">
        <f>G333</f>
        <v>71.27</v>
      </c>
      <c r="H334" s="106">
        <f>H333</f>
        <v>2.321</v>
      </c>
      <c r="I334" s="111">
        <f>I333</f>
        <v>2024.8</v>
      </c>
      <c r="J334" s="106">
        <f>VLOOKUP(A334,Sheet2!A:C,3,FALSE)</f>
        <v>920</v>
      </c>
      <c r="L334" s="112">
        <f t="shared" si="20"/>
        <v>0</v>
      </c>
    </row>
    <row r="335" spans="1:12">
      <c r="A335" s="109">
        <v>45054</v>
      </c>
      <c r="B335" s="106">
        <f>VLOOKUP(A335,Sheet2!A:C,2,FALSE)</f>
        <v>166</v>
      </c>
      <c r="C335" s="106">
        <v>3650</v>
      </c>
      <c r="D335" s="106">
        <f>VLOOKUP(A335,Sheet4!A:C,2,FALSE)</f>
        <v>961</v>
      </c>
      <c r="E335" s="106">
        <f>VLOOKUP(A335,Sheet5!A:B,2,FALSE)</f>
        <v>6.9125</v>
      </c>
      <c r="F335" s="106">
        <f>VLOOKUP(A335,Sheet6!A:B,2,FALSE)</f>
        <v>101.38</v>
      </c>
      <c r="G335" s="106">
        <f>VLOOKUP(A335,WTI原油期货!A:B,2,FALSE)</f>
        <v>73.07</v>
      </c>
      <c r="H335" s="106">
        <f>VLOOKUP(A335,天然气期货!A:B,2,FALSE)</f>
        <v>2.412</v>
      </c>
      <c r="I335" s="111">
        <f>VLOOKUP(A335,黄金期货!A:B,2,FALSE)</f>
        <v>2033.2</v>
      </c>
      <c r="J335" s="106">
        <f>VLOOKUP(A335,Sheet2!A:C,3,FALSE)</f>
        <v>930</v>
      </c>
      <c r="L335" s="112">
        <f t="shared" si="20"/>
        <v>0.0108695652173913</v>
      </c>
    </row>
    <row r="336" spans="1:12">
      <c r="A336" s="109">
        <v>45055</v>
      </c>
      <c r="B336" s="106">
        <f>VLOOKUP(A336,Sheet2!A:C,2,FALSE)</f>
        <v>168</v>
      </c>
      <c r="C336" s="106">
        <v>3580</v>
      </c>
      <c r="D336" s="106">
        <f>VLOOKUP(A336,Sheet4!A:C,2,FALSE)</f>
        <v>959</v>
      </c>
      <c r="E336" s="106">
        <f>VLOOKUP(A336,Sheet5!A:B,2,FALSE)</f>
        <v>6.9205</v>
      </c>
      <c r="F336" s="106">
        <f>VLOOKUP(A336,Sheet6!A:B,2,FALSE)</f>
        <v>101.61</v>
      </c>
      <c r="G336" s="106">
        <f>VLOOKUP(A336,WTI原油期货!A:B,2,FALSE)</f>
        <v>73.62</v>
      </c>
      <c r="H336" s="106">
        <f>VLOOKUP(A336,天然气期货!A:B,2,FALSE)</f>
        <v>2.427</v>
      </c>
      <c r="I336" s="111">
        <f>VLOOKUP(A336,黄金期货!A:B,2,FALSE)</f>
        <v>2042.9</v>
      </c>
      <c r="J336" s="106">
        <f>VLOOKUP(A336,Sheet2!A:C,3,FALSE)</f>
        <v>930</v>
      </c>
      <c r="L336" s="112">
        <f t="shared" si="20"/>
        <v>0</v>
      </c>
    </row>
    <row r="337" spans="1:12">
      <c r="A337" s="109">
        <v>45056</v>
      </c>
      <c r="B337" s="106">
        <f>VLOOKUP(A337,Sheet2!A:C,2,FALSE)</f>
        <v>168</v>
      </c>
      <c r="C337" s="106">
        <v>3580</v>
      </c>
      <c r="D337" s="106">
        <f>VLOOKUP(A337,Sheet4!A:C,2,FALSE)</f>
        <v>957</v>
      </c>
      <c r="E337" s="106">
        <f>VLOOKUP(A337,Sheet5!A:B,2,FALSE)</f>
        <v>6.9333</v>
      </c>
      <c r="F337" s="106">
        <f>VLOOKUP(A337,Sheet6!A:B,2,FALSE)</f>
        <v>101.48</v>
      </c>
      <c r="G337" s="106">
        <f>VLOOKUP(A337,WTI原油期货!A:B,2,FALSE)</f>
        <v>72.52</v>
      </c>
      <c r="H337" s="106">
        <f>VLOOKUP(A337,天然气期货!A:B,2,FALSE)</f>
        <v>2.336</v>
      </c>
      <c r="I337" s="111">
        <f>VLOOKUP(A337,黄金期货!A:B,2,FALSE)</f>
        <v>2037.1</v>
      </c>
      <c r="J337" s="106">
        <f>VLOOKUP(A337,Sheet2!A:C,3,FALSE)</f>
        <v>935</v>
      </c>
      <c r="L337" s="112">
        <f t="shared" si="20"/>
        <v>0.00537634408602151</v>
      </c>
    </row>
    <row r="338" spans="1:12">
      <c r="A338" s="109">
        <v>45057</v>
      </c>
      <c r="B338" s="106">
        <f>VLOOKUP(A338,Sheet2!A:C,2,FALSE)</f>
        <v>171</v>
      </c>
      <c r="C338" s="106">
        <v>3580</v>
      </c>
      <c r="D338" s="106">
        <f>VLOOKUP(A338,Sheet4!A:C,2,FALSE)</f>
        <v>950</v>
      </c>
      <c r="E338" s="106">
        <f>VLOOKUP(A338,Sheet5!A:B,2,FALSE)</f>
        <v>6.9488</v>
      </c>
      <c r="F338" s="106">
        <f>VLOOKUP(A338,Sheet6!A:B,2,FALSE)</f>
        <v>102.06</v>
      </c>
      <c r="G338" s="106">
        <f>VLOOKUP(A338,WTI原油期货!A:B,2,FALSE)</f>
        <v>70.88</v>
      </c>
      <c r="H338" s="106">
        <f>VLOOKUP(A338,天然气期货!A:B,2,FALSE)</f>
        <v>2.345</v>
      </c>
      <c r="I338" s="111">
        <f>VLOOKUP(A338,黄金期货!A:B,2,FALSE)</f>
        <v>2020.5</v>
      </c>
      <c r="J338" s="106">
        <f>VLOOKUP(A338,Sheet2!A:C,3,FALSE)</f>
        <v>945</v>
      </c>
      <c r="L338" s="112">
        <f t="shared" si="20"/>
        <v>0.0106951871657754</v>
      </c>
    </row>
    <row r="339" spans="1:12">
      <c r="A339" s="109">
        <v>45058</v>
      </c>
      <c r="B339" s="106">
        <f>VLOOKUP(A339,Sheet2!A:C,2,FALSE)</f>
        <v>173</v>
      </c>
      <c r="C339" s="106">
        <v>3580</v>
      </c>
      <c r="D339" s="106">
        <f>VLOOKUP(A339,Sheet4!A:C,2,FALSE)</f>
        <v>944</v>
      </c>
      <c r="E339" s="106">
        <f>VLOOKUP(A339,Sheet5!A:B,2,FALSE)</f>
        <v>6.9583</v>
      </c>
      <c r="F339" s="106">
        <f>VLOOKUP(A339,Sheet6!A:B,2,FALSE)</f>
        <v>102.68</v>
      </c>
      <c r="G339" s="106">
        <f>VLOOKUP(A339,WTI原油期货!A:B,2,FALSE)</f>
        <v>70.02</v>
      </c>
      <c r="H339" s="106">
        <f>VLOOKUP(A339,天然气期货!A:B,2,FALSE)</f>
        <v>2.438</v>
      </c>
      <c r="I339" s="111">
        <f>VLOOKUP(A339,黄金期货!A:B,2,FALSE)</f>
        <v>2019.8</v>
      </c>
      <c r="J339" s="106">
        <f>VLOOKUP(A339,Sheet2!A:C,3,FALSE)</f>
        <v>945</v>
      </c>
      <c r="L339" s="112">
        <f t="shared" si="20"/>
        <v>0</v>
      </c>
    </row>
    <row r="340" spans="1:12">
      <c r="A340" s="109">
        <v>45061</v>
      </c>
      <c r="B340" s="106">
        <f>VLOOKUP(A340,Sheet2!A:C,2,FALSE)</f>
        <v>176</v>
      </c>
      <c r="C340" s="106">
        <v>3580</v>
      </c>
      <c r="D340" s="106">
        <f>VLOOKUP(A340,Sheet4!A:C,2,FALSE)</f>
        <v>941</v>
      </c>
      <c r="E340" s="106">
        <f>VLOOKUP(A340,Sheet5!A:B,2,FALSE)</f>
        <v>6.9525</v>
      </c>
      <c r="F340" s="106">
        <f>VLOOKUP(A340,Sheet6!A:B,2,FALSE)</f>
        <v>102.43</v>
      </c>
      <c r="G340" s="106">
        <f>VLOOKUP(A340,WTI原油期货!A:B,2,FALSE)</f>
        <v>71.09</v>
      </c>
      <c r="H340" s="106">
        <f>VLOOKUP(A340,天然气期货!A:B,2,FALSE)</f>
        <v>2.542</v>
      </c>
      <c r="I340" s="111">
        <f>VLOOKUP(A340,黄金期货!A:B,2,FALSE)</f>
        <v>2022.7</v>
      </c>
      <c r="J340" s="106">
        <f>VLOOKUP(A340,Sheet2!A:C,3,FALSE)</f>
        <v>945</v>
      </c>
      <c r="L340" s="112">
        <f t="shared" si="20"/>
        <v>0</v>
      </c>
    </row>
    <row r="341" spans="1:12">
      <c r="A341" s="109">
        <v>45062</v>
      </c>
      <c r="B341" s="106">
        <f>VLOOKUP(A341,Sheet2!A:C,2,FALSE)</f>
        <v>176</v>
      </c>
      <c r="C341" s="106">
        <v>3580</v>
      </c>
      <c r="D341" s="106">
        <f>VLOOKUP(A341,Sheet4!A:C,2,FALSE)</f>
        <v>938</v>
      </c>
      <c r="E341" s="106">
        <f>VLOOKUP(A341,Sheet5!A:B,2,FALSE)</f>
        <v>6.9787</v>
      </c>
      <c r="F341" s="106">
        <f>VLOOKUP(A341,Sheet6!A:B,2,FALSE)</f>
        <v>102.56</v>
      </c>
      <c r="G341" s="106">
        <f>VLOOKUP(A341,WTI原油期货!A:B,2,FALSE)</f>
        <v>70.84</v>
      </c>
      <c r="H341" s="106">
        <f>VLOOKUP(A341,天然气期货!A:B,2,FALSE)</f>
        <v>2.534</v>
      </c>
      <c r="I341" s="111">
        <f>VLOOKUP(A341,黄金期货!A:B,2,FALSE)</f>
        <v>1993</v>
      </c>
      <c r="J341" s="106">
        <f>VLOOKUP(A341,Sheet2!A:C,3,FALSE)</f>
        <v>940</v>
      </c>
      <c r="L341" s="112">
        <f t="shared" si="20"/>
        <v>-0.00529100529100529</v>
      </c>
    </row>
    <row r="342" spans="1:12">
      <c r="A342" s="109">
        <v>45063</v>
      </c>
      <c r="B342" s="106">
        <f>VLOOKUP(A342,Sheet2!A:C,2,FALSE)</f>
        <v>177</v>
      </c>
      <c r="C342" s="106">
        <v>3550</v>
      </c>
      <c r="D342" s="106">
        <f>VLOOKUP(A342,Sheet4!A:C,2,FALSE)</f>
        <v>936</v>
      </c>
      <c r="E342" s="106">
        <f>VLOOKUP(A342,Sheet5!A:B,2,FALSE)</f>
        <v>6.9986</v>
      </c>
      <c r="F342" s="106">
        <f>VLOOKUP(A342,Sheet6!A:B,2,FALSE)</f>
        <v>102.88</v>
      </c>
      <c r="G342" s="106">
        <f>VLOOKUP(A342,WTI原油期货!A:B,2,FALSE)</f>
        <v>72.89</v>
      </c>
      <c r="H342" s="106">
        <f>VLOOKUP(A342,天然气期货!A:B,2,FALSE)</f>
        <v>2.509</v>
      </c>
      <c r="I342" s="111">
        <f>VLOOKUP(A342,黄金期货!A:B,2,FALSE)</f>
        <v>1984.9</v>
      </c>
      <c r="J342" s="106">
        <f>VLOOKUP(A342,Sheet2!A:C,3,FALSE)</f>
        <v>940</v>
      </c>
      <c r="L342" s="112">
        <f t="shared" si="20"/>
        <v>0</v>
      </c>
    </row>
    <row r="343" spans="1:12">
      <c r="A343" s="109">
        <v>45064</v>
      </c>
      <c r="B343" s="106">
        <f>VLOOKUP(A343,Sheet2!A:C,2,FALSE)</f>
        <v>178</v>
      </c>
      <c r="C343" s="106">
        <v>3550</v>
      </c>
      <c r="D343" s="106">
        <f>VLOOKUP(A343,Sheet4!A:C,2,FALSE)</f>
        <v>935</v>
      </c>
      <c r="E343" s="106">
        <f>VLOOKUP(A343,Sheet5!A:B,2,FALSE)</f>
        <v>7.0358</v>
      </c>
      <c r="F343" s="106">
        <f>VLOOKUP(A343,Sheet6!A:B,2,FALSE)</f>
        <v>103.58</v>
      </c>
      <c r="G343" s="106">
        <f>VLOOKUP(A343,WTI原油期货!A:B,2,FALSE)</f>
        <v>71.94</v>
      </c>
      <c r="H343" s="106">
        <f>VLOOKUP(A343,天然气期货!A:B,2,FALSE)</f>
        <v>2.715</v>
      </c>
      <c r="I343" s="111">
        <f>VLOOKUP(A343,黄金期货!A:B,2,FALSE)</f>
        <v>1959.8</v>
      </c>
      <c r="J343" s="106">
        <f>VLOOKUP(A343,Sheet2!A:C,3,FALSE)</f>
        <v>950</v>
      </c>
      <c r="L343" s="112">
        <f t="shared" si="20"/>
        <v>0.0106382978723404</v>
      </c>
    </row>
    <row r="344" spans="1:12">
      <c r="A344" s="109">
        <v>45065</v>
      </c>
      <c r="B344" s="106">
        <f>VLOOKUP(A344,Sheet2!A:C,2,FALSE)</f>
        <v>178</v>
      </c>
      <c r="C344" s="106">
        <v>3550</v>
      </c>
      <c r="D344" s="106">
        <f>VLOOKUP(A344,Sheet4!A:C,2,FALSE)</f>
        <v>932</v>
      </c>
      <c r="E344" s="106">
        <f>VLOOKUP(A344,Sheet5!A:B,2,FALSE)</f>
        <v>7.0079</v>
      </c>
      <c r="F344" s="106">
        <f>VLOOKUP(A344,Sheet6!A:B,2,FALSE)</f>
        <v>103.2</v>
      </c>
      <c r="G344" s="106">
        <f>VLOOKUP(A344,WTI原油期货!A:B,2,FALSE)</f>
        <v>71.69</v>
      </c>
      <c r="H344" s="106">
        <f>VLOOKUP(A344,天然气期货!A:B,2,FALSE)</f>
        <v>2.707</v>
      </c>
      <c r="I344" s="111">
        <f>VLOOKUP(A344,黄金期货!A:B,2,FALSE)</f>
        <v>1981.6</v>
      </c>
      <c r="J344" s="106">
        <f>VLOOKUP(A344,Sheet2!A:C,3,FALSE)</f>
        <v>955</v>
      </c>
      <c r="L344" s="112">
        <f t="shared" si="20"/>
        <v>0.00526315789473684</v>
      </c>
    </row>
    <row r="345" spans="1:12">
      <c r="A345" s="109">
        <v>45068</v>
      </c>
      <c r="B345" s="106">
        <f>VLOOKUP(A345,Sheet2!A:C,2,FALSE)</f>
        <v>179</v>
      </c>
      <c r="C345" s="106">
        <v>3550</v>
      </c>
      <c r="D345" s="106">
        <f>VLOOKUP(A345,Sheet4!A:C,2,FALSE)</f>
        <v>928</v>
      </c>
      <c r="E345" s="106">
        <f>VLOOKUP(A345,Sheet5!A:B,2,FALSE)</f>
        <v>7.0358</v>
      </c>
      <c r="F345" s="106">
        <f>VLOOKUP(A345,Sheet6!A:B,2,FALSE)</f>
        <v>103.2</v>
      </c>
      <c r="G345" s="106">
        <f>VLOOKUP(A345,WTI原油期货!A:B,2,FALSE)</f>
        <v>72.05</v>
      </c>
      <c r="H345" s="106">
        <f>VLOOKUP(A345,天然气期货!A:B,2,FALSE)</f>
        <v>2.551</v>
      </c>
      <c r="I345" s="111">
        <f>VLOOKUP(A345,黄金期货!A:B,2,FALSE)</f>
        <v>1977.2</v>
      </c>
      <c r="J345" s="106">
        <f>VLOOKUP(A345,Sheet2!A:C,3,FALSE)</f>
        <v>955</v>
      </c>
      <c r="L345" s="112">
        <f t="shared" si="20"/>
        <v>0</v>
      </c>
    </row>
    <row r="346" spans="1:12">
      <c r="A346" s="109">
        <v>45069</v>
      </c>
      <c r="B346" s="106">
        <f>VLOOKUP(A346,Sheet2!A:C,2,FALSE)</f>
        <v>179</v>
      </c>
      <c r="C346" s="106">
        <v>3550</v>
      </c>
      <c r="D346" s="106">
        <f>VLOOKUP(A346,Sheet4!A:C,2,FALSE)</f>
        <v>927</v>
      </c>
      <c r="E346" s="106">
        <f>VLOOKUP(A346,Sheet5!A:B,2,FALSE)</f>
        <v>7.0566</v>
      </c>
      <c r="F346" s="106">
        <f>VLOOKUP(A346,Sheet6!A:B,2,FALSE)</f>
        <v>103.49</v>
      </c>
      <c r="G346" s="106">
        <f>VLOOKUP(A346,WTI原油期货!A:B,2,FALSE)</f>
        <v>72.85</v>
      </c>
      <c r="H346" s="106">
        <f>VLOOKUP(A346,天然气期货!A:B,2,FALSE)</f>
        <v>2.489</v>
      </c>
      <c r="I346" s="111">
        <f>VLOOKUP(A346,黄金期货!A:B,2,FALSE)</f>
        <v>1974.5</v>
      </c>
      <c r="J346" s="106">
        <f>VLOOKUP(A346,Sheet2!A:C,3,FALSE)</f>
        <v>975</v>
      </c>
      <c r="L346" s="112">
        <f t="shared" si="20"/>
        <v>0.0209424083769634</v>
      </c>
    </row>
    <row r="347" spans="1:12">
      <c r="A347" s="109">
        <v>45070</v>
      </c>
      <c r="B347" s="106">
        <f>VLOOKUP(A347,Sheet2!A:C,2,FALSE)</f>
        <v>173</v>
      </c>
      <c r="C347" s="106">
        <v>3500</v>
      </c>
      <c r="D347" s="106">
        <f>VLOOKUP(A347,Sheet4!A:C,2,FALSE)</f>
        <v>924</v>
      </c>
      <c r="E347" s="106">
        <f>VLOOKUP(A347,Sheet5!A:B,2,FALSE)</f>
        <v>7.0609</v>
      </c>
      <c r="F347" s="106">
        <f>VLOOKUP(A347,Sheet6!A:B,2,FALSE)</f>
        <v>103.89</v>
      </c>
      <c r="G347" s="106">
        <f>VLOOKUP(A347,WTI原油期货!A:B,2,FALSE)</f>
        <v>74.29</v>
      </c>
      <c r="H347" s="106">
        <f>VLOOKUP(A347,天然气期货!A:B,2,FALSE)</f>
        <v>2.566</v>
      </c>
      <c r="I347" s="111">
        <f>VLOOKUP(A347,黄金期货!A:B,2,FALSE)</f>
        <v>1964.6</v>
      </c>
      <c r="J347" s="106">
        <f>VLOOKUP(A347,Sheet2!A:C,3,FALSE)</f>
        <v>975</v>
      </c>
      <c r="L347" s="112">
        <f t="shared" si="20"/>
        <v>0</v>
      </c>
    </row>
    <row r="348" spans="1:12">
      <c r="A348" s="109">
        <v>45071</v>
      </c>
      <c r="B348" s="106">
        <f>VLOOKUP(A348,Sheet2!A:C,2,FALSE)</f>
        <v>173</v>
      </c>
      <c r="C348" s="106">
        <v>3500</v>
      </c>
      <c r="D348" s="106">
        <f>VLOOKUP(A348,Sheet4!A:C,2,FALSE)</f>
        <v>923</v>
      </c>
      <c r="E348" s="106">
        <f>VLOOKUP(A348,Sheet5!A:B,2,FALSE)</f>
        <v>7.0789</v>
      </c>
      <c r="F348" s="106">
        <f>VLOOKUP(A348,Sheet6!A:B,2,FALSE)</f>
        <v>104.25</v>
      </c>
      <c r="G348" s="106">
        <f>VLOOKUP(A348,WTI原油期货!A:B,2,FALSE)</f>
        <v>71.93</v>
      </c>
      <c r="H348" s="106">
        <f>VLOOKUP(A348,天然气期货!A:B,2,FALSE)</f>
        <v>2.476</v>
      </c>
      <c r="I348" s="111">
        <f>VLOOKUP(A348,黄金期货!A:B,2,FALSE)</f>
        <v>1943.7</v>
      </c>
      <c r="J348" s="106">
        <f>VLOOKUP(A348,Sheet2!A:C,3,FALSE)</f>
        <v>975</v>
      </c>
      <c r="L348" s="112">
        <f t="shared" si="20"/>
        <v>0</v>
      </c>
    </row>
    <row r="349" spans="1:12">
      <c r="A349" s="109">
        <v>45072</v>
      </c>
      <c r="B349" s="106">
        <f>VLOOKUP(A349,Sheet2!A:C,2,FALSE)</f>
        <v>171</v>
      </c>
      <c r="C349" s="106">
        <v>3460</v>
      </c>
      <c r="D349" s="106">
        <f>VLOOKUP(A349,Sheet4!A:C,2,FALSE)</f>
        <v>920</v>
      </c>
      <c r="E349" s="106">
        <f>VLOOKUP(A349,Sheet5!A:B,2,FALSE)</f>
        <v>7.0647</v>
      </c>
      <c r="F349" s="106">
        <f>VLOOKUP(A349,Sheet6!A:B,2,FALSE)</f>
        <v>104.21</v>
      </c>
      <c r="G349" s="106">
        <f>VLOOKUP(A349,WTI原油期货!A:B,2,FALSE)</f>
        <v>72.76</v>
      </c>
      <c r="H349" s="106">
        <f>VLOOKUP(A349,天然气期货!A:B,2,FALSE)</f>
        <v>2.417</v>
      </c>
      <c r="I349" s="111">
        <f>VLOOKUP(A349,黄金期货!A:B,2,FALSE)</f>
        <v>1944.3</v>
      </c>
      <c r="J349" s="106">
        <f>VLOOKUP(A349,Sheet2!A:C,3,FALSE)</f>
        <v>975</v>
      </c>
      <c r="L349" s="112">
        <f t="shared" si="20"/>
        <v>0</v>
      </c>
    </row>
    <row r="350" spans="1:12">
      <c r="A350" s="109">
        <v>45075</v>
      </c>
      <c r="B350" s="106">
        <f>VLOOKUP(A350,Sheet2!A:C,2,FALSE)</f>
        <v>171</v>
      </c>
      <c r="C350" s="106">
        <v>3460</v>
      </c>
      <c r="D350" s="106">
        <f>VLOOKUP(A350,Sheet4!A:C,2,FALSE)</f>
        <v>919</v>
      </c>
      <c r="E350" s="106">
        <f>VLOOKUP(A350,Sheet5!A:B,2,FALSE)</f>
        <v>7.073</v>
      </c>
      <c r="F350" s="106">
        <f>VLOOKUP(A350,Sheet6!A:B,2,FALSE)</f>
        <v>104.26</v>
      </c>
      <c r="G350" s="106">
        <f>VLOOKUP(A350,WTI原油期货!A:B,2,FALSE)</f>
        <v>72.87</v>
      </c>
      <c r="H350" s="106">
        <f>VLOOKUP(A350,天然气期货!A:B,2,FALSE)</f>
        <v>2.349</v>
      </c>
      <c r="I350" s="111">
        <f>VLOOKUP(A350,黄金期货!A:B,2,FALSE)</f>
        <v>1977.1</v>
      </c>
      <c r="J350" s="106">
        <f>VLOOKUP(A350,Sheet2!A:C,3,FALSE)</f>
        <v>975</v>
      </c>
      <c r="L350" s="112">
        <f t="shared" si="20"/>
        <v>0</v>
      </c>
    </row>
    <row r="351" spans="1:12">
      <c r="A351" s="109">
        <v>45076</v>
      </c>
      <c r="B351" s="106">
        <f>VLOOKUP(A351,Sheet2!A:C,2,FALSE)</f>
        <v>171</v>
      </c>
      <c r="C351" s="106">
        <v>3460</v>
      </c>
      <c r="D351" s="106">
        <f>VLOOKUP(A351,Sheet4!A:C,2,FALSE)</f>
        <v>918</v>
      </c>
      <c r="E351" s="106">
        <f>VLOOKUP(A351,Sheet5!A:B,2,FALSE)</f>
        <v>7.08</v>
      </c>
      <c r="F351" s="106">
        <f>VLOOKUP(A351,Sheet6!A:B,2,FALSE)</f>
        <v>104.17</v>
      </c>
      <c r="G351" s="106">
        <f>VLOOKUP(A351,WTI原油期货!A:B,2,FALSE)</f>
        <v>69.6</v>
      </c>
      <c r="H351" s="106">
        <f>VLOOKUP(A351,天然气期货!A:B,2,FALSE)</f>
        <v>2.416</v>
      </c>
      <c r="I351" s="111">
        <f>VLOOKUP(A351,黄金期货!A:B,2,FALSE)</f>
        <v>1968.1</v>
      </c>
      <c r="J351" s="106">
        <f>VLOOKUP(A351,Sheet2!A:C,3,FALSE)</f>
        <v>965</v>
      </c>
      <c r="L351" s="112">
        <f t="shared" si="20"/>
        <v>-0.0102564102564103</v>
      </c>
    </row>
    <row r="352" spans="1:12">
      <c r="A352" s="109">
        <v>45077</v>
      </c>
      <c r="B352" s="106">
        <f>VLOOKUP(A352,Sheet2!A:C,2,FALSE)</f>
        <v>174</v>
      </c>
      <c r="C352" s="106">
        <v>3460</v>
      </c>
      <c r="D352" s="106">
        <f>VLOOKUP(A352,Sheet4!A:C,2,FALSE)</f>
        <v>913</v>
      </c>
      <c r="E352" s="106">
        <f>VLOOKUP(A352,Sheet5!A:B,2,FALSE)</f>
        <v>7.1117</v>
      </c>
      <c r="F352" s="106">
        <f>VLOOKUP(A352,Sheet6!A:B,2,FALSE)</f>
        <v>104.33</v>
      </c>
      <c r="G352" s="106">
        <f>VLOOKUP(A352,WTI原油期货!A:B,2,FALSE)</f>
        <v>68.24</v>
      </c>
      <c r="H352" s="106">
        <f>VLOOKUP(A352,天然气期货!A:B,2,FALSE)</f>
        <v>2.358</v>
      </c>
      <c r="I352" s="111">
        <f>VLOOKUP(A352,黄金期货!A:B,2,FALSE)</f>
        <v>1973.1</v>
      </c>
      <c r="J352" s="106">
        <f>VLOOKUP(A352,Sheet2!A:C,3,FALSE)</f>
        <v>950</v>
      </c>
      <c r="L352" s="112">
        <f t="shared" si="20"/>
        <v>-0.0155440414507772</v>
      </c>
    </row>
    <row r="353" spans="1:12">
      <c r="A353" s="109">
        <v>45078</v>
      </c>
      <c r="B353" s="106">
        <f>VLOOKUP(A353,Sheet2!A:C,2,FALSE)</f>
        <v>179</v>
      </c>
      <c r="C353" s="106">
        <v>3460</v>
      </c>
      <c r="D353" s="106">
        <f>VLOOKUP(A353,Sheet4!A:C,2,FALSE)</f>
        <v>912</v>
      </c>
      <c r="E353" s="106">
        <f>VLOOKUP(A353,Sheet5!A:B,2,FALSE)</f>
        <v>7.0945</v>
      </c>
      <c r="F353" s="106">
        <f>VLOOKUP(A353,Sheet6!A:B,2,FALSE)</f>
        <v>103.56</v>
      </c>
      <c r="G353" s="106">
        <f>VLOOKUP(A353,WTI原油期货!A:B,2,FALSE)</f>
        <v>70.2</v>
      </c>
      <c r="H353" s="106">
        <f>VLOOKUP(A353,天然气期货!A:B,2,FALSE)</f>
        <v>2.273</v>
      </c>
      <c r="I353" s="111">
        <f>VLOOKUP(A353,黄金期货!A:B,2,FALSE)</f>
        <v>1986.5</v>
      </c>
      <c r="J353" s="106">
        <f>VLOOKUP(A353,Sheet2!A:C,3,FALSE)</f>
        <v>930</v>
      </c>
      <c r="L353" s="112">
        <f t="shared" si="20"/>
        <v>-0.0210526315789474</v>
      </c>
    </row>
    <row r="354" spans="1:12">
      <c r="A354" s="109">
        <v>45079</v>
      </c>
      <c r="B354" s="106">
        <f>VLOOKUP(A354,Sheet2!A:C,2,FALSE)</f>
        <v>179</v>
      </c>
      <c r="C354" s="106">
        <v>3460</v>
      </c>
      <c r="D354" s="106">
        <f>VLOOKUP(A354,Sheet4!A:C,2,FALSE)</f>
        <v>911</v>
      </c>
      <c r="E354" s="106">
        <f>VLOOKUP(A354,Sheet5!A:B,2,FALSE)</f>
        <v>7.0848</v>
      </c>
      <c r="F354" s="106">
        <f>VLOOKUP(A354,Sheet6!A:B,2,FALSE)</f>
        <v>104.01</v>
      </c>
      <c r="G354" s="106">
        <f>VLOOKUP(A354,WTI原油期货!A:B,2,FALSE)</f>
        <v>71.84</v>
      </c>
      <c r="H354" s="106">
        <f>VLOOKUP(A354,天然气期货!A:B,2,FALSE)</f>
        <v>2.299</v>
      </c>
      <c r="I354" s="111">
        <f>VLOOKUP(A354,黄金期货!A:B,2,FALSE)</f>
        <v>1960.6</v>
      </c>
      <c r="J354" s="106">
        <f>VLOOKUP(A354,Sheet2!A:C,3,FALSE)</f>
        <v>895</v>
      </c>
      <c r="L354" s="112">
        <f t="shared" si="20"/>
        <v>-0.0376344086021505</v>
      </c>
    </row>
    <row r="355" spans="1:12">
      <c r="A355" s="109">
        <v>45082</v>
      </c>
      <c r="B355" s="106">
        <f>VLOOKUP(A355,Sheet2!A:C,2,FALSE)</f>
        <v>178</v>
      </c>
      <c r="C355" s="106">
        <v>3430</v>
      </c>
      <c r="D355" s="106">
        <f>VLOOKUP(A355,Sheet4!A:C,2,FALSE)</f>
        <v>911</v>
      </c>
      <c r="E355" s="106">
        <f>VLOOKUP(A355,Sheet5!A:B,2,FALSE)</f>
        <v>7.1025</v>
      </c>
      <c r="F355" s="106">
        <f>VLOOKUP(A355,Sheet6!A:B,2,FALSE)</f>
        <v>104</v>
      </c>
      <c r="G355" s="106">
        <f>VLOOKUP(A355,WTI原油期货!A:B,2,FALSE)</f>
        <v>72.26</v>
      </c>
      <c r="H355" s="106">
        <f>VLOOKUP(A355,天然气期货!A:B,2,FALSE)</f>
        <v>2.366</v>
      </c>
      <c r="I355" s="111">
        <f>VLOOKUP(A355,黄金期货!A:B,2,FALSE)</f>
        <v>1965.7</v>
      </c>
      <c r="J355" s="106">
        <f>VLOOKUP(A355,Sheet2!A:C,3,FALSE)</f>
        <v>890</v>
      </c>
      <c r="L355" s="112">
        <f t="shared" si="20"/>
        <v>-0.00558659217877095</v>
      </c>
    </row>
    <row r="356" spans="1:12">
      <c r="A356" s="109">
        <v>45083</v>
      </c>
      <c r="B356" s="106">
        <f>VLOOKUP(A356,Sheet2!A:C,2,FALSE)</f>
        <v>177</v>
      </c>
      <c r="C356" s="106">
        <v>3430</v>
      </c>
      <c r="D356" s="106">
        <f>VLOOKUP(A356,Sheet4!A:C,2,FALSE)</f>
        <v>911</v>
      </c>
      <c r="E356" s="106">
        <f>VLOOKUP(A356,Sheet5!A:B,2,FALSE)</f>
        <v>7.1195</v>
      </c>
      <c r="F356" s="106">
        <f>VLOOKUP(A356,Sheet6!A:B,2,FALSE)</f>
        <v>104.13</v>
      </c>
      <c r="G356" s="106">
        <f>VLOOKUP(A356,WTI原油期货!A:B,2,FALSE)</f>
        <v>71.85</v>
      </c>
      <c r="H356" s="106">
        <f>VLOOKUP(A356,天然气期货!A:B,2,FALSE)</f>
        <v>2.381</v>
      </c>
      <c r="I356" s="111">
        <f>VLOOKUP(A356,黄金期货!A:B,2,FALSE)</f>
        <v>1972.9</v>
      </c>
      <c r="J356" s="106">
        <f>VLOOKUP(A356,Sheet2!A:C,3,FALSE)</f>
        <v>880</v>
      </c>
      <c r="L356" s="112">
        <f t="shared" si="20"/>
        <v>-0.0112359550561798</v>
      </c>
    </row>
    <row r="357" spans="1:12">
      <c r="A357" s="109">
        <v>45084</v>
      </c>
      <c r="B357" s="106">
        <f>VLOOKUP(A357,Sheet2!A:C,2,FALSE)</f>
        <v>177</v>
      </c>
      <c r="C357" s="106">
        <v>3430</v>
      </c>
      <c r="D357" s="106">
        <f>VLOOKUP(A357,Sheet4!A:C,2,FALSE)</f>
        <v>911</v>
      </c>
      <c r="E357" s="106">
        <f>VLOOKUP(A357,Sheet5!A:B,2,FALSE)</f>
        <v>7.1293</v>
      </c>
      <c r="F357" s="106">
        <f>VLOOKUP(A357,Sheet6!A:B,2,FALSE)</f>
        <v>104.1</v>
      </c>
      <c r="G357" s="106">
        <f>VLOOKUP(A357,WTI原油期货!A:B,2,FALSE)</f>
        <v>72.64</v>
      </c>
      <c r="H357" s="106">
        <f>VLOOKUP(A357,天然气期货!A:B,2,FALSE)</f>
        <v>2.433</v>
      </c>
      <c r="I357" s="111">
        <f>VLOOKUP(A357,黄金期货!A:B,2,FALSE)</f>
        <v>1949.9</v>
      </c>
      <c r="J357" s="106">
        <f>VLOOKUP(A357,Sheet2!A:C,3,FALSE)</f>
        <v>880</v>
      </c>
      <c r="L357" s="112">
        <f t="shared" si="20"/>
        <v>0</v>
      </c>
    </row>
    <row r="358" spans="1:12">
      <c r="A358" s="109">
        <v>45085</v>
      </c>
      <c r="B358" s="106">
        <f>VLOOKUP(A358,Sheet2!A:C,2,FALSE)</f>
        <v>177</v>
      </c>
      <c r="C358" s="106">
        <v>3430</v>
      </c>
      <c r="D358" s="106">
        <f>VLOOKUP(A358,Sheet4!A:C,2,FALSE)</f>
        <v>910</v>
      </c>
      <c r="E358" s="106">
        <f>VLOOKUP(A358,Sheet5!A:B,2,FALSE)</f>
        <v>7.1122</v>
      </c>
      <c r="F358" s="106">
        <f>VLOOKUP(A358,Sheet6!A:B,2,FALSE)</f>
        <v>103.34</v>
      </c>
      <c r="G358" s="106">
        <f>VLOOKUP(A358,WTI原油期货!A:B,2,FALSE)</f>
        <v>71.44</v>
      </c>
      <c r="H358" s="106">
        <f>VLOOKUP(A358,天然气期货!A:B,2,FALSE)</f>
        <v>2.434</v>
      </c>
      <c r="I358" s="111">
        <f>VLOOKUP(A358,黄金期货!A:B,2,FALSE)</f>
        <v>1969.9</v>
      </c>
      <c r="J358" s="106">
        <f>VLOOKUP(A358,Sheet2!A:C,3,FALSE)</f>
        <v>870</v>
      </c>
      <c r="L358" s="112">
        <f t="shared" si="20"/>
        <v>-0.0113636363636364</v>
      </c>
    </row>
    <row r="359" spans="1:12">
      <c r="A359" s="109">
        <v>45086</v>
      </c>
      <c r="B359" s="106">
        <f>VLOOKUP(A359,Sheet2!A:C,2,FALSE)</f>
        <v>177</v>
      </c>
      <c r="C359" s="106">
        <v>3430</v>
      </c>
      <c r="D359" s="106">
        <f>VLOOKUP(A359,Sheet4!A:C,2,FALSE)</f>
        <v>910</v>
      </c>
      <c r="E359" s="106">
        <f>VLOOKUP(A359,Sheet5!A:B,2,FALSE)</f>
        <v>7.1286</v>
      </c>
      <c r="F359" s="106">
        <f>VLOOKUP(A359,Sheet6!A:B,2,FALSE)</f>
        <v>103.56</v>
      </c>
      <c r="G359" s="106">
        <f>VLOOKUP(A359,WTI原油期货!A:B,2,FALSE)</f>
        <v>70.33</v>
      </c>
      <c r="H359" s="106">
        <f>VLOOKUP(A359,天然气期货!A:B,2,FALSE)</f>
        <v>2.331</v>
      </c>
      <c r="I359" s="111">
        <f>VLOOKUP(A359,黄金期货!A:B,2,FALSE)</f>
        <v>1968.4</v>
      </c>
      <c r="J359" s="106">
        <f>VLOOKUP(A359,Sheet2!A:C,3,FALSE)</f>
        <v>850</v>
      </c>
      <c r="L359" s="112">
        <f t="shared" si="20"/>
        <v>-0.0229885057471264</v>
      </c>
    </row>
    <row r="360" spans="1:12">
      <c r="A360" s="109">
        <v>45089</v>
      </c>
      <c r="B360" s="106">
        <f>VLOOKUP(A360,Sheet2!A:C,2,FALSE)</f>
        <v>179</v>
      </c>
      <c r="C360" s="106">
        <v>3430</v>
      </c>
      <c r="D360" s="106">
        <f>VLOOKUP(A360,Sheet4!A:C,2,FALSE)</f>
        <v>907</v>
      </c>
      <c r="E360" s="106">
        <f>VLOOKUP(A360,Sheet5!A:B,2,FALSE)</f>
        <v>7.1456</v>
      </c>
      <c r="F360" s="106">
        <f>VLOOKUP(A360,Sheet6!A:B,2,FALSE)</f>
        <v>103.65</v>
      </c>
      <c r="G360" s="106">
        <f>VLOOKUP(A360,WTI原油期货!A:B,2,FALSE)</f>
        <v>67.29</v>
      </c>
      <c r="H360" s="106">
        <f>VLOOKUP(A360,天然气期货!A:B,2,FALSE)</f>
        <v>2.336</v>
      </c>
      <c r="I360" s="111">
        <f>VLOOKUP(A360,黄金期货!A:B,2,FALSE)</f>
        <v>1960.9</v>
      </c>
      <c r="J360" s="106">
        <f>VLOOKUP(A360,Sheet2!A:C,3,FALSE)</f>
        <v>840</v>
      </c>
      <c r="L360" s="112">
        <f t="shared" si="20"/>
        <v>-0.0117647058823529</v>
      </c>
    </row>
    <row r="361" spans="1:12">
      <c r="A361" s="109">
        <v>45090</v>
      </c>
      <c r="B361" s="106">
        <f>VLOOKUP(A361,Sheet2!A:C,2,FALSE)</f>
        <v>181</v>
      </c>
      <c r="C361" s="106">
        <v>3430</v>
      </c>
      <c r="D361" s="106">
        <f>VLOOKUP(A361,Sheet4!A:C,2,FALSE)</f>
        <v>905</v>
      </c>
      <c r="E361" s="106">
        <f>VLOOKUP(A361,Sheet5!A:B,2,FALSE)</f>
        <v>7.1681</v>
      </c>
      <c r="F361" s="106">
        <f>VLOOKUP(A361,Sheet6!A:B,2,FALSE)</f>
        <v>103.34</v>
      </c>
      <c r="G361" s="106">
        <f>VLOOKUP(A361,WTI原油期货!A:B,2,FALSE)</f>
        <v>69.58</v>
      </c>
      <c r="H361" s="106">
        <f>VLOOKUP(A361,天然气期货!A:B,2,FALSE)</f>
        <v>2.407</v>
      </c>
      <c r="I361" s="111">
        <f>VLOOKUP(A361,黄金期货!A:B,2,FALSE)</f>
        <v>1949.9</v>
      </c>
      <c r="J361" s="106">
        <f>VLOOKUP(A361,Sheet2!A:C,3,FALSE)</f>
        <v>795</v>
      </c>
      <c r="L361" s="113">
        <f t="shared" si="20"/>
        <v>-0.0535714285714286</v>
      </c>
    </row>
    <row r="362" spans="1:12">
      <c r="A362" s="109">
        <v>45091</v>
      </c>
      <c r="B362" s="106">
        <f>VLOOKUP(A362,Sheet2!A:C,2,FALSE)</f>
        <v>178</v>
      </c>
      <c r="C362" s="106">
        <v>3380</v>
      </c>
      <c r="D362" s="106">
        <f>VLOOKUP(A362,Sheet4!A:C,2,FALSE)</f>
        <v>905</v>
      </c>
      <c r="E362" s="106">
        <f>VLOOKUP(A362,Sheet5!A:B,2,FALSE)</f>
        <v>7.1638</v>
      </c>
      <c r="F362" s="106">
        <f>VLOOKUP(A362,Sheet6!A:B,2,FALSE)</f>
        <v>102.95</v>
      </c>
      <c r="G362" s="106">
        <f>VLOOKUP(A362,WTI原油期货!A:B,2,FALSE)</f>
        <v>68.46</v>
      </c>
      <c r="H362" s="106">
        <f>VLOOKUP(A362,天然气期货!A:B,2,FALSE)</f>
        <v>2.413</v>
      </c>
      <c r="I362" s="111">
        <f>VLOOKUP(A362,黄金期货!A:B,2,FALSE)</f>
        <v>1960.1</v>
      </c>
      <c r="J362" s="106">
        <f>VLOOKUP(A362,Sheet2!A:C,3,FALSE)</f>
        <v>780</v>
      </c>
      <c r="L362" s="112">
        <f t="shared" si="20"/>
        <v>-0.0188679245283019</v>
      </c>
    </row>
    <row r="363" spans="1:12">
      <c r="A363" s="109">
        <v>45092</v>
      </c>
      <c r="B363" s="106">
        <f>VLOOKUP(A363,Sheet2!A:C,2,FALSE)</f>
        <v>179</v>
      </c>
      <c r="C363" s="106">
        <v>3380</v>
      </c>
      <c r="D363" s="106">
        <f>VLOOKUP(A363,Sheet4!A:C,2,FALSE)</f>
        <v>905</v>
      </c>
      <c r="E363" s="106">
        <f>VLOOKUP(A363,Sheet5!A:B,2,FALSE)</f>
        <v>7.121</v>
      </c>
      <c r="F363" s="106">
        <f>VLOOKUP(A363,Sheet6!A:B,2,FALSE)</f>
        <v>102.11</v>
      </c>
      <c r="G363" s="106">
        <f>VLOOKUP(A363,WTI原油期货!A:B,2,FALSE)</f>
        <v>70.81</v>
      </c>
      <c r="H363" s="106">
        <f>VLOOKUP(A363,天然气期货!A:B,2,FALSE)</f>
        <v>2.609</v>
      </c>
      <c r="I363" s="111">
        <f>VLOOKUP(A363,黄金期货!A:B,2,FALSE)</f>
        <v>1961.8</v>
      </c>
      <c r="J363" s="106">
        <f>VLOOKUP(A363,Sheet2!A:C,3,FALSE)</f>
        <v>790</v>
      </c>
      <c r="L363" s="112">
        <f t="shared" si="20"/>
        <v>0.0128205128205128</v>
      </c>
    </row>
    <row r="364" spans="1:12">
      <c r="A364" s="109">
        <v>45093</v>
      </c>
      <c r="B364" s="106">
        <f>VLOOKUP(A364,Sheet2!A:C,2,FALSE)</f>
        <v>179</v>
      </c>
      <c r="C364" s="106">
        <v>3380</v>
      </c>
      <c r="D364" s="106">
        <f>VLOOKUP(A364,Sheet4!A:C,2,FALSE)</f>
        <v>907</v>
      </c>
      <c r="E364" s="106">
        <f>VLOOKUP(A364,Sheet5!A:B,2,FALSE)</f>
        <v>7.1266</v>
      </c>
      <c r="F364" s="106">
        <f>VLOOKUP(A364,Sheet6!A:B,2,FALSE)</f>
        <v>102.24</v>
      </c>
      <c r="G364" s="106">
        <f>VLOOKUP(A364,WTI原油期货!A:B,2,FALSE)</f>
        <v>71.93</v>
      </c>
      <c r="H364" s="106">
        <f>VLOOKUP(A364,天然气期货!A:B,2,FALSE)</f>
        <v>2.721</v>
      </c>
      <c r="I364" s="111">
        <f>VLOOKUP(A364,黄金期货!A:B,2,FALSE)</f>
        <v>1962.2</v>
      </c>
      <c r="J364" s="106">
        <f>VLOOKUP(A364,Sheet2!A:C,3,FALSE)</f>
        <v>785</v>
      </c>
      <c r="L364" s="112">
        <f t="shared" si="20"/>
        <v>-0.00632911392405063</v>
      </c>
    </row>
    <row r="365" spans="1:12">
      <c r="A365" s="109">
        <v>45096</v>
      </c>
      <c r="B365" s="106">
        <f>VLOOKUP(A365,Sheet2!A:C,2,FALSE)</f>
        <v>185</v>
      </c>
      <c r="C365" s="106">
        <v>3380</v>
      </c>
      <c r="D365" s="106">
        <f>VLOOKUP(A365,Sheet4!A:C,2,FALSE)</f>
        <v>907</v>
      </c>
      <c r="E365" s="106">
        <f>VLOOKUP(A365,Sheet5!A:B,2,FALSE)</f>
        <v>7.1615</v>
      </c>
      <c r="F365" s="106">
        <f>VLOOKUP(A365,Sheet6!A:B,2,FALSE)</f>
        <v>102.52</v>
      </c>
      <c r="G365" s="106">
        <f>VLOOKUP(A365,WTI原油期货!A:B,2,FALSE)</f>
        <v>71.31</v>
      </c>
      <c r="H365" s="106">
        <f>VLOOKUP(A365,天然气期货!A:B,2,FALSE)</f>
        <v>2.643</v>
      </c>
      <c r="I365" s="111">
        <f>VLOOKUP(A365,黄金期货!A:B,2,FALSE)</f>
        <v>1947.7</v>
      </c>
      <c r="J365" s="106">
        <f>VLOOKUP(A365,Sheet2!A:C,3,FALSE)</f>
        <v>785</v>
      </c>
      <c r="L365" s="112">
        <f t="shared" si="20"/>
        <v>0</v>
      </c>
    </row>
    <row r="366" spans="1:12">
      <c r="A366" s="109">
        <v>45097</v>
      </c>
      <c r="B366" s="106">
        <f>VLOOKUP(A366,Sheet2!A:C,2,FALSE)</f>
        <v>184</v>
      </c>
      <c r="C366" s="106">
        <v>3380</v>
      </c>
      <c r="D366" s="106">
        <f>VLOOKUP(A366,Sheet4!A:C,2,FALSE)</f>
        <v>907</v>
      </c>
      <c r="E366" s="106">
        <f>VLOOKUP(A366,Sheet5!A:B,2,FALSE)</f>
        <v>7.1815</v>
      </c>
      <c r="F366" s="106">
        <f>VLOOKUP(A366,Sheet6!A:B,2,FALSE)</f>
        <v>102.54</v>
      </c>
      <c r="G366" s="106">
        <f>VLOOKUP(A366,WTI原油期货!A:B,2,FALSE)</f>
        <v>71.19</v>
      </c>
      <c r="H366" s="106">
        <f>VLOOKUP(A366,天然气期货!A:B,2,FALSE)</f>
        <v>2.57</v>
      </c>
      <c r="I366" s="111">
        <f>VLOOKUP(A366,黄金期货!A:B,2,FALSE)</f>
        <v>1938.9</v>
      </c>
      <c r="J366" s="106">
        <f>VLOOKUP(A366,Sheet2!A:C,3,FALSE)</f>
        <v>790</v>
      </c>
      <c r="L366" s="112">
        <f t="shared" si="20"/>
        <v>0.00636942675159236</v>
      </c>
    </row>
    <row r="367" spans="1:12">
      <c r="A367" s="109">
        <v>45098</v>
      </c>
      <c r="B367" s="106">
        <f>VLOOKUP(A367,Sheet2!A:C,2,FALSE)</f>
        <v>183</v>
      </c>
      <c r="C367" s="106">
        <v>3380</v>
      </c>
      <c r="D367" s="106">
        <f>VLOOKUP(A367,Sheet4!A:C,2,FALSE)</f>
        <v>906</v>
      </c>
      <c r="E367" s="106">
        <f>VLOOKUP(A367,Sheet5!A:B,2,FALSE)</f>
        <v>7.1795</v>
      </c>
      <c r="F367" s="106">
        <f>VLOOKUP(A367,Sheet6!A:B,2,FALSE)</f>
        <v>102.07</v>
      </c>
      <c r="G367" s="106">
        <f>VLOOKUP(A367,WTI原油期货!A:B,2,FALSE)</f>
        <v>72.52</v>
      </c>
      <c r="H367" s="106">
        <f>VLOOKUP(A367,天然气期货!A:B,2,FALSE)</f>
        <v>2.677</v>
      </c>
      <c r="I367" s="111">
        <f>VLOOKUP(A367,黄金期货!A:B,2,FALSE)</f>
        <v>1936.1</v>
      </c>
      <c r="J367" s="106">
        <f>VLOOKUP(A367,Sheet2!A:C,3,FALSE)</f>
        <v>790</v>
      </c>
      <c r="L367" s="112">
        <f t="shared" si="20"/>
        <v>0</v>
      </c>
    </row>
    <row r="368" spans="1:12">
      <c r="A368" s="109">
        <v>45102</v>
      </c>
      <c r="B368" s="106">
        <f>VLOOKUP(A368,Sheet2!A:C,2,FALSE)</f>
        <v>181</v>
      </c>
      <c r="C368" s="106">
        <v>3380</v>
      </c>
      <c r="D368" s="106">
        <f>VLOOKUP(A368,Sheet4!A:C,2,FALSE)</f>
        <v>905</v>
      </c>
      <c r="E368" s="106">
        <f>E367</f>
        <v>7.1795</v>
      </c>
      <c r="F368" s="106">
        <f>F367</f>
        <v>102.07</v>
      </c>
      <c r="G368" s="106">
        <f>G367</f>
        <v>72.52</v>
      </c>
      <c r="H368" s="106">
        <f>H367</f>
        <v>2.677</v>
      </c>
      <c r="I368" s="111">
        <f>I367</f>
        <v>1936.1</v>
      </c>
      <c r="J368" s="106">
        <f>VLOOKUP(A368,Sheet2!A:C,3,FALSE)</f>
        <v>790</v>
      </c>
      <c r="L368" s="112">
        <f t="shared" si="20"/>
        <v>0</v>
      </c>
    </row>
    <row r="369" spans="1:12">
      <c r="A369" s="109">
        <v>45103</v>
      </c>
      <c r="B369" s="106">
        <f>VLOOKUP(A369,Sheet2!A:C,2,FALSE)</f>
        <v>183</v>
      </c>
      <c r="C369" s="106">
        <v>3380</v>
      </c>
      <c r="D369" s="106">
        <f>VLOOKUP(A369,Sheet4!A:C,2,FALSE)</f>
        <v>903</v>
      </c>
      <c r="E369" s="106">
        <f>VLOOKUP(A369,Sheet5!A:B,2,FALSE)</f>
        <v>7.2376</v>
      </c>
      <c r="F369" s="106">
        <f>VLOOKUP(A369,Sheet6!A:B,2,FALSE)</f>
        <v>102.69</v>
      </c>
      <c r="G369" s="106">
        <f>VLOOKUP(A369,WTI原油期货!A:B,2,FALSE)</f>
        <v>69.54</v>
      </c>
      <c r="H369" s="106">
        <f>VLOOKUP(A369,天然气期货!A:B,2,FALSE)</f>
        <v>2.892</v>
      </c>
      <c r="I369" s="111">
        <f>VLOOKUP(A369,黄金期货!A:B,2,FALSE)</f>
        <v>1925.1</v>
      </c>
      <c r="J369" s="106">
        <f>VLOOKUP(A369,Sheet2!A:C,3,FALSE)</f>
        <v>780</v>
      </c>
      <c r="L369" s="112">
        <f t="shared" si="20"/>
        <v>-0.0126582278481013</v>
      </c>
    </row>
    <row r="370" spans="1:12">
      <c r="A370" s="109">
        <v>45104</v>
      </c>
      <c r="B370" s="106">
        <f>VLOOKUP(A370,Sheet2!A:C,2,FALSE)</f>
        <v>189</v>
      </c>
      <c r="C370" s="106">
        <v>3350</v>
      </c>
      <c r="D370" s="106">
        <f>VLOOKUP(A370,Sheet4!A:C,2,FALSE)</f>
        <v>902</v>
      </c>
      <c r="E370" s="106">
        <f>VLOOKUP(A370,Sheet5!A:B,2,FALSE)</f>
        <v>7.2202</v>
      </c>
      <c r="F370" s="106">
        <f>VLOOKUP(A370,Sheet6!A:B,2,FALSE)</f>
        <v>102.49</v>
      </c>
      <c r="G370" s="106">
        <f>VLOOKUP(A370,WTI原油期货!A:B,2,FALSE)</f>
        <v>67.9</v>
      </c>
      <c r="H370" s="106">
        <f>VLOOKUP(A370,天然气期货!A:B,2,FALSE)</f>
        <v>2.789</v>
      </c>
      <c r="I370" s="111">
        <f>VLOOKUP(A370,黄金期货!A:B,2,FALSE)</f>
        <v>1915.1</v>
      </c>
      <c r="J370" s="106">
        <f>VLOOKUP(A370,Sheet2!A:C,3,FALSE)</f>
        <v>785</v>
      </c>
      <c r="L370" s="112">
        <f t="shared" si="20"/>
        <v>0.00641025641025641</v>
      </c>
    </row>
    <row r="371" spans="1:12">
      <c r="A371" s="109">
        <v>45105</v>
      </c>
      <c r="B371" s="106">
        <f>VLOOKUP(A371,Sheet2!A:C,2,FALSE)</f>
        <v>188</v>
      </c>
      <c r="C371" s="106">
        <v>3300</v>
      </c>
      <c r="D371" s="106">
        <f>VLOOKUP(A371,Sheet4!A:C,2,FALSE)</f>
        <v>902</v>
      </c>
      <c r="E371" s="106">
        <f>VLOOKUP(A371,Sheet5!A:B,2,FALSE)</f>
        <v>7.2445</v>
      </c>
      <c r="F371" s="106">
        <f>VLOOKUP(A371,Sheet6!A:B,2,FALSE)</f>
        <v>102.9</v>
      </c>
      <c r="G371" s="106">
        <f>VLOOKUP(A371,WTI原油期货!A:B,2,FALSE)</f>
        <v>69.73</v>
      </c>
      <c r="H371" s="106">
        <f>VLOOKUP(A371,天然气期货!A:B,2,FALSE)</f>
        <v>2.668</v>
      </c>
      <c r="I371" s="111">
        <f>VLOOKUP(A371,黄金期货!A:B,2,FALSE)</f>
        <v>1913.4</v>
      </c>
      <c r="J371" s="106">
        <f>VLOOKUP(A371,Sheet2!A:C,3,FALSE)</f>
        <v>795</v>
      </c>
      <c r="L371" s="112">
        <f t="shared" si="20"/>
        <v>0.0127388535031847</v>
      </c>
    </row>
    <row r="372" spans="1:12">
      <c r="A372" s="109">
        <v>45106</v>
      </c>
      <c r="B372" s="106">
        <f>VLOOKUP(A372,Sheet2!A:C,2,FALSE)</f>
        <v>193</v>
      </c>
      <c r="C372" s="106">
        <v>3300</v>
      </c>
      <c r="D372" s="106">
        <f>VLOOKUP(A372,Sheet4!A:C,2,FALSE)</f>
        <v>902</v>
      </c>
      <c r="E372" s="106">
        <f>VLOOKUP(A372,Sheet5!A:B,2,FALSE)</f>
        <v>7.2525</v>
      </c>
      <c r="F372" s="106">
        <f>VLOOKUP(A372,Sheet6!A:B,2,FALSE)</f>
        <v>103.34</v>
      </c>
      <c r="G372" s="106">
        <f>VLOOKUP(A372,WTI原油期货!A:B,2,FALSE)</f>
        <v>70.02</v>
      </c>
      <c r="H372" s="106">
        <f>VLOOKUP(A372,天然气期货!A:B,2,FALSE)</f>
        <v>2.691</v>
      </c>
      <c r="I372" s="111">
        <f>VLOOKUP(A372,黄金期货!A:B,2,FALSE)</f>
        <v>1917.9</v>
      </c>
      <c r="J372" s="106">
        <f>VLOOKUP(A372,Sheet2!A:C,3,FALSE)</f>
        <v>810</v>
      </c>
      <c r="L372" s="112">
        <f t="shared" si="20"/>
        <v>0.0188679245283019</v>
      </c>
    </row>
    <row r="373" spans="1:12">
      <c r="A373" s="109">
        <v>45107</v>
      </c>
      <c r="B373" s="106">
        <f>VLOOKUP(A373,Sheet2!A:C,2,FALSE)</f>
        <v>194</v>
      </c>
      <c r="C373" s="106">
        <v>3300</v>
      </c>
      <c r="D373" s="106">
        <f>VLOOKUP(A373,Sheet4!A:C,2,FALSE)</f>
        <v>903</v>
      </c>
      <c r="E373" s="106">
        <f>VLOOKUP(A373,Sheet5!A:B,2,FALSE)</f>
        <v>7.2523</v>
      </c>
      <c r="F373" s="106">
        <f>VLOOKUP(A373,Sheet6!A:B,2,FALSE)</f>
        <v>102.91</v>
      </c>
      <c r="G373" s="106">
        <f>VLOOKUP(A373,WTI原油期货!A:B,2,FALSE)</f>
        <v>70.78</v>
      </c>
      <c r="H373" s="106">
        <f>VLOOKUP(A373,天然气期货!A:B,2,FALSE)</f>
        <v>2.774</v>
      </c>
      <c r="I373" s="111">
        <f>VLOOKUP(A373,黄金期货!A:B,2,FALSE)</f>
        <v>1929.4</v>
      </c>
      <c r="J373" s="106">
        <f>VLOOKUP(A373,Sheet2!A:C,3,FALSE)</f>
        <v>810</v>
      </c>
      <c r="L373" s="112">
        <f t="shared" si="20"/>
        <v>0</v>
      </c>
    </row>
    <row r="374" spans="1:12">
      <c r="A374" s="109">
        <v>45110</v>
      </c>
      <c r="B374" s="106">
        <f>VLOOKUP(A374,Sheet2!A:C,2,FALSE)</f>
        <v>194</v>
      </c>
      <c r="C374" s="106">
        <v>3300</v>
      </c>
      <c r="D374" s="106">
        <f>VLOOKUP(A374,Sheet4!A:C,2,FALSE)</f>
        <v>906</v>
      </c>
      <c r="E374" s="106">
        <f>VLOOKUP(A374,Sheet5!A:B,2,FALSE)</f>
        <v>7.2408</v>
      </c>
      <c r="F374" s="106">
        <f>VLOOKUP(A374,Sheet6!A:B,2,FALSE)</f>
        <v>102.96</v>
      </c>
      <c r="G374" s="106">
        <f>VLOOKUP(A374,WTI原油期货!A:B,2,FALSE)</f>
        <v>69.91</v>
      </c>
      <c r="H374" s="106">
        <f>VLOOKUP(A374,天然气期货!A:B,2,FALSE)</f>
        <v>2.702</v>
      </c>
      <c r="I374" s="111">
        <f>VLOOKUP(A374,黄金期货!A:B,2,FALSE)</f>
        <v>1929.5</v>
      </c>
      <c r="J374" s="106">
        <f>VLOOKUP(A374,Sheet2!A:C,3,FALSE)</f>
        <v>810</v>
      </c>
      <c r="L374" s="112">
        <f t="shared" si="20"/>
        <v>0</v>
      </c>
    </row>
    <row r="375" spans="1:12">
      <c r="A375" s="109">
        <v>45111</v>
      </c>
      <c r="B375" s="106">
        <f>VLOOKUP(A375,Sheet2!A:C,2,FALSE)</f>
        <v>190</v>
      </c>
      <c r="C375" s="106">
        <v>3300</v>
      </c>
      <c r="D375" s="106">
        <f>VLOOKUP(A375,Sheet4!A:C,2,FALSE)</f>
        <v>906</v>
      </c>
      <c r="E375" s="106">
        <f>VLOOKUP(A375,Sheet5!A:B,2,FALSE)</f>
        <v>7.2145</v>
      </c>
      <c r="F375" s="106">
        <f>VLOOKUP(A375,Sheet6!A:B,2,FALSE)</f>
        <v>103.04</v>
      </c>
      <c r="G375" s="106">
        <f>VLOOKUP(A375,WTI原油期货!A:B,2,FALSE)</f>
        <v>71.06</v>
      </c>
      <c r="H375" s="106">
        <f>VLOOKUP(A375,天然气期货!A:B,2,FALSE)</f>
        <v>2.751</v>
      </c>
      <c r="I375" s="111">
        <f>VLOOKUP(A375,黄金期货!A:B,2,FALSE)</f>
        <v>1927.1</v>
      </c>
      <c r="J375" s="106">
        <f>VLOOKUP(A375,Sheet2!A:C,3,FALSE)</f>
        <v>810</v>
      </c>
      <c r="L375" s="112">
        <f t="shared" si="20"/>
        <v>0</v>
      </c>
    </row>
    <row r="376" spans="1:12">
      <c r="A376" s="109">
        <v>45112</v>
      </c>
      <c r="B376" s="106">
        <f>VLOOKUP(A376,Sheet2!A:C,2,FALSE)</f>
        <v>190</v>
      </c>
      <c r="C376" s="106">
        <v>3250</v>
      </c>
      <c r="D376" s="106">
        <f>VLOOKUP(A376,Sheet4!A:C,2,FALSE)</f>
        <v>906</v>
      </c>
      <c r="E376" s="106">
        <f>VLOOKUP(A376,Sheet5!A:B,2,FALSE)</f>
        <v>7.2475</v>
      </c>
      <c r="F376" s="106">
        <f>VLOOKUP(A376,Sheet6!A:B,2,FALSE)</f>
        <v>103.37</v>
      </c>
      <c r="G376" s="106">
        <f>VLOOKUP(A376,WTI原油期货!A:B,2,FALSE)</f>
        <v>71.88</v>
      </c>
      <c r="H376" s="106">
        <f>VLOOKUP(A376,天然气期货!A:B,2,FALSE)</f>
        <v>2.643</v>
      </c>
      <c r="I376" s="111">
        <f>VLOOKUP(A376,黄金期货!A:B,2,FALSE)</f>
        <v>1927.1</v>
      </c>
      <c r="J376" s="106">
        <f>VLOOKUP(A376,Sheet2!A:C,3,FALSE)</f>
        <v>815</v>
      </c>
      <c r="L376" s="112">
        <f t="shared" si="20"/>
        <v>0.00617283950617284</v>
      </c>
    </row>
    <row r="377" spans="1:12">
      <c r="A377" s="109">
        <v>45113</v>
      </c>
      <c r="B377" s="106">
        <f>VLOOKUP(A377,Sheet2!A:C,2,FALSE)</f>
        <v>187</v>
      </c>
      <c r="C377" s="106">
        <v>3250</v>
      </c>
      <c r="D377" s="106">
        <f>VLOOKUP(A377,Sheet4!A:C,2,FALSE)</f>
        <v>907</v>
      </c>
      <c r="E377" s="106">
        <f>VLOOKUP(A377,Sheet5!A:B,2,FALSE)</f>
        <v>7.2505</v>
      </c>
      <c r="F377" s="106">
        <f>VLOOKUP(A377,Sheet6!A:B,2,FALSE)</f>
        <v>103.07</v>
      </c>
      <c r="G377" s="106">
        <f>VLOOKUP(A377,WTI原油期货!A:B,2,FALSE)</f>
        <v>71.79</v>
      </c>
      <c r="H377" s="106">
        <f>VLOOKUP(A377,天然气期货!A:B,2,FALSE)</f>
        <v>2.599</v>
      </c>
      <c r="I377" s="111">
        <f>VLOOKUP(A377,黄金期货!A:B,2,FALSE)</f>
        <v>1915.4</v>
      </c>
      <c r="J377" s="106">
        <f>VLOOKUP(A377,Sheet2!A:C,3,FALSE)</f>
        <v>830</v>
      </c>
      <c r="L377" s="112">
        <f t="shared" si="20"/>
        <v>0.0184049079754601</v>
      </c>
    </row>
    <row r="378" spans="1:12">
      <c r="A378" s="109">
        <v>45114</v>
      </c>
      <c r="B378" s="106">
        <f>VLOOKUP(A378,Sheet2!A:C,2,FALSE)</f>
        <v>188</v>
      </c>
      <c r="C378" s="106">
        <v>3250</v>
      </c>
      <c r="D378" s="106">
        <f>VLOOKUP(A378,Sheet4!A:C,2,FALSE)</f>
        <v>906</v>
      </c>
      <c r="E378" s="106">
        <f>VLOOKUP(A378,Sheet5!A:B,2,FALSE)</f>
        <v>7.2212</v>
      </c>
      <c r="F378" s="106">
        <f>VLOOKUP(A378,Sheet6!A:B,2,FALSE)</f>
        <v>102.27</v>
      </c>
      <c r="G378" s="106">
        <f>VLOOKUP(A378,WTI原油期货!A:B,2,FALSE)</f>
        <v>73.77</v>
      </c>
      <c r="H378" s="106">
        <f>VLOOKUP(A378,天然气期货!A:B,2,FALSE)</f>
        <v>2.57</v>
      </c>
      <c r="I378" s="111">
        <f>VLOOKUP(A378,黄金期货!A:B,2,FALSE)</f>
        <v>1932.5</v>
      </c>
      <c r="J378" s="106">
        <f>VLOOKUP(A378,Sheet2!A:C,3,FALSE)</f>
        <v>870</v>
      </c>
      <c r="L378" s="112">
        <f t="shared" si="20"/>
        <v>0.0481927710843374</v>
      </c>
    </row>
    <row r="379" spans="1:12">
      <c r="A379" s="109">
        <v>45117</v>
      </c>
      <c r="B379" s="106">
        <f>VLOOKUP(A379,Sheet2!A:C,2,FALSE)</f>
        <v>191</v>
      </c>
      <c r="C379" s="106">
        <v>3200</v>
      </c>
      <c r="D379" s="106">
        <f>VLOOKUP(A379,Sheet4!A:C,2,FALSE)</f>
        <v>907</v>
      </c>
      <c r="E379" s="106">
        <f>VLOOKUP(A379,Sheet5!A:B,2,FALSE)</f>
        <v>7.232</v>
      </c>
      <c r="F379" s="106">
        <f>VLOOKUP(A379,Sheet6!A:B,2,FALSE)</f>
        <v>101.97</v>
      </c>
      <c r="G379" s="106">
        <f>VLOOKUP(A379,WTI原油期货!A:B,2,FALSE)</f>
        <v>72.95</v>
      </c>
      <c r="H379" s="106">
        <f>VLOOKUP(A379,天然气期货!A:B,2,FALSE)</f>
        <v>2.641</v>
      </c>
      <c r="I379" s="111">
        <f>VLOOKUP(A379,黄金期货!A:B,2,FALSE)</f>
        <v>1931</v>
      </c>
      <c r="J379" s="106">
        <f>VLOOKUP(A379,Sheet2!A:C,3,FALSE)</f>
        <v>890</v>
      </c>
      <c r="L379" s="112">
        <f t="shared" si="20"/>
        <v>0.0229885057471264</v>
      </c>
    </row>
    <row r="380" spans="1:12">
      <c r="A380" s="109">
        <v>45118</v>
      </c>
      <c r="B380" s="106">
        <f>VLOOKUP(A380,Sheet2!A:C,2,FALSE)</f>
        <v>191</v>
      </c>
      <c r="C380" s="106">
        <v>3200</v>
      </c>
      <c r="D380" s="106">
        <f>VLOOKUP(A380,Sheet4!A:C,2,FALSE)</f>
        <v>909</v>
      </c>
      <c r="E380" s="106">
        <f>VLOOKUP(A380,Sheet5!A:B,2,FALSE)</f>
        <v>7.2102</v>
      </c>
      <c r="F380" s="106">
        <f>VLOOKUP(A380,Sheet6!A:B,2,FALSE)</f>
        <v>101.73</v>
      </c>
      <c r="G380" s="106">
        <f>VLOOKUP(A380,WTI原油期货!A:B,2,FALSE)</f>
        <v>74.71</v>
      </c>
      <c r="H380" s="106">
        <f>VLOOKUP(A380,天然气期货!A:B,2,FALSE)</f>
        <v>2.692</v>
      </c>
      <c r="I380" s="111">
        <f>VLOOKUP(A380,黄金期货!A:B,2,FALSE)</f>
        <v>1937.1</v>
      </c>
      <c r="J380" s="106">
        <f>VLOOKUP(A380,Sheet2!A:C,3,FALSE)</f>
        <v>900</v>
      </c>
      <c r="L380" s="112">
        <f t="shared" si="20"/>
        <v>0.0112359550561798</v>
      </c>
    </row>
    <row r="381" spans="1:12">
      <c r="A381" s="109">
        <v>45119</v>
      </c>
      <c r="B381" s="106">
        <f>VLOOKUP(A381,Sheet2!A:C,2,FALSE)</f>
        <v>196</v>
      </c>
      <c r="C381" s="106">
        <v>3200</v>
      </c>
      <c r="D381" s="106">
        <f>VLOOKUP(A381,Sheet4!A:C,2,FALSE)</f>
        <v>911</v>
      </c>
      <c r="E381" s="106">
        <f>VLOOKUP(A381,Sheet5!A:B,2,FALSE)</f>
        <v>7.1663</v>
      </c>
      <c r="F381" s="106">
        <f>VLOOKUP(A381,Sheet6!A:B,2,FALSE)</f>
        <v>100.52</v>
      </c>
      <c r="G381" s="106">
        <f>VLOOKUP(A381,WTI原油期货!A:B,2,FALSE)</f>
        <v>75.54</v>
      </c>
      <c r="H381" s="106">
        <f>VLOOKUP(A381,天然气期货!A:B,2,FALSE)</f>
        <v>2.597</v>
      </c>
      <c r="I381" s="111">
        <f>VLOOKUP(A381,黄金期货!A:B,2,FALSE)</f>
        <v>1961.7</v>
      </c>
      <c r="J381" s="106">
        <f>VLOOKUP(A381,Sheet2!A:C,3,FALSE)</f>
        <v>910</v>
      </c>
      <c r="L381" s="112">
        <f t="shared" si="20"/>
        <v>0.0111111111111111</v>
      </c>
    </row>
    <row r="382" spans="1:12">
      <c r="A382" s="109">
        <v>45120</v>
      </c>
      <c r="B382" s="106">
        <f>VLOOKUP(A382,Sheet2!A:C,2,FALSE)</f>
        <v>195</v>
      </c>
      <c r="C382" s="106">
        <v>3200</v>
      </c>
      <c r="D382" s="106">
        <f>VLOOKUP(A382,Sheet4!A:C,2,FALSE)</f>
        <v>913</v>
      </c>
      <c r="E382" s="106">
        <f>VLOOKUP(A382,Sheet5!A:B,2,FALSE)</f>
        <v>7.151</v>
      </c>
      <c r="F382" s="106">
        <f>VLOOKUP(A382,Sheet6!A:B,2,FALSE)</f>
        <v>99.77</v>
      </c>
      <c r="G382" s="106">
        <f>VLOOKUP(A382,WTI原油期货!A:B,2,FALSE)</f>
        <v>76.76</v>
      </c>
      <c r="H382" s="106">
        <f>VLOOKUP(A382,天然气期货!A:B,2,FALSE)</f>
        <v>2.534</v>
      </c>
      <c r="I382" s="111">
        <f>VLOOKUP(A382,黄金期货!A:B,2,FALSE)</f>
        <v>1963.8</v>
      </c>
      <c r="J382" s="106">
        <f>VLOOKUP(A382,Sheet2!A:C,3,FALSE)</f>
        <v>910</v>
      </c>
      <c r="L382" s="112">
        <f t="shared" si="20"/>
        <v>0</v>
      </c>
    </row>
    <row r="383" spans="1:12">
      <c r="A383" s="109">
        <v>45121</v>
      </c>
      <c r="B383" s="106">
        <f>VLOOKUP(A383,Sheet2!A:C,2,FALSE)</f>
        <v>195</v>
      </c>
      <c r="C383" s="106">
        <v>3200</v>
      </c>
      <c r="D383" s="106">
        <f>VLOOKUP(A383,Sheet4!A:C,2,FALSE)</f>
        <v>916</v>
      </c>
      <c r="E383" s="106">
        <f>VLOOKUP(A383,Sheet5!A:B,2,FALSE)</f>
        <v>7.1413</v>
      </c>
      <c r="F383" s="106">
        <f>VLOOKUP(A383,Sheet6!A:B,2,FALSE)</f>
        <v>99.91</v>
      </c>
      <c r="G383" s="106">
        <f>VLOOKUP(A383,WTI原油期货!A:B,2,FALSE)</f>
        <v>75.32</v>
      </c>
      <c r="H383" s="106">
        <f>VLOOKUP(A383,天然气期货!A:B,2,FALSE)</f>
        <v>2.53</v>
      </c>
      <c r="I383" s="111">
        <f>VLOOKUP(A383,黄金期货!A:B,2,FALSE)</f>
        <v>1964.4</v>
      </c>
      <c r="J383" s="106">
        <f>VLOOKUP(A383,Sheet2!A:C,3,FALSE)</f>
        <v>910</v>
      </c>
      <c r="L383" s="112">
        <f t="shared" si="20"/>
        <v>0</v>
      </c>
    </row>
    <row r="384" spans="1:12">
      <c r="A384" s="109">
        <v>45124</v>
      </c>
      <c r="B384" s="106">
        <f>VLOOKUP(A384,Sheet2!A:C,2,FALSE)</f>
        <v>201</v>
      </c>
      <c r="C384" s="106">
        <v>3200</v>
      </c>
      <c r="D384" s="106">
        <f>VLOOKUP(A384,Sheet4!A:C,2,FALSE)</f>
        <v>917</v>
      </c>
      <c r="E384" s="106">
        <f>VLOOKUP(A384,Sheet5!A:B,2,FALSE)</f>
        <v>7.1721</v>
      </c>
      <c r="F384" s="106">
        <f>VLOOKUP(A384,Sheet6!A:B,2,FALSE)</f>
        <v>99.84</v>
      </c>
      <c r="G384" s="106">
        <f>VLOOKUP(A384,WTI原油期货!A:B,2,FALSE)</f>
        <v>74.08</v>
      </c>
      <c r="H384" s="106">
        <f>VLOOKUP(A384,天然气期货!A:B,2,FALSE)</f>
        <v>2.504</v>
      </c>
      <c r="I384" s="111">
        <f>VLOOKUP(A384,黄金期货!A:B,2,FALSE)</f>
        <v>1956.4</v>
      </c>
      <c r="J384" s="106">
        <f>VLOOKUP(A384,Sheet2!A:C,3,FALSE)</f>
        <v>910</v>
      </c>
      <c r="L384" s="112">
        <f t="shared" si="20"/>
        <v>0</v>
      </c>
    </row>
    <row r="385" spans="1:12">
      <c r="A385" s="109">
        <v>45125</v>
      </c>
      <c r="B385" s="106">
        <f>VLOOKUP(A385,Sheet2!A:C,2,FALSE)</f>
        <v>200</v>
      </c>
      <c r="C385" s="106">
        <v>3200</v>
      </c>
      <c r="D385" s="106">
        <f>VLOOKUP(A385,Sheet4!A:C,2,FALSE)</f>
        <v>918</v>
      </c>
      <c r="E385" s="106">
        <f>VLOOKUP(A385,Sheet5!A:B,2,FALSE)</f>
        <v>7.1802</v>
      </c>
      <c r="F385" s="106">
        <f>VLOOKUP(A385,Sheet6!A:B,2,FALSE)</f>
        <v>99.94</v>
      </c>
      <c r="G385" s="106">
        <f>VLOOKUP(A385,WTI原油期货!A:B,2,FALSE)</f>
        <v>75.66</v>
      </c>
      <c r="H385" s="106">
        <f>VLOOKUP(A385,天然气期货!A:B,2,FALSE)</f>
        <v>2.618</v>
      </c>
      <c r="I385" s="111">
        <f>VLOOKUP(A385,黄金期货!A:B,2,FALSE)</f>
        <v>1980.8</v>
      </c>
      <c r="J385" s="106">
        <f>VLOOKUP(A385,Sheet2!A:C,3,FALSE)</f>
        <v>900</v>
      </c>
      <c r="L385" s="112">
        <f t="shared" si="20"/>
        <v>-0.010989010989011</v>
      </c>
    </row>
    <row r="386" spans="1:12">
      <c r="A386" s="109">
        <v>45126</v>
      </c>
      <c r="B386" s="106">
        <f>VLOOKUP(A386,Sheet2!A:C,2,FALSE)</f>
        <v>201</v>
      </c>
      <c r="C386" s="106">
        <v>3200</v>
      </c>
      <c r="D386" s="106">
        <f>VLOOKUP(A386,Sheet4!A:C,2,FALSE)</f>
        <v>920</v>
      </c>
      <c r="E386" s="106">
        <f>VLOOKUP(A386,Sheet5!A:B,2,FALSE)</f>
        <v>7.227</v>
      </c>
      <c r="F386" s="106">
        <f>VLOOKUP(A386,Sheet6!A:B,2,FALSE)</f>
        <v>100.28</v>
      </c>
      <c r="G386" s="106">
        <f>VLOOKUP(A386,WTI原油期货!A:B,2,FALSE)</f>
        <v>75.29</v>
      </c>
      <c r="H386" s="106">
        <f>VLOOKUP(A386,天然气期货!A:B,2,FALSE)</f>
        <v>2.585</v>
      </c>
      <c r="I386" s="111">
        <f>VLOOKUP(A386,黄金期货!A:B,2,FALSE)</f>
        <v>1980.8</v>
      </c>
      <c r="J386" s="106">
        <f>VLOOKUP(A386,Sheet2!A:C,3,FALSE)</f>
        <v>900</v>
      </c>
      <c r="L386" s="112">
        <f t="shared" si="20"/>
        <v>0</v>
      </c>
    </row>
    <row r="387" spans="1:12">
      <c r="A387" s="109">
        <v>45127</v>
      </c>
      <c r="B387" s="106">
        <f>VLOOKUP(A387,Sheet2!A:C,2,FALSE)</f>
        <v>203</v>
      </c>
      <c r="C387" s="106">
        <v>3200</v>
      </c>
      <c r="D387" s="106">
        <f>VLOOKUP(A387,Sheet4!A:C,2,FALSE)</f>
        <v>922</v>
      </c>
      <c r="E387" s="106">
        <f>VLOOKUP(A387,Sheet5!A:B,2,FALSE)</f>
        <v>7.1776</v>
      </c>
      <c r="F387" s="106">
        <f>VLOOKUP(A387,Sheet6!A:B,2,FALSE)</f>
        <v>100.88</v>
      </c>
      <c r="G387" s="106">
        <f>VLOOKUP(A387,WTI原油期货!A:B,2,FALSE)</f>
        <v>75.65</v>
      </c>
      <c r="H387" s="106">
        <f>VLOOKUP(A387,天然气期货!A:B,2,FALSE)</f>
        <v>2.731</v>
      </c>
      <c r="I387" s="111">
        <f>VLOOKUP(A387,黄金期货!A:B,2,FALSE)</f>
        <v>1970.9</v>
      </c>
      <c r="J387" s="106">
        <f>VLOOKUP(A387,Sheet2!A:C,3,FALSE)</f>
        <v>890</v>
      </c>
      <c r="L387" s="112">
        <f t="shared" ref="L387:L450" si="21">(J387-J386)/J386</f>
        <v>-0.0111111111111111</v>
      </c>
    </row>
    <row r="388" spans="1:12">
      <c r="A388" s="109">
        <v>45128</v>
      </c>
      <c r="B388" s="106">
        <f>VLOOKUP(A388,Sheet2!A:C,2,FALSE)</f>
        <v>202</v>
      </c>
      <c r="C388" s="106">
        <v>3180</v>
      </c>
      <c r="D388" s="106">
        <f>VLOOKUP(A388,Sheet4!A:C,2,FALSE)</f>
        <v>923</v>
      </c>
      <c r="E388" s="106">
        <f>VLOOKUP(A388,Sheet5!A:B,2,FALSE)</f>
        <v>7.1878</v>
      </c>
      <c r="F388" s="106">
        <f>VLOOKUP(A388,Sheet6!A:B,2,FALSE)</f>
        <v>101.07</v>
      </c>
      <c r="G388" s="106">
        <f>VLOOKUP(A388,WTI原油期货!A:B,2,FALSE)</f>
        <v>76.78</v>
      </c>
      <c r="H388" s="106">
        <f>VLOOKUP(A388,天然气期货!A:B,2,FALSE)</f>
        <v>2.707</v>
      </c>
      <c r="I388" s="111">
        <f>VLOOKUP(A388,黄金期货!A:B,2,FALSE)</f>
        <v>1966.6</v>
      </c>
      <c r="J388" s="106">
        <f>VLOOKUP(A388,Sheet2!A:C,3,FALSE)</f>
        <v>890</v>
      </c>
      <c r="L388" s="112">
        <f t="shared" si="21"/>
        <v>0</v>
      </c>
    </row>
    <row r="389" spans="1:12">
      <c r="A389" s="109">
        <v>45131</v>
      </c>
      <c r="B389" s="106">
        <f>VLOOKUP(A389,Sheet2!A:C,2,FALSE)</f>
        <v>213</v>
      </c>
      <c r="C389" s="106">
        <v>3180</v>
      </c>
      <c r="D389" s="106">
        <f>VLOOKUP(A389,Sheet4!A:C,2,FALSE)</f>
        <v>924</v>
      </c>
      <c r="E389" s="106">
        <f>VLOOKUP(A389,Sheet5!A:B,2,FALSE)</f>
        <v>7.1865</v>
      </c>
      <c r="F389" s="106">
        <f>VLOOKUP(A389,Sheet6!A:B,2,FALSE)</f>
        <v>101.35</v>
      </c>
      <c r="G389" s="106">
        <f>VLOOKUP(A389,WTI原油期货!A:B,2,FALSE)</f>
        <v>78.4</v>
      </c>
      <c r="H389" s="106">
        <f>VLOOKUP(A389,天然气期货!A:B,2,FALSE)</f>
        <v>2.688</v>
      </c>
      <c r="I389" s="111">
        <f>VLOOKUP(A389,黄金期货!A:B,2,FALSE)</f>
        <v>1962.2</v>
      </c>
      <c r="J389" s="106">
        <f>VLOOKUP(A389,Sheet2!A:C,3,FALSE)</f>
        <v>900</v>
      </c>
      <c r="L389" s="112">
        <f t="shared" si="21"/>
        <v>0.0112359550561798</v>
      </c>
    </row>
    <row r="390" spans="1:12">
      <c r="A390" s="109">
        <v>45132</v>
      </c>
      <c r="B390" s="106">
        <f>VLOOKUP(A390,Sheet2!A:C,2,FALSE)</f>
        <v>212</v>
      </c>
      <c r="C390" s="106">
        <v>3180</v>
      </c>
      <c r="D390" s="106">
        <f>VLOOKUP(A390,Sheet4!A:C,2,FALSE)</f>
        <v>926</v>
      </c>
      <c r="E390" s="106">
        <f>VLOOKUP(A390,Sheet5!A:B,2,FALSE)</f>
        <v>7.1364</v>
      </c>
      <c r="F390" s="106">
        <f>VLOOKUP(A390,Sheet6!A:B,2,FALSE)</f>
        <v>101.35</v>
      </c>
      <c r="G390" s="106">
        <f>VLOOKUP(A390,WTI原油期货!A:B,2,FALSE)</f>
        <v>79.2</v>
      </c>
      <c r="H390" s="106">
        <f>VLOOKUP(A390,天然气期货!A:B,2,FALSE)</f>
        <v>2.747</v>
      </c>
      <c r="I390" s="111">
        <f>VLOOKUP(A390,黄金期货!A:B,2,FALSE)</f>
        <v>1963.7</v>
      </c>
      <c r="J390" s="106">
        <f>VLOOKUP(A390,Sheet2!A:C,3,FALSE)</f>
        <v>910</v>
      </c>
      <c r="L390" s="112">
        <f t="shared" si="21"/>
        <v>0.0111111111111111</v>
      </c>
    </row>
    <row r="391" spans="1:12">
      <c r="A391" s="109">
        <v>45133</v>
      </c>
      <c r="B391" s="106">
        <f>VLOOKUP(A391,Sheet2!A:C,2,FALSE)</f>
        <v>218</v>
      </c>
      <c r="C391" s="106">
        <v>3180</v>
      </c>
      <c r="D391" s="106">
        <f>VLOOKUP(A391,Sheet4!A:C,2,FALSE)</f>
        <v>929</v>
      </c>
      <c r="E391" s="106">
        <f>VLOOKUP(A391,Sheet5!A:B,2,FALSE)</f>
        <v>7.151</v>
      </c>
      <c r="F391" s="106">
        <f>VLOOKUP(A391,Sheet6!A:B,2,FALSE)</f>
        <v>100.89</v>
      </c>
      <c r="G391" s="106">
        <f>VLOOKUP(A391,WTI原油期货!A:B,2,FALSE)</f>
        <v>78.4</v>
      </c>
      <c r="H391" s="106">
        <f>VLOOKUP(A391,天然气期货!A:B,2,FALSE)</f>
        <v>2.693</v>
      </c>
      <c r="I391" s="111">
        <f>VLOOKUP(A391,黄金期货!A:B,2,FALSE)</f>
        <v>1970.1</v>
      </c>
      <c r="J391" s="106">
        <f>VLOOKUP(A391,Sheet2!A:C,3,FALSE)</f>
        <v>940</v>
      </c>
      <c r="L391" s="112">
        <f t="shared" si="21"/>
        <v>0.032967032967033</v>
      </c>
    </row>
    <row r="392" spans="1:12">
      <c r="A392" s="109">
        <v>45134</v>
      </c>
      <c r="B392" s="106">
        <f>VLOOKUP(A392,Sheet2!A:C,2,FALSE)</f>
        <v>225</v>
      </c>
      <c r="C392" s="106">
        <v>3180</v>
      </c>
      <c r="D392" s="106">
        <f>VLOOKUP(A392,Sheet4!A:C,2,FALSE)</f>
        <v>932</v>
      </c>
      <c r="E392" s="106">
        <f>VLOOKUP(A392,Sheet5!A:B,2,FALSE)</f>
        <v>7.1742</v>
      </c>
      <c r="F392" s="106">
        <f>VLOOKUP(A392,Sheet6!A:B,2,FALSE)</f>
        <v>101.77</v>
      </c>
      <c r="G392" s="106">
        <f>VLOOKUP(A392,WTI原油期货!A:B,2,FALSE)</f>
        <v>79.63</v>
      </c>
      <c r="H392" s="106">
        <f>VLOOKUP(A392,天然气期货!A:B,2,FALSE)</f>
        <v>2.595</v>
      </c>
      <c r="I392" s="111">
        <f>VLOOKUP(A392,黄金期货!A:B,2,FALSE)</f>
        <v>1945.7</v>
      </c>
      <c r="J392" s="106">
        <f>VLOOKUP(A392,Sheet2!A:C,3,FALSE)</f>
        <v>950</v>
      </c>
      <c r="L392" s="112">
        <f t="shared" si="21"/>
        <v>0.0106382978723404</v>
      </c>
    </row>
    <row r="393" spans="1:12">
      <c r="A393" s="109">
        <v>45135</v>
      </c>
      <c r="B393" s="106">
        <f>VLOOKUP(A393,Sheet2!A:C,2,FALSE)</f>
        <v>225</v>
      </c>
      <c r="C393" s="106">
        <v>3200</v>
      </c>
      <c r="D393" s="106">
        <f>VLOOKUP(A393,Sheet4!A:C,2,FALSE)</f>
        <v>933</v>
      </c>
      <c r="E393" s="106">
        <f>VLOOKUP(A393,Sheet5!A:B,2,FALSE)</f>
        <v>7.1494</v>
      </c>
      <c r="F393" s="106">
        <f>VLOOKUP(A393,Sheet6!A:B,2,FALSE)</f>
        <v>101.62</v>
      </c>
      <c r="G393" s="106">
        <f>VLOOKUP(A393,WTI原油期货!A:B,2,FALSE)</f>
        <v>80.18</v>
      </c>
      <c r="H393" s="106">
        <f>VLOOKUP(A393,天然气期货!A:B,2,FALSE)</f>
        <v>2.753</v>
      </c>
      <c r="I393" s="111">
        <f>VLOOKUP(A393,黄金期货!A:B,2,FALSE)</f>
        <v>1970.1</v>
      </c>
      <c r="J393" s="106">
        <f>VLOOKUP(A393,Sheet2!A:C,3,FALSE)</f>
        <v>980</v>
      </c>
      <c r="L393" s="112">
        <f t="shared" si="21"/>
        <v>0.0315789473684211</v>
      </c>
    </row>
    <row r="394" spans="1:12">
      <c r="A394" s="109">
        <v>45138</v>
      </c>
      <c r="B394" s="106">
        <f>VLOOKUP(A394,Sheet2!A:C,2,FALSE)</f>
        <v>227</v>
      </c>
      <c r="C394" s="106">
        <v>3200</v>
      </c>
      <c r="D394" s="106">
        <f>VLOOKUP(A394,Sheet4!A:C,2,FALSE)</f>
        <v>934</v>
      </c>
      <c r="E394" s="106">
        <f>VLOOKUP(A394,Sheet5!A:B,2,FALSE)</f>
        <v>7.1428</v>
      </c>
      <c r="F394" s="106">
        <f>VLOOKUP(A394,Sheet6!A:B,2,FALSE)</f>
        <v>101.86</v>
      </c>
      <c r="G394" s="106">
        <f>VLOOKUP(A394,WTI原油期货!A:B,2,FALSE)</f>
        <v>81.32</v>
      </c>
      <c r="H394" s="106">
        <f>VLOOKUP(A394,天然气期货!A:B,2,FALSE)</f>
        <v>2.741</v>
      </c>
      <c r="I394" s="111">
        <f>VLOOKUP(A394,黄金期货!A:B,2,FALSE)</f>
        <v>1979.6</v>
      </c>
      <c r="J394" s="106">
        <f>VLOOKUP(A394,Sheet2!A:C,3,FALSE)</f>
        <v>1000</v>
      </c>
      <c r="L394" s="112">
        <f t="shared" si="21"/>
        <v>0.0204081632653061</v>
      </c>
    </row>
    <row r="395" spans="1:12">
      <c r="A395" s="109">
        <v>45139</v>
      </c>
      <c r="B395" s="106">
        <f>VLOOKUP(A395,Sheet2!A:C,2,FALSE)</f>
        <v>227</v>
      </c>
      <c r="C395" s="106">
        <v>3250</v>
      </c>
      <c r="D395" s="106">
        <f>VLOOKUP(A395,Sheet4!A:C,2,FALSE)</f>
        <v>938</v>
      </c>
      <c r="E395" s="106">
        <f>VLOOKUP(A395,Sheet5!A:B,2,FALSE)</f>
        <v>7.1778</v>
      </c>
      <c r="F395" s="106">
        <f>VLOOKUP(A395,Sheet6!A:B,2,FALSE)</f>
        <v>102.3</v>
      </c>
      <c r="G395" s="106">
        <f>VLOOKUP(A395,WTI原油期货!A:B,2,FALSE)</f>
        <v>80.92</v>
      </c>
      <c r="H395" s="106">
        <f>VLOOKUP(A395,天然气期货!A:B,2,FALSE)</f>
        <v>2.672</v>
      </c>
      <c r="I395" s="111">
        <f>VLOOKUP(A395,黄金期货!A:B,2,FALSE)</f>
        <v>1949.7</v>
      </c>
      <c r="J395" s="106">
        <f>VLOOKUP(A395,Sheet2!A:C,3,FALSE)</f>
        <v>1050</v>
      </c>
      <c r="L395" s="113">
        <f t="shared" si="21"/>
        <v>0.05</v>
      </c>
    </row>
    <row r="396" spans="1:12">
      <c r="A396" s="109">
        <v>45140</v>
      </c>
      <c r="B396" s="106">
        <f>VLOOKUP(A396,Sheet2!A:C,2,FALSE)</f>
        <v>225</v>
      </c>
      <c r="C396" s="106">
        <v>3250</v>
      </c>
      <c r="D396" s="106">
        <f>VLOOKUP(A396,Sheet4!A:C,2,FALSE)</f>
        <v>940</v>
      </c>
      <c r="E396" s="106">
        <f>VLOOKUP(A396,Sheet5!A:B,2,FALSE)</f>
        <v>7.1916</v>
      </c>
      <c r="F396" s="106">
        <f>VLOOKUP(A396,Sheet6!A:B,2,FALSE)</f>
        <v>102.59</v>
      </c>
      <c r="G396" s="106">
        <f>VLOOKUP(A396,WTI原油期货!A:B,2,FALSE)</f>
        <v>79.13</v>
      </c>
      <c r="H396" s="106">
        <f>VLOOKUP(A396,天然气期货!A:B,2,FALSE)</f>
        <v>2.586</v>
      </c>
      <c r="I396" s="111">
        <f>VLOOKUP(A396,黄金期货!A:B,2,FALSE)</f>
        <v>1946</v>
      </c>
      <c r="J396" s="106">
        <f>VLOOKUP(A396,Sheet2!A:C,3,FALSE)</f>
        <v>1100</v>
      </c>
      <c r="L396" s="112">
        <f t="shared" si="21"/>
        <v>0.0476190476190476</v>
      </c>
    </row>
    <row r="397" spans="1:12">
      <c r="A397" s="109">
        <v>45141</v>
      </c>
      <c r="B397" s="106">
        <f>VLOOKUP(A397,Sheet2!A:C,2,FALSE)</f>
        <v>229</v>
      </c>
      <c r="C397" s="106">
        <v>3300</v>
      </c>
      <c r="D397" s="106">
        <f>VLOOKUP(A397,Sheet4!A:C,2,FALSE)</f>
        <v>941</v>
      </c>
      <c r="E397" s="106">
        <f>VLOOKUP(A397,Sheet5!A:B,2,FALSE)</f>
        <v>7.1663</v>
      </c>
      <c r="F397" s="106">
        <f>VLOOKUP(A397,Sheet6!A:B,2,FALSE)</f>
        <v>102.54</v>
      </c>
      <c r="G397" s="106">
        <f>VLOOKUP(A397,WTI原油期货!A:B,2,FALSE)</f>
        <v>81.08</v>
      </c>
      <c r="H397" s="106">
        <f>VLOOKUP(A397,天然气期货!A:B,2,FALSE)</f>
        <v>2.67</v>
      </c>
      <c r="I397" s="111">
        <f>VLOOKUP(A397,黄金期货!A:B,2,FALSE)</f>
        <v>1939.9</v>
      </c>
      <c r="J397" s="106">
        <f>VLOOKUP(A397,Sheet2!A:C,3,FALSE)</f>
        <v>1090</v>
      </c>
      <c r="L397" s="112">
        <f t="shared" si="21"/>
        <v>-0.00909090909090909</v>
      </c>
    </row>
    <row r="398" spans="1:12">
      <c r="A398" s="109">
        <v>45142</v>
      </c>
      <c r="B398" s="106">
        <f>VLOOKUP(A398,Sheet2!A:C,2,FALSE)</f>
        <v>228</v>
      </c>
      <c r="C398" s="106">
        <v>3300</v>
      </c>
      <c r="D398" s="106">
        <f>VLOOKUP(A398,Sheet4!A:C,2,FALSE)</f>
        <v>944</v>
      </c>
      <c r="E398" s="106">
        <f>VLOOKUP(A398,Sheet5!A:B,2,FALSE)</f>
        <v>7.1708</v>
      </c>
      <c r="F398" s="106">
        <f>VLOOKUP(A398,Sheet6!A:B,2,FALSE)</f>
        <v>102.02</v>
      </c>
      <c r="G398" s="106">
        <f>VLOOKUP(A398,WTI原油期货!A:B,2,FALSE)</f>
        <v>82.27</v>
      </c>
      <c r="H398" s="106">
        <f>VLOOKUP(A398,天然气期货!A:B,2,FALSE)</f>
        <v>2.681</v>
      </c>
      <c r="I398" s="111">
        <f>VLOOKUP(A398,黄金期货!A:B,2,FALSE)</f>
        <v>1946.9</v>
      </c>
      <c r="J398" s="106">
        <f>VLOOKUP(A398,Sheet2!A:C,3,FALSE)</f>
        <v>1080</v>
      </c>
      <c r="L398" s="112">
        <f t="shared" si="21"/>
        <v>-0.00917431192660551</v>
      </c>
    </row>
    <row r="399" spans="1:12">
      <c r="A399" s="109">
        <v>45145</v>
      </c>
      <c r="B399" s="106">
        <f>VLOOKUP(A399,Sheet2!A:C,2,FALSE)</f>
        <v>229</v>
      </c>
      <c r="C399" s="106">
        <v>3300</v>
      </c>
      <c r="D399" s="106">
        <f>VLOOKUP(A399,Sheet4!A:C,2,FALSE)</f>
        <v>946</v>
      </c>
      <c r="E399" s="106">
        <f>VLOOKUP(A399,Sheet5!A:B,2,FALSE)</f>
        <v>7.1931</v>
      </c>
      <c r="F399" s="106">
        <f>VLOOKUP(A399,Sheet6!A:B,2,FALSE)</f>
        <v>102.05</v>
      </c>
      <c r="G399" s="106">
        <f>VLOOKUP(A399,WTI原油期货!A:B,2,FALSE)</f>
        <v>81.49</v>
      </c>
      <c r="H399" s="106">
        <f>VLOOKUP(A399,天然气期货!A:B,2,FALSE)</f>
        <v>2.813</v>
      </c>
      <c r="I399" s="111">
        <f>VLOOKUP(A399,黄金期货!A:B,2,FALSE)</f>
        <v>1940.7</v>
      </c>
      <c r="J399" s="106">
        <f>VLOOKUP(A399,Sheet2!A:C,3,FALSE)</f>
        <v>1030</v>
      </c>
      <c r="L399" s="112">
        <f t="shared" si="21"/>
        <v>-0.0462962962962963</v>
      </c>
    </row>
    <row r="400" spans="1:12">
      <c r="A400" s="109">
        <v>45146</v>
      </c>
      <c r="B400" s="106">
        <f>VLOOKUP(A400,Sheet2!A:C,2,FALSE)</f>
        <v>223</v>
      </c>
      <c r="C400" s="106">
        <v>3300</v>
      </c>
      <c r="D400" s="106">
        <f>VLOOKUP(A400,Sheet4!A:C,2,FALSE)</f>
        <v>947</v>
      </c>
      <c r="E400" s="106">
        <f>VLOOKUP(A400,Sheet5!A:B,2,FALSE)</f>
        <v>7.2177</v>
      </c>
      <c r="F400" s="106">
        <f>VLOOKUP(A400,Sheet6!A:B,2,FALSE)</f>
        <v>102.53</v>
      </c>
      <c r="G400" s="106">
        <f>VLOOKUP(A400,WTI原油期货!A:B,2,FALSE)</f>
        <v>82.36</v>
      </c>
      <c r="H400" s="106">
        <f>VLOOKUP(A400,天然气期货!A:B,2,FALSE)</f>
        <v>2.864</v>
      </c>
      <c r="I400" s="111">
        <f>VLOOKUP(A400,黄金期货!A:B,2,FALSE)</f>
        <v>1930.8</v>
      </c>
      <c r="J400" s="106">
        <f>VLOOKUP(A400,Sheet2!A:C,3,FALSE)</f>
        <v>1040</v>
      </c>
      <c r="L400" s="112">
        <f t="shared" si="21"/>
        <v>0.00970873786407767</v>
      </c>
    </row>
    <row r="401" spans="1:12">
      <c r="A401" s="109">
        <v>45147</v>
      </c>
      <c r="B401" s="106">
        <f>VLOOKUP(A401,Sheet2!A:C,2,FALSE)</f>
        <v>231</v>
      </c>
      <c r="C401" s="106">
        <v>3350</v>
      </c>
      <c r="D401" s="106">
        <f>VLOOKUP(A401,Sheet4!A:C,2,FALSE)</f>
        <v>947</v>
      </c>
      <c r="E401" s="106">
        <f>VLOOKUP(A401,Sheet5!A:B,2,FALSE)</f>
        <v>7.21</v>
      </c>
      <c r="F401" s="106">
        <f>VLOOKUP(A401,Sheet6!A:B,2,FALSE)</f>
        <v>102.49</v>
      </c>
      <c r="G401" s="106">
        <f>VLOOKUP(A401,WTI原油期货!A:B,2,FALSE)</f>
        <v>83.69</v>
      </c>
      <c r="H401" s="106">
        <f>VLOOKUP(A401,天然气期货!A:B,2,FALSE)</f>
        <v>3.053</v>
      </c>
      <c r="I401" s="111">
        <f>VLOOKUP(A401,黄金期货!A:B,2,FALSE)</f>
        <v>1921.9</v>
      </c>
      <c r="J401" s="106">
        <f>VLOOKUP(A401,Sheet2!A:C,3,FALSE)</f>
        <v>1060</v>
      </c>
      <c r="L401" s="112">
        <f t="shared" si="21"/>
        <v>0.0192307692307692</v>
      </c>
    </row>
    <row r="402" spans="1:12">
      <c r="A402" s="109">
        <v>45148</v>
      </c>
      <c r="B402" s="106">
        <f>VLOOKUP(A402,Sheet2!A:C,2,FALSE)</f>
        <v>232</v>
      </c>
      <c r="C402" s="106">
        <v>3350</v>
      </c>
      <c r="D402" s="106">
        <f>VLOOKUP(A402,Sheet4!A:C,2,FALSE)</f>
        <v>948</v>
      </c>
      <c r="E402" s="106">
        <f>VLOOKUP(A402,Sheet5!A:B,2,FALSE)</f>
        <v>7.218</v>
      </c>
      <c r="F402" s="106">
        <f>VLOOKUP(A402,Sheet6!A:B,2,FALSE)</f>
        <v>102.52</v>
      </c>
      <c r="G402" s="106">
        <f>VLOOKUP(A402,WTI原油期货!A:B,2,FALSE)</f>
        <v>82.29</v>
      </c>
      <c r="H402" s="106">
        <f>VLOOKUP(A402,天然气期货!A:B,2,FALSE)</f>
        <v>2.87</v>
      </c>
      <c r="I402" s="111">
        <f>VLOOKUP(A402,黄金期货!A:B,2,FALSE)</f>
        <v>1920.1</v>
      </c>
      <c r="J402" s="106">
        <f>VLOOKUP(A402,Sheet2!A:C,3,FALSE)</f>
        <v>1090</v>
      </c>
      <c r="L402" s="112">
        <f t="shared" si="21"/>
        <v>0.0283018867924528</v>
      </c>
    </row>
    <row r="403" spans="1:12">
      <c r="A403" s="109">
        <v>45149</v>
      </c>
      <c r="B403" s="106">
        <f>VLOOKUP(A403,Sheet2!A:C,2,FALSE)</f>
        <v>234</v>
      </c>
      <c r="C403" s="106">
        <v>3450</v>
      </c>
      <c r="D403" s="106">
        <f>VLOOKUP(A403,Sheet4!A:C,2,FALSE)</f>
        <v>950</v>
      </c>
      <c r="E403" s="106">
        <f>VLOOKUP(A403,Sheet5!A:B,2,FALSE)</f>
        <v>7.2383</v>
      </c>
      <c r="F403" s="106">
        <f>VLOOKUP(A403,Sheet6!A:B,2,FALSE)</f>
        <v>102.84</v>
      </c>
      <c r="G403" s="106">
        <f>VLOOKUP(A403,WTI原油期货!A:B,2,FALSE)</f>
        <v>82.57</v>
      </c>
      <c r="H403" s="106">
        <f>VLOOKUP(A403,天然气期货!A:B,2,FALSE)</f>
        <v>2.882</v>
      </c>
      <c r="I403" s="111">
        <f>VLOOKUP(A403,黄金期货!A:B,2,FALSE)</f>
        <v>1918</v>
      </c>
      <c r="J403" s="106">
        <f>VLOOKUP(A403,Sheet2!A:C,3,FALSE)</f>
        <v>1100</v>
      </c>
      <c r="L403" s="112">
        <f t="shared" si="21"/>
        <v>0.00917431192660551</v>
      </c>
    </row>
    <row r="404" spans="1:12">
      <c r="A404" s="109">
        <v>45152</v>
      </c>
      <c r="B404" s="106">
        <f>VLOOKUP(A404,Sheet2!A:C,2,FALSE)</f>
        <v>236</v>
      </c>
      <c r="C404" s="106">
        <v>3530</v>
      </c>
      <c r="D404" s="106">
        <f>VLOOKUP(A404,Sheet4!A:C,2,FALSE)</f>
        <v>951</v>
      </c>
      <c r="E404" s="106">
        <f>VLOOKUP(A404,Sheet5!A:B,2,FALSE)</f>
        <v>7.2598</v>
      </c>
      <c r="F404" s="106">
        <f>VLOOKUP(A404,Sheet6!A:B,2,FALSE)</f>
        <v>103.19</v>
      </c>
      <c r="G404" s="106">
        <f>VLOOKUP(A404,WTI原油期货!A:B,2,FALSE)</f>
        <v>81.92</v>
      </c>
      <c r="H404" s="106">
        <f>VLOOKUP(A404,天然气期货!A:B,2,FALSE)</f>
        <v>2.898</v>
      </c>
      <c r="I404" s="111">
        <f>VLOOKUP(A404,黄金期货!A:B,2,FALSE)</f>
        <v>1915.6</v>
      </c>
      <c r="J404" s="106">
        <f>VLOOKUP(A404,Sheet2!A:C,3,FALSE)</f>
        <v>1100</v>
      </c>
      <c r="L404" s="112">
        <f t="shared" si="21"/>
        <v>0</v>
      </c>
    </row>
    <row r="405" spans="1:12">
      <c r="A405" s="109">
        <v>45153</v>
      </c>
      <c r="B405" s="106">
        <f>VLOOKUP(A405,Sheet2!A:C,2,FALSE)</f>
        <v>240</v>
      </c>
      <c r="C405" s="106">
        <v>3530</v>
      </c>
      <c r="D405" s="106">
        <f>VLOOKUP(A405,Sheet4!A:C,2,FALSE)</f>
        <v>952</v>
      </c>
      <c r="E405" s="106">
        <f>VLOOKUP(A405,Sheet5!A:B,2,FALSE)</f>
        <v>7.2831</v>
      </c>
      <c r="F405" s="106">
        <f>VLOOKUP(A405,Sheet6!A:B,2,FALSE)</f>
        <v>103.21</v>
      </c>
      <c r="G405" s="106">
        <f>VLOOKUP(A405,WTI原油期货!A:B,2,FALSE)</f>
        <v>80.5</v>
      </c>
      <c r="H405" s="106">
        <f>VLOOKUP(A405,天然气期货!A:B,2,FALSE)</f>
        <v>2.781</v>
      </c>
      <c r="I405" s="111">
        <f>VLOOKUP(A405,黄金期货!A:B,2,FALSE)</f>
        <v>1906.9</v>
      </c>
      <c r="J405" s="106">
        <f>VLOOKUP(A405,Sheet2!A:C,3,FALSE)</f>
        <v>1110</v>
      </c>
      <c r="L405" s="112">
        <f t="shared" si="21"/>
        <v>0.00909090909090909</v>
      </c>
    </row>
    <row r="406" spans="1:12">
      <c r="A406" s="109">
        <v>45154</v>
      </c>
      <c r="B406" s="106">
        <f>VLOOKUP(A406,Sheet2!A:C,2,FALSE)</f>
        <v>242</v>
      </c>
      <c r="C406" s="106">
        <v>3530</v>
      </c>
      <c r="D406" s="106">
        <f>VLOOKUP(A406,Sheet4!A:C,2,FALSE)</f>
        <v>954</v>
      </c>
      <c r="E406" s="106">
        <f>VLOOKUP(A406,Sheet5!A:B,2,FALSE)</f>
        <v>7.2986</v>
      </c>
      <c r="F406" s="106">
        <f>VLOOKUP(A406,Sheet6!A:B,2,FALSE)</f>
        <v>103.43</v>
      </c>
      <c r="G406" s="106">
        <f>VLOOKUP(A406,WTI原油期货!A:B,2,FALSE)</f>
        <v>79.02</v>
      </c>
      <c r="H406" s="106">
        <f>VLOOKUP(A406,天然气期货!A:B,2,FALSE)</f>
        <v>2.726</v>
      </c>
      <c r="I406" s="111">
        <f>VLOOKUP(A406,黄金期货!A:B,2,FALSE)</f>
        <v>1900.2</v>
      </c>
      <c r="J406" s="106">
        <f>VLOOKUP(A406,Sheet2!A:C,3,FALSE)</f>
        <v>1125</v>
      </c>
      <c r="L406" s="112">
        <f t="shared" si="21"/>
        <v>0.0135135135135135</v>
      </c>
    </row>
    <row r="407" spans="1:12">
      <c r="A407" s="109">
        <v>45155</v>
      </c>
      <c r="B407" s="106">
        <f>VLOOKUP(A407,Sheet2!A:C,2,FALSE)</f>
        <v>245</v>
      </c>
      <c r="C407" s="106">
        <v>3550</v>
      </c>
      <c r="D407" s="106">
        <f>VLOOKUP(A407,Sheet4!A:C,2,FALSE)</f>
        <v>954</v>
      </c>
      <c r="E407" s="106">
        <f>VLOOKUP(A407,Sheet5!A:B,2,FALSE)</f>
        <v>7.2915</v>
      </c>
      <c r="F407" s="106">
        <f>VLOOKUP(A407,Sheet6!A:B,2,FALSE)</f>
        <v>103.57</v>
      </c>
      <c r="G407" s="106">
        <f>VLOOKUP(A407,WTI原油期货!A:B,2,FALSE)</f>
        <v>79.9</v>
      </c>
      <c r="H407" s="106">
        <f>VLOOKUP(A407,天然气期货!A:B,2,FALSE)</f>
        <v>2.755</v>
      </c>
      <c r="I407" s="111">
        <f>VLOOKUP(A407,黄金期货!A:B,2,FALSE)</f>
        <v>1887.2</v>
      </c>
      <c r="J407" s="106">
        <f>VLOOKUP(A407,Sheet2!A:C,3,FALSE)</f>
        <v>1120</v>
      </c>
      <c r="L407" s="112">
        <f t="shared" si="21"/>
        <v>-0.00444444444444444</v>
      </c>
    </row>
    <row r="408" spans="1:12">
      <c r="A408" s="109">
        <v>45156</v>
      </c>
      <c r="B408" s="106">
        <f>VLOOKUP(A408,Sheet2!A:C,2,FALSE)</f>
        <v>244</v>
      </c>
      <c r="C408" s="106">
        <v>3550</v>
      </c>
      <c r="D408" s="106">
        <f>VLOOKUP(A408,Sheet4!A:C,2,FALSE)</f>
        <v>957</v>
      </c>
      <c r="E408" s="106">
        <f>VLOOKUP(A408,Sheet5!A:B,2,FALSE)</f>
        <v>7.2817</v>
      </c>
      <c r="F408" s="106">
        <f>VLOOKUP(A408,Sheet6!A:B,2,FALSE)</f>
        <v>103.38</v>
      </c>
      <c r="G408" s="106">
        <f>VLOOKUP(A408,WTI原油期货!A:B,2,FALSE)</f>
        <v>80.66</v>
      </c>
      <c r="H408" s="106">
        <f>VLOOKUP(A408,天然气期货!A:B,2,FALSE)</f>
        <v>2.691</v>
      </c>
      <c r="I408" s="111">
        <f>VLOOKUP(A408,黄金期货!A:B,2,FALSE)</f>
        <v>1888.7</v>
      </c>
      <c r="J408" s="106">
        <f>VLOOKUP(A408,Sheet2!A:C,3,FALSE)</f>
        <v>1120</v>
      </c>
      <c r="L408" s="112">
        <f t="shared" si="21"/>
        <v>0</v>
      </c>
    </row>
    <row r="409" spans="1:12">
      <c r="A409" s="109">
        <v>45159</v>
      </c>
      <c r="B409" s="106">
        <f>VLOOKUP(A409,Sheet2!A:C,2,FALSE)</f>
        <v>245</v>
      </c>
      <c r="C409" s="106">
        <v>3550</v>
      </c>
      <c r="D409" s="106">
        <f>VLOOKUP(A409,Sheet4!A:C,2,FALSE)</f>
        <v>960</v>
      </c>
      <c r="E409" s="106">
        <f>VLOOKUP(A409,Sheet5!A:B,2,FALSE)</f>
        <v>7.2878</v>
      </c>
      <c r="F409" s="106">
        <f>VLOOKUP(A409,Sheet6!A:B,2,FALSE)</f>
        <v>103.3</v>
      </c>
      <c r="G409" s="106">
        <f>VLOOKUP(A409,WTI原油期货!A:B,2,FALSE)</f>
        <v>80.12</v>
      </c>
      <c r="H409" s="106">
        <f>VLOOKUP(A409,天然气期货!A:B,2,FALSE)</f>
        <v>2.743</v>
      </c>
      <c r="I409" s="111">
        <f>VLOOKUP(A409,黄金期货!A:B,2,FALSE)</f>
        <v>1895.7</v>
      </c>
      <c r="J409" s="106">
        <f>VLOOKUP(A409,Sheet2!A:C,3,FALSE)</f>
        <v>1100</v>
      </c>
      <c r="L409" s="112">
        <f t="shared" si="21"/>
        <v>-0.0178571428571429</v>
      </c>
    </row>
    <row r="410" spans="1:12">
      <c r="A410" s="109">
        <v>45160</v>
      </c>
      <c r="B410" s="106">
        <f>VLOOKUP(A410,Sheet2!A:C,2,FALSE)</f>
        <v>246</v>
      </c>
      <c r="C410" s="106">
        <v>3650</v>
      </c>
      <c r="D410" s="106">
        <f>VLOOKUP(A410,Sheet4!A:C,2,FALSE)</f>
        <v>962</v>
      </c>
      <c r="E410" s="106">
        <f>VLOOKUP(A410,Sheet5!A:B,2,FALSE)</f>
        <v>7.2943</v>
      </c>
      <c r="F410" s="106">
        <f>VLOOKUP(A410,Sheet6!A:B,2,FALSE)</f>
        <v>103.56</v>
      </c>
      <c r="G410" s="106">
        <f>VLOOKUP(A410,WTI原油期货!A:B,2,FALSE)</f>
        <v>79.64</v>
      </c>
      <c r="H410" s="106">
        <f>VLOOKUP(A410,天然气期货!A:B,2,FALSE)</f>
        <v>2.652</v>
      </c>
      <c r="I410" s="111">
        <f>VLOOKUP(A410,黄金期货!A:B,2,FALSE)</f>
        <v>1898.6</v>
      </c>
      <c r="J410" s="106">
        <f>VLOOKUP(A410,Sheet2!A:C,3,FALSE)</f>
        <v>1090</v>
      </c>
      <c r="L410" s="112">
        <f t="shared" si="21"/>
        <v>-0.00909090909090909</v>
      </c>
    </row>
    <row r="411" spans="1:12">
      <c r="A411" s="109">
        <v>45161</v>
      </c>
      <c r="B411" s="106">
        <f>VLOOKUP(A411,Sheet2!A:C,2,FALSE)</f>
        <v>245</v>
      </c>
      <c r="C411" s="106">
        <v>3650</v>
      </c>
      <c r="D411" s="106">
        <f>VLOOKUP(A411,Sheet4!A:C,2,FALSE)</f>
        <v>964</v>
      </c>
      <c r="E411" s="106">
        <f>VLOOKUP(A411,Sheet5!A:B,2,FALSE)</f>
        <v>7.2786</v>
      </c>
      <c r="F411" s="106">
        <f>VLOOKUP(A411,Sheet6!A:B,2,FALSE)</f>
        <v>103.42</v>
      </c>
      <c r="G411" s="106">
        <f>VLOOKUP(A411,WTI原油期货!A:B,2,FALSE)</f>
        <v>78.59</v>
      </c>
      <c r="H411" s="106">
        <f>VLOOKUP(A411,天然气期货!A:B,2,FALSE)</f>
        <v>2.592</v>
      </c>
      <c r="I411" s="111">
        <f>VLOOKUP(A411,黄金期货!A:B,2,FALSE)</f>
        <v>1920.5</v>
      </c>
      <c r="J411" s="106">
        <f>VLOOKUP(A411,Sheet2!A:C,3,FALSE)</f>
        <v>1090</v>
      </c>
      <c r="L411" s="112">
        <f t="shared" si="21"/>
        <v>0</v>
      </c>
    </row>
    <row r="412" spans="1:12">
      <c r="A412" s="109">
        <v>45162</v>
      </c>
      <c r="B412" s="106">
        <f>VLOOKUP(A412,Sheet2!A:C,2,FALSE)</f>
        <v>246</v>
      </c>
      <c r="C412" s="106">
        <v>3650</v>
      </c>
      <c r="D412" s="106">
        <f>VLOOKUP(A412,Sheet4!A:C,2,FALSE)</f>
        <v>966</v>
      </c>
      <c r="E412" s="106">
        <f>VLOOKUP(A412,Sheet5!A:B,2,FALSE)</f>
        <v>7.2792</v>
      </c>
      <c r="F412" s="106">
        <f>VLOOKUP(A412,Sheet6!A:B,2,FALSE)</f>
        <v>103.98</v>
      </c>
      <c r="G412" s="106">
        <f>VLOOKUP(A412,WTI原油期货!A:B,2,FALSE)</f>
        <v>78.66</v>
      </c>
      <c r="H412" s="106">
        <f>VLOOKUP(A412,天然气期货!A:B,2,FALSE)</f>
        <v>2.636</v>
      </c>
      <c r="I412" s="111">
        <f>VLOOKUP(A412,黄金期货!A:B,2,FALSE)</f>
        <v>1919.1</v>
      </c>
      <c r="J412" s="106">
        <f>VLOOKUP(A412,Sheet2!A:C,3,FALSE)</f>
        <v>1090</v>
      </c>
      <c r="L412" s="112">
        <f t="shared" si="21"/>
        <v>0</v>
      </c>
    </row>
    <row r="413" spans="1:12">
      <c r="A413" s="109">
        <v>45163</v>
      </c>
      <c r="B413" s="106">
        <f>VLOOKUP(A413,Sheet2!A:C,2,FALSE)</f>
        <v>247</v>
      </c>
      <c r="C413" s="106">
        <v>3650</v>
      </c>
      <c r="D413" s="106">
        <f>VLOOKUP(A413,Sheet4!A:C,2,FALSE)</f>
        <v>968</v>
      </c>
      <c r="E413" s="106">
        <f>VLOOKUP(A413,Sheet5!A:B,2,FALSE)</f>
        <v>7.29</v>
      </c>
      <c r="F413" s="106">
        <f>VLOOKUP(A413,Sheet6!A:B,2,FALSE)</f>
        <v>104.08</v>
      </c>
      <c r="G413" s="106">
        <f>VLOOKUP(A413,WTI原油期货!A:B,2,FALSE)</f>
        <v>79.49</v>
      </c>
      <c r="H413" s="106">
        <f>VLOOKUP(A413,天然气期货!A:B,2,FALSE)</f>
        <v>2.657</v>
      </c>
      <c r="I413" s="111">
        <f>VLOOKUP(A413,黄金期货!A:B,2,FALSE)</f>
        <v>1911.9</v>
      </c>
      <c r="J413" s="106">
        <f>VLOOKUP(A413,Sheet2!A:C,3,FALSE)</f>
        <v>1100</v>
      </c>
      <c r="L413" s="112">
        <f t="shared" si="21"/>
        <v>0.00917431192660551</v>
      </c>
    </row>
    <row r="414" spans="1:12">
      <c r="A414" s="109">
        <v>45166</v>
      </c>
      <c r="B414" s="106">
        <f>VLOOKUP(A414,Sheet2!A:C,2,FALSE)</f>
        <v>249</v>
      </c>
      <c r="C414" s="106">
        <v>3650</v>
      </c>
      <c r="D414" s="106">
        <f>VLOOKUP(A414,Sheet4!A:C,2,FALSE)</f>
        <v>974</v>
      </c>
      <c r="E414" s="106">
        <f>VLOOKUP(A414,Sheet5!A:B,2,FALSE)</f>
        <v>7.2905</v>
      </c>
      <c r="F414" s="106">
        <f>VLOOKUP(A414,Sheet6!A:B,2,FALSE)</f>
        <v>104.06</v>
      </c>
      <c r="G414" s="106">
        <f>VLOOKUP(A414,WTI原油期货!A:B,2,FALSE)</f>
        <v>79.67</v>
      </c>
      <c r="H414" s="106">
        <f>VLOOKUP(A414,天然气期货!A:B,2,FALSE)</f>
        <v>2.665</v>
      </c>
      <c r="I414" s="111">
        <f>VLOOKUP(A414,黄金期货!A:B,2,FALSE)</f>
        <v>1918.5</v>
      </c>
      <c r="J414" s="106">
        <f>VLOOKUP(A414,Sheet2!A:C,3,FALSE)</f>
        <v>1100</v>
      </c>
      <c r="L414" s="112">
        <f t="shared" si="21"/>
        <v>0</v>
      </c>
    </row>
    <row r="415" spans="1:12">
      <c r="A415" s="109">
        <v>45167</v>
      </c>
      <c r="B415" s="106">
        <f>VLOOKUP(A415,Sheet2!A:C,2,FALSE)</f>
        <v>249</v>
      </c>
      <c r="C415" s="106">
        <v>3650</v>
      </c>
      <c r="D415" s="106">
        <f>VLOOKUP(A415,Sheet4!A:C,2,FALSE)</f>
        <v>974</v>
      </c>
      <c r="E415" s="106">
        <f>VLOOKUP(A415,Sheet5!A:B,2,FALSE)</f>
        <v>7.2807</v>
      </c>
      <c r="F415" s="106">
        <f>VLOOKUP(A415,Sheet6!A:B,2,FALSE)</f>
        <v>103.53</v>
      </c>
      <c r="G415" s="106">
        <f>VLOOKUP(A415,WTI原油期货!A:B,2,FALSE)</f>
        <v>80.68</v>
      </c>
      <c r="H415" s="106">
        <f>VLOOKUP(A415,天然气期货!A:B,2,FALSE)</f>
        <v>2.662</v>
      </c>
      <c r="I415" s="111">
        <f>VLOOKUP(A415,黄金期货!A:B,2,FALSE)</f>
        <v>1936.4</v>
      </c>
      <c r="J415" s="106">
        <f>VLOOKUP(A415,Sheet2!A:C,3,FALSE)</f>
        <v>1100</v>
      </c>
      <c r="L415" s="112">
        <f t="shared" si="21"/>
        <v>0</v>
      </c>
    </row>
    <row r="416" spans="1:12">
      <c r="A416" s="109">
        <v>45168</v>
      </c>
      <c r="B416" s="106">
        <f>VLOOKUP(A416,Sheet2!A:C,2,FALSE)</f>
        <v>251</v>
      </c>
      <c r="C416" s="106">
        <v>3650</v>
      </c>
      <c r="D416" s="106">
        <f>VLOOKUP(A416,Sheet4!A:C,2,FALSE)</f>
        <v>975</v>
      </c>
      <c r="E416" s="106">
        <f>VLOOKUP(A416,Sheet5!A:B,2,FALSE)</f>
        <v>7.2852</v>
      </c>
      <c r="F416" s="106">
        <f>VLOOKUP(A416,Sheet6!A:B,2,FALSE)</f>
        <v>103.16</v>
      </c>
      <c r="G416" s="106">
        <f>VLOOKUP(A416,WTI原油期货!A:B,2,FALSE)</f>
        <v>81.12</v>
      </c>
      <c r="H416" s="106">
        <f>VLOOKUP(A416,天然气期货!A:B,2,FALSE)</f>
        <v>3.181</v>
      </c>
      <c r="I416" s="111">
        <f>VLOOKUP(A416,黄金期货!A:B,2,FALSE)</f>
        <v>1954</v>
      </c>
      <c r="J416" s="106">
        <f>VLOOKUP(A416,Sheet2!A:C,3,FALSE)</f>
        <v>1100</v>
      </c>
      <c r="L416" s="112">
        <f t="shared" si="21"/>
        <v>0</v>
      </c>
    </row>
    <row r="417" spans="1:12">
      <c r="A417" s="109">
        <v>45169</v>
      </c>
      <c r="B417" s="106">
        <f>VLOOKUP(A417,Sheet2!A:C,2,FALSE)</f>
        <v>246</v>
      </c>
      <c r="C417" s="106">
        <v>3650</v>
      </c>
      <c r="D417" s="106">
        <f>VLOOKUP(A417,Sheet4!A:C,2,FALSE)</f>
        <v>978</v>
      </c>
      <c r="E417" s="106">
        <f>VLOOKUP(A417,Sheet5!A:B,2,FALSE)</f>
        <v>7.2589</v>
      </c>
      <c r="F417" s="106">
        <f>VLOOKUP(A417,Sheet6!A:B,2,FALSE)</f>
        <v>103.62</v>
      </c>
      <c r="G417" s="106">
        <f>VLOOKUP(A417,WTI原油期货!A:B,2,FALSE)</f>
        <v>82.96</v>
      </c>
      <c r="H417" s="106">
        <f>VLOOKUP(A417,天然气期货!A:B,2,FALSE)</f>
        <v>3.147</v>
      </c>
      <c r="I417" s="111">
        <f>VLOOKUP(A417,黄金期货!A:B,2,FALSE)</f>
        <v>1947</v>
      </c>
      <c r="J417" s="106">
        <f>VLOOKUP(A417,Sheet2!A:C,3,FALSE)</f>
        <v>1090</v>
      </c>
      <c r="L417" s="112">
        <f t="shared" si="21"/>
        <v>-0.00909090909090909</v>
      </c>
    </row>
    <row r="418" spans="1:12">
      <c r="A418" s="109">
        <v>45170</v>
      </c>
      <c r="B418" s="106">
        <f>VLOOKUP(A418,Sheet2!A:C,2,FALSE)</f>
        <v>246</v>
      </c>
      <c r="C418" s="106">
        <v>3700</v>
      </c>
      <c r="D418" s="106">
        <f>VLOOKUP(A418,Sheet4!A:C,2,FALSE)</f>
        <v>982</v>
      </c>
      <c r="E418" s="106">
        <f>VLOOKUP(A418,Sheet5!A:B,2,FALSE)</f>
        <v>7.2616</v>
      </c>
      <c r="F418" s="106">
        <f>VLOOKUP(A418,Sheet6!A:B,2,FALSE)</f>
        <v>104.24</v>
      </c>
      <c r="G418" s="106">
        <f>VLOOKUP(A418,WTI原油期货!A:B,2,FALSE)</f>
        <v>84.75</v>
      </c>
      <c r="H418" s="106">
        <f>VLOOKUP(A418,天然气期货!A:B,2,FALSE)</f>
        <v>3.111</v>
      </c>
      <c r="I418" s="111">
        <f>VLOOKUP(A418,黄金期货!A:B,2,FALSE)</f>
        <v>1948.4</v>
      </c>
      <c r="J418" s="106">
        <f>VLOOKUP(A418,Sheet2!A:C,3,FALSE)</f>
        <v>1080</v>
      </c>
      <c r="L418" s="112">
        <f t="shared" si="21"/>
        <v>-0.00917431192660551</v>
      </c>
    </row>
    <row r="419" spans="1:12">
      <c r="A419" s="109">
        <v>45173</v>
      </c>
      <c r="B419" s="106">
        <f>VLOOKUP(A419,Sheet2!A:C,2,FALSE)</f>
        <v>246</v>
      </c>
      <c r="C419" s="106">
        <v>3700</v>
      </c>
      <c r="D419" s="106">
        <f>VLOOKUP(A419,Sheet4!A:C,2,FALSE)</f>
        <v>986</v>
      </c>
      <c r="E419" s="106">
        <f>VLOOKUP(A419,Sheet5!A:B,2,FALSE)</f>
        <v>7.2732</v>
      </c>
      <c r="F419" s="106">
        <f>VLOOKUP(A419,Sheet6!A:B,2,FALSE)</f>
        <v>104.24</v>
      </c>
      <c r="G419" s="106">
        <f>VLOOKUP(A419,WTI原油期货!A:B,2,FALSE)</f>
        <v>85.82</v>
      </c>
      <c r="H419" s="106">
        <f>VLOOKUP(A419,天然气期货!A:B,2,FALSE)</f>
        <v>2.647</v>
      </c>
      <c r="I419" s="111">
        <f>VLOOKUP(A419,黄金期货!A:B,2,FALSE)</f>
        <v>1952.6</v>
      </c>
      <c r="J419" s="106">
        <f>VLOOKUP(A419,Sheet2!A:C,3,FALSE)</f>
        <v>1060</v>
      </c>
      <c r="L419" s="112">
        <f t="shared" si="21"/>
        <v>-0.0185185185185185</v>
      </c>
    </row>
    <row r="420" spans="1:12">
      <c r="A420" s="109">
        <v>45174</v>
      </c>
      <c r="B420" s="106">
        <f>VLOOKUP(A420,Sheet2!A:C,2,FALSE)</f>
        <v>246</v>
      </c>
      <c r="C420" s="106">
        <v>3700</v>
      </c>
      <c r="D420" s="106">
        <f>VLOOKUP(A420,Sheet4!A:C,2,FALSE)</f>
        <v>988</v>
      </c>
      <c r="E420" s="106">
        <f>VLOOKUP(A420,Sheet5!A:B,2,FALSE)</f>
        <v>7.3046</v>
      </c>
      <c r="F420" s="106">
        <f>VLOOKUP(A420,Sheet6!A:B,2,FALSE)</f>
        <v>104.81</v>
      </c>
      <c r="G420" s="106">
        <f>VLOOKUP(A420,WTI原油期货!A:B,2,FALSE)</f>
        <v>86.01</v>
      </c>
      <c r="H420" s="106">
        <f>VLOOKUP(A420,天然气期货!A:B,2,FALSE)</f>
        <v>2.991</v>
      </c>
      <c r="I420" s="111">
        <f>VLOOKUP(A420,黄金期货!A:B,2,FALSE)</f>
        <v>1934.3</v>
      </c>
      <c r="J420" s="106">
        <f>VLOOKUP(A420,Sheet2!A:C,3,FALSE)</f>
        <v>1070</v>
      </c>
      <c r="L420" s="112">
        <f t="shared" si="21"/>
        <v>0.00943396226415094</v>
      </c>
    </row>
    <row r="421" spans="1:12">
      <c r="A421" s="109">
        <v>45175</v>
      </c>
      <c r="B421" s="106">
        <f>VLOOKUP(A421,Sheet2!A:C,2,FALSE)</f>
        <v>251</v>
      </c>
      <c r="C421" s="106">
        <v>3700</v>
      </c>
      <c r="D421" s="106">
        <f>VLOOKUP(A421,Sheet4!A:C,2,FALSE)</f>
        <v>991</v>
      </c>
      <c r="E421" s="106">
        <f>VLOOKUP(A421,Sheet5!A:B,2,FALSE)</f>
        <v>7.3172</v>
      </c>
      <c r="F421" s="106">
        <f>VLOOKUP(A421,Sheet6!A:B,2,FALSE)</f>
        <v>104.86</v>
      </c>
      <c r="G421" s="106">
        <f>VLOOKUP(A421,WTI原油期货!A:B,2,FALSE)</f>
        <v>86.79</v>
      </c>
      <c r="H421" s="106">
        <f>VLOOKUP(A421,天然气期货!A:B,2,FALSE)</f>
        <v>2.943</v>
      </c>
      <c r="I421" s="111">
        <f>VLOOKUP(A421,黄金期货!A:B,2,FALSE)</f>
        <v>1925.8</v>
      </c>
      <c r="J421" s="106">
        <f>VLOOKUP(A421,Sheet2!A:C,3,FALSE)</f>
        <v>1070</v>
      </c>
      <c r="L421" s="112">
        <f t="shared" si="21"/>
        <v>0</v>
      </c>
    </row>
    <row r="422" spans="1:12">
      <c r="A422" s="109">
        <v>45176</v>
      </c>
      <c r="B422" s="106">
        <f>VLOOKUP(A422,Sheet2!A:C,2,FALSE)</f>
        <v>248</v>
      </c>
      <c r="C422" s="106">
        <v>3700</v>
      </c>
      <c r="D422" s="106">
        <f>VLOOKUP(A422,Sheet4!A:C,2,FALSE)</f>
        <v>994</v>
      </c>
      <c r="E422" s="106">
        <f>VLOOKUP(A422,Sheet5!A:B,2,FALSE)</f>
        <v>7.3293</v>
      </c>
      <c r="F422" s="106">
        <f>VLOOKUP(A422,Sheet6!A:B,2,FALSE)</f>
        <v>105.06</v>
      </c>
      <c r="G422" s="106">
        <f>VLOOKUP(A422,WTI原油期货!A:B,2,FALSE)</f>
        <v>86.15</v>
      </c>
      <c r="H422" s="106">
        <f>VLOOKUP(A422,天然气期货!A:B,2,FALSE)</f>
        <v>2.958</v>
      </c>
      <c r="I422" s="111">
        <f>VLOOKUP(A422,黄金期货!A:B,2,FALSE)</f>
        <v>1924.1</v>
      </c>
      <c r="J422" s="106">
        <f>VLOOKUP(A422,Sheet2!A:C,3,FALSE)</f>
        <v>1070</v>
      </c>
      <c r="L422" s="112">
        <f t="shared" si="21"/>
        <v>0</v>
      </c>
    </row>
    <row r="423" spans="1:12">
      <c r="A423" s="109">
        <v>45177</v>
      </c>
      <c r="B423" s="106">
        <f>VLOOKUP(A423,Sheet2!A:C,2,FALSE)</f>
        <v>251</v>
      </c>
      <c r="C423" s="106">
        <v>3700</v>
      </c>
      <c r="D423" s="106">
        <f>VLOOKUP(A423,Sheet4!A:C,2,FALSE)</f>
        <v>995</v>
      </c>
      <c r="E423" s="106">
        <f>VLOOKUP(A423,Sheet5!A:B,2,FALSE)</f>
        <v>7.344</v>
      </c>
      <c r="F423" s="106">
        <f>VLOOKUP(A423,Sheet6!A:B,2,FALSE)</f>
        <v>105.09</v>
      </c>
      <c r="G423" s="106">
        <f>VLOOKUP(A423,WTI原油期货!A:B,2,FALSE)</f>
        <v>86.81</v>
      </c>
      <c r="H423" s="106">
        <f>VLOOKUP(A423,天然气期货!A:B,2,FALSE)</f>
        <v>2.966</v>
      </c>
      <c r="I423" s="111">
        <f>VLOOKUP(A423,黄金期货!A:B,2,FALSE)</f>
        <v>1924.6</v>
      </c>
      <c r="J423" s="106">
        <f>VLOOKUP(A423,Sheet2!A:C,3,FALSE)</f>
        <v>1075</v>
      </c>
      <c r="L423" s="112">
        <f t="shared" si="21"/>
        <v>0.00467289719626168</v>
      </c>
    </row>
    <row r="424" spans="1:12">
      <c r="A424" s="109">
        <v>45180</v>
      </c>
      <c r="B424" s="106">
        <f>VLOOKUP(A424,Sheet2!A:C,2,FALSE)</f>
        <v>254</v>
      </c>
      <c r="C424" s="106">
        <v>3700</v>
      </c>
      <c r="D424" s="106">
        <f>VLOOKUP(A424,Sheet4!A:C,2,FALSE)</f>
        <v>997</v>
      </c>
      <c r="E424" s="106">
        <f>VLOOKUP(A424,Sheet5!A:B,2,FALSE)</f>
        <v>7.2894</v>
      </c>
      <c r="F424" s="106">
        <f>VLOOKUP(A424,Sheet6!A:B,2,FALSE)</f>
        <v>104.57</v>
      </c>
      <c r="G424" s="106">
        <f>VLOOKUP(A424,WTI原油期货!A:B,2,FALSE)</f>
        <v>86.66</v>
      </c>
      <c r="H424" s="106">
        <f>VLOOKUP(A424,天然气期货!A:B,2,FALSE)</f>
        <v>2.937</v>
      </c>
      <c r="I424" s="111">
        <f>VLOOKUP(A424,黄金期货!A:B,2,FALSE)</f>
        <v>1929.2</v>
      </c>
      <c r="J424" s="106">
        <f>VLOOKUP(A424,Sheet2!A:C,3,FALSE)</f>
        <v>1130</v>
      </c>
      <c r="L424" s="113">
        <f t="shared" si="21"/>
        <v>0.0511627906976744</v>
      </c>
    </row>
    <row r="425" spans="1:12">
      <c r="A425" s="109">
        <v>45181</v>
      </c>
      <c r="B425" s="106">
        <f>VLOOKUP(A425,Sheet2!A:C,2,FALSE)</f>
        <v>254</v>
      </c>
      <c r="C425" s="106">
        <v>3700</v>
      </c>
      <c r="D425" s="106">
        <f>VLOOKUP(A425,Sheet4!A:C,2,FALSE)</f>
        <v>1000</v>
      </c>
      <c r="E425" s="106">
        <f>VLOOKUP(A425,Sheet5!A:B,2,FALSE)</f>
        <v>7.2918</v>
      </c>
      <c r="F425" s="106">
        <f>VLOOKUP(A425,Sheet6!A:B,2,FALSE)</f>
        <v>104.71</v>
      </c>
      <c r="G425" s="106">
        <f>VLOOKUP(A425,WTI原油期货!A:B,2,FALSE)</f>
        <v>88.16</v>
      </c>
      <c r="H425" s="106">
        <f>VLOOKUP(A425,天然气期货!A:B,2,FALSE)</f>
        <v>3.015</v>
      </c>
      <c r="I425" s="111">
        <f>VLOOKUP(A425,黄金期货!A:B,2,FALSE)</f>
        <v>1917.2</v>
      </c>
      <c r="J425" s="106">
        <f>VLOOKUP(A425,Sheet2!A:C,3,FALSE)</f>
        <v>1140</v>
      </c>
      <c r="L425" s="112">
        <f t="shared" si="21"/>
        <v>0.00884955752212389</v>
      </c>
    </row>
    <row r="426" spans="1:12">
      <c r="A426" s="109">
        <v>45182</v>
      </c>
      <c r="B426" s="106">
        <f>VLOOKUP(A426,Sheet2!A:C,2,FALSE)</f>
        <v>253</v>
      </c>
      <c r="C426" s="106">
        <v>3700</v>
      </c>
      <c r="D426" s="106">
        <f>VLOOKUP(A426,Sheet4!A:C,2,FALSE)</f>
        <v>1002</v>
      </c>
      <c r="E426" s="106">
        <f>VLOOKUP(A426,Sheet5!A:B,2,FALSE)</f>
        <v>7.2709</v>
      </c>
      <c r="F426" s="106">
        <f>VLOOKUP(A426,Sheet6!A:B,2,FALSE)</f>
        <v>104.77</v>
      </c>
      <c r="G426" s="106">
        <f>VLOOKUP(A426,WTI原油期货!A:B,2,FALSE)</f>
        <v>87.88</v>
      </c>
      <c r="H426" s="106">
        <f>VLOOKUP(A426,天然气期货!A:B,2,FALSE)</f>
        <v>2.987</v>
      </c>
      <c r="I426" s="111">
        <f>VLOOKUP(A426,黄金期货!A:B,2,FALSE)</f>
        <v>1914.4</v>
      </c>
      <c r="J426" s="106">
        <f>VLOOKUP(A426,Sheet2!A:C,3,FALSE)</f>
        <v>1125</v>
      </c>
      <c r="L426" s="112">
        <f t="shared" si="21"/>
        <v>-0.0131578947368421</v>
      </c>
    </row>
    <row r="427" spans="1:12">
      <c r="A427" s="109">
        <v>45183</v>
      </c>
      <c r="B427" s="106">
        <f>VLOOKUP(A427,Sheet2!A:C,2,FALSE)</f>
        <v>251</v>
      </c>
      <c r="C427" s="106">
        <v>3700</v>
      </c>
      <c r="D427" s="106">
        <f>VLOOKUP(A427,Sheet4!A:C,2,FALSE)</f>
        <v>1005</v>
      </c>
      <c r="E427" s="106">
        <f>VLOOKUP(A427,Sheet5!A:B,2,FALSE)</f>
        <v>7.278</v>
      </c>
      <c r="F427" s="106">
        <f>VLOOKUP(A427,Sheet6!A:B,2,FALSE)</f>
        <v>105.4</v>
      </c>
      <c r="G427" s="106">
        <f>VLOOKUP(A427,WTI原油期货!A:B,2,FALSE)</f>
        <v>89.61</v>
      </c>
      <c r="H427" s="106">
        <f>VLOOKUP(A427,天然气期货!A:B,2,FALSE)</f>
        <v>2.983</v>
      </c>
      <c r="I427" s="111">
        <f>VLOOKUP(A427,黄金期货!A:B,2,FALSE)</f>
        <v>1914.4</v>
      </c>
      <c r="J427" s="106">
        <f>VLOOKUP(A427,Sheet2!A:C,3,FALSE)</f>
        <v>1125</v>
      </c>
      <c r="L427" s="112">
        <f t="shared" si="21"/>
        <v>0</v>
      </c>
    </row>
    <row r="428" spans="1:12">
      <c r="A428" s="109">
        <v>45184</v>
      </c>
      <c r="B428" s="106">
        <f>VLOOKUP(A428,Sheet2!A:C,2,FALSE)</f>
        <v>253</v>
      </c>
      <c r="C428" s="106">
        <v>3700</v>
      </c>
      <c r="D428" s="106">
        <f>VLOOKUP(A428,Sheet4!A:C,2,FALSE)</f>
        <v>1008</v>
      </c>
      <c r="E428" s="106">
        <f>VLOOKUP(A428,Sheet5!A:B,2,FALSE)</f>
        <v>7.2749</v>
      </c>
      <c r="F428" s="106">
        <f>VLOOKUP(A428,Sheet6!A:B,2,FALSE)</f>
        <v>105.32</v>
      </c>
      <c r="G428" s="106">
        <f>VLOOKUP(A428,WTI原油期货!A:B,2,FALSE)</f>
        <v>90.02</v>
      </c>
      <c r="H428" s="106">
        <f>VLOOKUP(A428,天然气期货!A:B,2,FALSE)</f>
        <v>2.932</v>
      </c>
      <c r="I428" s="111">
        <f>VLOOKUP(A428,黄金期货!A:B,2,FALSE)</f>
        <v>1927.9</v>
      </c>
      <c r="J428" s="106">
        <f>VLOOKUP(A428,Sheet2!A:C,3,FALSE)</f>
        <v>1125</v>
      </c>
      <c r="L428" s="112">
        <f t="shared" si="21"/>
        <v>0</v>
      </c>
    </row>
    <row r="429" spans="1:12">
      <c r="A429" s="109">
        <v>45187</v>
      </c>
      <c r="B429" s="106">
        <f>VLOOKUP(A429,Sheet2!A:C,2,FALSE)</f>
        <v>252</v>
      </c>
      <c r="C429" s="106">
        <v>3700</v>
      </c>
      <c r="D429" s="106">
        <f>VLOOKUP(A429,Sheet4!A:C,2,FALSE)</f>
        <v>1010</v>
      </c>
      <c r="E429" s="106">
        <f>VLOOKUP(A429,Sheet5!A:B,2,FALSE)</f>
        <v>7.2918</v>
      </c>
      <c r="F429" s="106">
        <f>VLOOKUP(A429,Sheet6!A:B,2,FALSE)</f>
        <v>105.2</v>
      </c>
      <c r="G429" s="106">
        <f>VLOOKUP(A429,WTI原油期货!A:B,2,FALSE)</f>
        <v>90.58</v>
      </c>
      <c r="H429" s="106">
        <f>VLOOKUP(A429,天然气期货!A:B,2,FALSE)</f>
        <v>3.001</v>
      </c>
      <c r="I429" s="111">
        <f>VLOOKUP(A429,黄金期货!A:B,2,FALSE)</f>
        <v>1935.2</v>
      </c>
      <c r="J429" s="106">
        <f>VLOOKUP(A429,Sheet2!A:C,3,FALSE)</f>
        <v>1110</v>
      </c>
      <c r="L429" s="112">
        <f t="shared" si="21"/>
        <v>-0.0133333333333333</v>
      </c>
    </row>
    <row r="430" spans="1:12">
      <c r="A430" s="109">
        <v>45188</v>
      </c>
      <c r="B430" s="106">
        <f>VLOOKUP(A430,Sheet2!A:C,2,FALSE)</f>
        <v>253</v>
      </c>
      <c r="C430" s="106">
        <v>3700</v>
      </c>
      <c r="D430" s="106">
        <f>VLOOKUP(A430,Sheet4!A:C,2,FALSE)</f>
        <v>1011</v>
      </c>
      <c r="E430" s="106">
        <f>VLOOKUP(A430,Sheet5!A:B,2,FALSE)</f>
        <v>7.2974</v>
      </c>
      <c r="F430" s="106">
        <f>VLOOKUP(A430,Sheet6!A:B,2,FALSE)</f>
        <v>105.16</v>
      </c>
      <c r="G430" s="106">
        <f>VLOOKUP(A430,WTI原油期货!A:B,2,FALSE)</f>
        <v>90.48</v>
      </c>
      <c r="H430" s="106">
        <f>VLOOKUP(A430,天然气期货!A:B,2,FALSE)</f>
        <v>3.026</v>
      </c>
      <c r="I430" s="111">
        <f>VLOOKUP(A430,黄金期货!A:B,2,FALSE)</f>
        <v>1935.3</v>
      </c>
      <c r="J430" s="106">
        <f>VLOOKUP(A430,Sheet2!A:C,3,FALSE)</f>
        <v>1075</v>
      </c>
      <c r="L430" s="112">
        <f t="shared" si="21"/>
        <v>-0.0315315315315315</v>
      </c>
    </row>
    <row r="431" spans="1:12">
      <c r="A431" s="109">
        <v>45189</v>
      </c>
      <c r="B431" s="106">
        <f>VLOOKUP(A431,Sheet2!A:C,2,FALSE)</f>
        <v>256</v>
      </c>
      <c r="C431" s="106">
        <v>3700</v>
      </c>
      <c r="D431" s="106">
        <f>VLOOKUP(A431,Sheet4!A:C,2,FALSE)</f>
        <v>1012</v>
      </c>
      <c r="E431" s="106">
        <f>VLOOKUP(A431,Sheet5!A:B,2,FALSE)</f>
        <v>7.2879</v>
      </c>
      <c r="F431" s="106">
        <f>VLOOKUP(A431,Sheet6!A:B,2,FALSE)</f>
        <v>105.12</v>
      </c>
      <c r="G431" s="106">
        <f>VLOOKUP(A431,WTI原油期货!A:B,2,FALSE)</f>
        <v>89.66</v>
      </c>
      <c r="H431" s="106">
        <f>VLOOKUP(A431,天然气期货!A:B,2,FALSE)</f>
        <v>2.921</v>
      </c>
      <c r="I431" s="111">
        <f>VLOOKUP(A431,黄金期货!A:B,2,FALSE)</f>
        <v>1948.6</v>
      </c>
      <c r="J431" s="106">
        <f>VLOOKUP(A431,Sheet2!A:C,3,FALSE)</f>
        <v>1080</v>
      </c>
      <c r="L431" s="112">
        <f t="shared" si="21"/>
        <v>0.00465116279069767</v>
      </c>
    </row>
    <row r="432" spans="1:12">
      <c r="A432" s="109">
        <v>45190</v>
      </c>
      <c r="B432" s="106">
        <f>VLOOKUP(A432,Sheet2!A:C,2,FALSE)</f>
        <v>251</v>
      </c>
      <c r="C432" s="106">
        <v>3700</v>
      </c>
      <c r="D432" s="106">
        <f>VLOOKUP(A432,Sheet4!A:C,2,FALSE)</f>
        <v>1011</v>
      </c>
      <c r="E432" s="106">
        <f>VLOOKUP(A432,Sheet5!A:B,2,FALSE)</f>
        <v>7.3078</v>
      </c>
      <c r="F432" s="106">
        <f>VLOOKUP(A432,Sheet6!A:B,2,FALSE)</f>
        <v>105.36</v>
      </c>
      <c r="G432" s="106">
        <f>VLOOKUP(A432,WTI原油期货!A:B,2,FALSE)</f>
        <v>88.32</v>
      </c>
      <c r="H432" s="106">
        <f>VLOOKUP(A432,天然气期货!A:B,2,FALSE)</f>
        <v>2.84</v>
      </c>
      <c r="I432" s="111">
        <f>VLOOKUP(A432,黄金期货!A:B,2,FALSE)</f>
        <v>1921.2</v>
      </c>
      <c r="J432" s="106">
        <f>VLOOKUP(A432,Sheet2!A:C,3,FALSE)</f>
        <v>1090</v>
      </c>
      <c r="L432" s="112">
        <f t="shared" si="21"/>
        <v>0.00925925925925926</v>
      </c>
    </row>
    <row r="433" spans="1:12">
      <c r="A433" s="109">
        <v>45191</v>
      </c>
      <c r="B433" s="106">
        <f>VLOOKUP(A433,Sheet2!A:C,2,FALSE)</f>
        <v>251</v>
      </c>
      <c r="C433" s="106">
        <v>3700</v>
      </c>
      <c r="D433" s="106">
        <f>VLOOKUP(A433,Sheet4!A:C,2,FALSE)</f>
        <v>1011</v>
      </c>
      <c r="E433" s="106">
        <f>VLOOKUP(A433,Sheet5!A:B,2,FALSE)</f>
        <v>7.2985</v>
      </c>
      <c r="F433" s="106">
        <f>VLOOKUP(A433,Sheet6!A:B,2,FALSE)</f>
        <v>105.58</v>
      </c>
      <c r="G433" s="106">
        <f>VLOOKUP(A433,WTI原油期货!A:B,2,FALSE)</f>
        <v>88.35</v>
      </c>
      <c r="H433" s="106">
        <f>VLOOKUP(A433,天然气期货!A:B,2,FALSE)</f>
        <v>2.879</v>
      </c>
      <c r="I433" s="111">
        <f>VLOOKUP(A433,黄金期货!A:B,2,FALSE)</f>
        <v>1927.2</v>
      </c>
      <c r="J433" s="106">
        <f>VLOOKUP(A433,Sheet2!A:C,3,FALSE)</f>
        <v>1095</v>
      </c>
      <c r="L433" s="112">
        <f t="shared" si="21"/>
        <v>0.00458715596330275</v>
      </c>
    </row>
    <row r="434" spans="1:12">
      <c r="A434" s="109">
        <v>45194</v>
      </c>
      <c r="B434" s="106">
        <f>VLOOKUP(A434,Sheet2!A:C,2,FALSE)</f>
        <v>253</v>
      </c>
      <c r="C434" s="106">
        <v>3700</v>
      </c>
      <c r="D434" s="106">
        <f>VLOOKUP(A434,Sheet4!A:C,2,FALSE)</f>
        <v>1010</v>
      </c>
      <c r="E434" s="106">
        <f>VLOOKUP(A434,Sheet5!A:B,2,FALSE)</f>
        <v>7.3119</v>
      </c>
      <c r="F434" s="106">
        <f>VLOOKUP(A434,Sheet6!A:B,2,FALSE)</f>
        <v>106</v>
      </c>
      <c r="G434" s="106">
        <f>VLOOKUP(A434,WTI原油期货!A:B,2,FALSE)</f>
        <v>88.17</v>
      </c>
      <c r="H434" s="106">
        <f>VLOOKUP(A434,天然气期货!A:B,2,FALSE)</f>
        <v>2.906</v>
      </c>
      <c r="I434" s="111">
        <f>VLOOKUP(A434,黄金期货!A:B,2,FALSE)</f>
        <v>1918.2</v>
      </c>
      <c r="J434" s="106">
        <f>VLOOKUP(A434,Sheet2!A:C,3,FALSE)</f>
        <v>1100</v>
      </c>
      <c r="L434" s="112">
        <f t="shared" si="21"/>
        <v>0.0045662100456621</v>
      </c>
    </row>
    <row r="435" spans="1:12">
      <c r="A435" s="109">
        <v>45195</v>
      </c>
      <c r="B435" s="106">
        <f>VLOOKUP(A435,Sheet2!A:C,2,FALSE)</f>
        <v>253</v>
      </c>
      <c r="C435" s="106">
        <v>3700</v>
      </c>
      <c r="D435" s="106">
        <f>VLOOKUP(A435,Sheet4!A:C,2,FALSE)</f>
        <v>1009</v>
      </c>
      <c r="E435" s="106">
        <f>VLOOKUP(A435,Sheet5!A:B,2,FALSE)</f>
        <v>7.3113</v>
      </c>
      <c r="F435" s="106">
        <f>VLOOKUP(A435,Sheet6!A:B,2,FALSE)</f>
        <v>106.23</v>
      </c>
      <c r="G435" s="106">
        <f>VLOOKUP(A435,WTI原油期货!A:B,2,FALSE)</f>
        <v>88.78</v>
      </c>
      <c r="H435" s="106">
        <f>VLOOKUP(A435,天然气期货!A:B,2,FALSE)</f>
        <v>2.845</v>
      </c>
      <c r="I435" s="111">
        <f>VLOOKUP(A435,黄金期货!A:B,2,FALSE)</f>
        <v>1901.6</v>
      </c>
      <c r="J435" s="106">
        <f>VLOOKUP(A435,Sheet2!A:C,3,FALSE)</f>
        <v>1105</v>
      </c>
      <c r="L435" s="112">
        <f t="shared" si="21"/>
        <v>0.00454545454545455</v>
      </c>
    </row>
    <row r="436" spans="1:12">
      <c r="A436" s="109">
        <v>45196</v>
      </c>
      <c r="B436" s="106">
        <f>VLOOKUP(A436,Sheet2!A:C,2,FALSE)</f>
        <v>250</v>
      </c>
      <c r="C436" s="106">
        <v>3700</v>
      </c>
      <c r="D436" s="106">
        <f>VLOOKUP(A436,Sheet4!A:C,2,FALSE)</f>
        <v>1008</v>
      </c>
      <c r="E436" s="106">
        <f>VLOOKUP(A436,Sheet5!A:B,2,FALSE)</f>
        <v>7.311</v>
      </c>
      <c r="F436" s="106">
        <f>VLOOKUP(A436,Sheet6!A:B,2,FALSE)</f>
        <v>106.67</v>
      </c>
      <c r="G436" s="106">
        <f>VLOOKUP(A436,WTI原油期货!A:B,2,FALSE)</f>
        <v>91.3</v>
      </c>
      <c r="H436" s="106">
        <f>VLOOKUP(A436,天然气期货!A:B,2,FALSE)</f>
        <v>2.899</v>
      </c>
      <c r="I436" s="111">
        <f>VLOOKUP(A436,黄金期货!A:B,2,FALSE)</f>
        <v>1872.3</v>
      </c>
      <c r="J436" s="106">
        <f>VLOOKUP(A436,Sheet2!A:C,3,FALSE)</f>
        <v>1105</v>
      </c>
      <c r="L436" s="112">
        <f t="shared" si="21"/>
        <v>0</v>
      </c>
    </row>
    <row r="437" spans="1:12">
      <c r="A437" s="109">
        <v>45197</v>
      </c>
      <c r="B437" s="106">
        <f>VLOOKUP(A437,Sheet2!A:C,2,FALSE)</f>
        <v>248</v>
      </c>
      <c r="C437" s="106">
        <v>3700</v>
      </c>
      <c r="D437" s="106">
        <f>VLOOKUP(A437,Sheet4!A:C,2,FALSE)</f>
        <v>1009</v>
      </c>
      <c r="E437" s="106">
        <f>VLOOKUP(A437,Sheet5!A:B,2,FALSE)</f>
        <v>7.3015</v>
      </c>
      <c r="F437" s="106">
        <f>VLOOKUP(A437,Sheet6!A:B,2,FALSE)</f>
        <v>106.22</v>
      </c>
      <c r="G437" s="106">
        <f>VLOOKUP(A437,WTI原油期货!A:B,2,FALSE)</f>
        <v>89.59</v>
      </c>
      <c r="H437" s="106">
        <f>VLOOKUP(A437,天然气期货!A:B,2,FALSE)</f>
        <v>3.34</v>
      </c>
      <c r="I437" s="111">
        <f>VLOOKUP(A437,黄金期货!A:B,2,FALSE)</f>
        <v>1869.5</v>
      </c>
      <c r="J437" s="106">
        <f>VLOOKUP(A437,Sheet2!A:C,3,FALSE)</f>
        <v>1105</v>
      </c>
      <c r="L437" s="112">
        <f t="shared" si="21"/>
        <v>0</v>
      </c>
    </row>
    <row r="438" spans="1:12">
      <c r="A438" s="109">
        <v>45206</v>
      </c>
      <c r="B438" s="106">
        <f>VLOOKUP(A438,Sheet2!A:C,2,FALSE)</f>
        <v>259</v>
      </c>
      <c r="C438" s="106">
        <v>3700</v>
      </c>
      <c r="D438" s="106">
        <f>VLOOKUP(A438,Sheet4!A:C,2,FALSE)</f>
        <v>1006</v>
      </c>
      <c r="E438" s="106">
        <f t="shared" ref="E438:E439" si="22">E437</f>
        <v>7.3015</v>
      </c>
      <c r="F438" s="106">
        <f t="shared" ref="F438:F439" si="23">F437</f>
        <v>106.22</v>
      </c>
      <c r="G438" s="106">
        <f t="shared" ref="G438:G439" si="24">G437</f>
        <v>89.59</v>
      </c>
      <c r="H438" s="106">
        <f t="shared" ref="H438:H439" si="25">H437</f>
        <v>3.34</v>
      </c>
      <c r="I438" s="111">
        <f t="shared" ref="I438:I439" si="26">I437</f>
        <v>1869.5</v>
      </c>
      <c r="J438" s="106">
        <f>VLOOKUP(A438,Sheet2!A:C,3,FALSE)</f>
        <v>1105</v>
      </c>
      <c r="L438" s="112">
        <f t="shared" si="21"/>
        <v>0</v>
      </c>
    </row>
    <row r="439" spans="1:12">
      <c r="A439" s="109">
        <v>45207</v>
      </c>
      <c r="B439" s="106">
        <f>VLOOKUP(A439,Sheet2!A:C,2,FALSE)</f>
        <v>260</v>
      </c>
      <c r="C439" s="106">
        <v>3700</v>
      </c>
      <c r="D439" s="106">
        <f>VLOOKUP(A439,Sheet4!A:C,2,FALSE)</f>
        <v>1006</v>
      </c>
      <c r="E439" s="106">
        <f t="shared" si="22"/>
        <v>7.3015</v>
      </c>
      <c r="F439" s="106">
        <f t="shared" si="23"/>
        <v>106.22</v>
      </c>
      <c r="G439" s="106">
        <f t="shared" si="24"/>
        <v>89.59</v>
      </c>
      <c r="H439" s="106">
        <f t="shared" si="25"/>
        <v>3.34</v>
      </c>
      <c r="I439" s="111">
        <f t="shared" si="26"/>
        <v>1869.5</v>
      </c>
      <c r="J439" s="106">
        <f>VLOOKUP(A439,Sheet2!A:C,3,FALSE)</f>
        <v>1110</v>
      </c>
      <c r="L439" s="112">
        <f t="shared" si="21"/>
        <v>0.00452488687782805</v>
      </c>
    </row>
    <row r="440" spans="1:12">
      <c r="A440" s="109">
        <v>45208</v>
      </c>
      <c r="B440" s="106">
        <f>VLOOKUP(A440,Sheet2!A:C,2,FALSE)</f>
        <v>262</v>
      </c>
      <c r="C440" s="106">
        <v>3700</v>
      </c>
      <c r="D440" s="106">
        <f>VLOOKUP(A440,Sheet4!A:C,2,FALSE)</f>
        <v>1004</v>
      </c>
      <c r="E440" s="106">
        <f>VLOOKUP(A440,Sheet5!A:B,2,FALSE)</f>
        <v>7.2923</v>
      </c>
      <c r="F440" s="106">
        <f>VLOOKUP(A440,Sheet6!A:B,2,FALSE)</f>
        <v>106.08</v>
      </c>
      <c r="G440" s="106">
        <f>VLOOKUP(A440,WTI原油期货!A:B,2,FALSE)</f>
        <v>84.6</v>
      </c>
      <c r="H440" s="106">
        <f>VLOOKUP(A440,天然气期货!A:B,2,FALSE)</f>
        <v>3.631</v>
      </c>
      <c r="I440" s="111">
        <f>VLOOKUP(A440,黄金期货!A:B,2,FALSE)</f>
        <v>1855.7</v>
      </c>
      <c r="J440" s="106">
        <f>VLOOKUP(A440,Sheet2!A:C,3,FALSE)</f>
        <v>1110</v>
      </c>
      <c r="L440" s="112">
        <f t="shared" si="21"/>
        <v>0</v>
      </c>
    </row>
    <row r="441" spans="1:12">
      <c r="A441" s="109">
        <v>45209</v>
      </c>
      <c r="B441" s="106">
        <f>VLOOKUP(A441,Sheet2!A:C,2,FALSE)</f>
        <v>268</v>
      </c>
      <c r="C441" s="106">
        <v>3700</v>
      </c>
      <c r="D441" s="106">
        <f>VLOOKUP(A441,Sheet4!A:C,2,FALSE)</f>
        <v>1002</v>
      </c>
      <c r="E441" s="106">
        <f>VLOOKUP(A441,Sheet5!A:B,2,FALSE)</f>
        <v>7.2958</v>
      </c>
      <c r="F441" s="106">
        <f>VLOOKUP(A441,Sheet6!A:B,2,FALSE)</f>
        <v>105.82</v>
      </c>
      <c r="G441" s="106">
        <f>VLOOKUP(A441,WTI原油期货!A:B,2,FALSE)</f>
        <v>84.13</v>
      </c>
      <c r="H441" s="106">
        <f>VLOOKUP(A441,天然气期货!A:B,2,FALSE)</f>
        <v>3.659</v>
      </c>
      <c r="I441" s="111">
        <f>VLOOKUP(A441,黄金期货!A:B,2,FALSE)</f>
        <v>1866.7</v>
      </c>
      <c r="J441" s="106">
        <f>VLOOKUP(A441,Sheet2!A:C,3,FALSE)</f>
        <v>1100</v>
      </c>
      <c r="L441" s="112">
        <f t="shared" si="21"/>
        <v>-0.00900900900900901</v>
      </c>
    </row>
    <row r="442" spans="1:12">
      <c r="A442" s="109">
        <v>45210</v>
      </c>
      <c r="B442" s="106">
        <f>VLOOKUP(A442,Sheet2!A:C,2,FALSE)</f>
        <v>267</v>
      </c>
      <c r="C442" s="106">
        <v>3700</v>
      </c>
      <c r="D442" s="106">
        <f>VLOOKUP(A442,Sheet4!A:C,2,FALSE)</f>
        <v>999</v>
      </c>
      <c r="E442" s="106">
        <f>VLOOKUP(A442,Sheet5!A:B,2,FALSE)</f>
        <v>7.3001</v>
      </c>
      <c r="F442" s="106">
        <f>VLOOKUP(A442,Sheet6!A:B,2,FALSE)</f>
        <v>105.82</v>
      </c>
      <c r="G442" s="106">
        <f>VLOOKUP(A442,WTI原油期货!A:B,2,FALSE)</f>
        <v>82.07</v>
      </c>
      <c r="H442" s="106">
        <f>VLOOKUP(A442,天然气期货!A:B,2,FALSE)</f>
        <v>3.658</v>
      </c>
      <c r="I442" s="111">
        <f>VLOOKUP(A442,黄金期货!A:B,2,FALSE)</f>
        <v>1878.4</v>
      </c>
      <c r="J442" s="106">
        <f>VLOOKUP(A442,Sheet2!A:C,3,FALSE)</f>
        <v>1095</v>
      </c>
      <c r="L442" s="112">
        <f t="shared" si="21"/>
        <v>-0.00454545454545455</v>
      </c>
    </row>
    <row r="443" spans="1:12">
      <c r="A443" s="109">
        <v>45211</v>
      </c>
      <c r="B443" s="106">
        <f>VLOOKUP(A443,Sheet2!A:C,2,FALSE)</f>
        <v>265</v>
      </c>
      <c r="C443" s="106">
        <v>3700</v>
      </c>
      <c r="D443" s="106">
        <f>VLOOKUP(A443,Sheet4!A:C,2,FALSE)</f>
        <v>994</v>
      </c>
      <c r="E443" s="106">
        <f>VLOOKUP(A443,Sheet5!A:B,2,FALSE)</f>
        <v>7.3028</v>
      </c>
      <c r="F443" s="106">
        <f>VLOOKUP(A443,Sheet6!A:B,2,FALSE)</f>
        <v>106.6</v>
      </c>
      <c r="G443" s="106">
        <f>VLOOKUP(A443,WTI原油期货!A:B,2,FALSE)</f>
        <v>81.8</v>
      </c>
      <c r="H443" s="106">
        <f>VLOOKUP(A443,天然气期货!A:B,2,FALSE)</f>
        <v>3.639</v>
      </c>
      <c r="I443" s="111">
        <f>VLOOKUP(A443,黄金期货!A:B,2,FALSE)</f>
        <v>1874.2</v>
      </c>
      <c r="J443" s="106">
        <f>VLOOKUP(A443,Sheet2!A:C,3,FALSE)</f>
        <v>1085</v>
      </c>
      <c r="L443" s="112">
        <f t="shared" si="21"/>
        <v>-0.0091324200913242</v>
      </c>
    </row>
    <row r="444" spans="1:12">
      <c r="A444" s="109">
        <v>45212</v>
      </c>
      <c r="B444" s="106">
        <f>VLOOKUP(A444,Sheet2!A:C,2,FALSE)</f>
        <v>266</v>
      </c>
      <c r="C444" s="106">
        <v>3700</v>
      </c>
      <c r="D444" s="106">
        <f>VLOOKUP(A444,Sheet4!A:C,2,FALSE)</f>
        <v>991</v>
      </c>
      <c r="E444" s="106">
        <f>VLOOKUP(A444,Sheet5!A:B,2,FALSE)</f>
        <v>7.306</v>
      </c>
      <c r="F444" s="106">
        <f>VLOOKUP(A444,Sheet6!A:B,2,FALSE)</f>
        <v>106.65</v>
      </c>
      <c r="G444" s="106">
        <f>VLOOKUP(A444,WTI原油期货!A:B,2,FALSE)</f>
        <v>86.35</v>
      </c>
      <c r="H444" s="106">
        <f>VLOOKUP(A444,天然气期货!A:B,2,FALSE)</f>
        <v>3.584</v>
      </c>
      <c r="I444" s="111">
        <f>VLOOKUP(A444,黄金期货!A:B,2,FALSE)</f>
        <v>1932.1</v>
      </c>
      <c r="J444" s="106">
        <f>VLOOKUP(A444,Sheet2!A:C,3,FALSE)</f>
        <v>1075</v>
      </c>
      <c r="L444" s="112">
        <f t="shared" si="21"/>
        <v>-0.00921658986175115</v>
      </c>
    </row>
    <row r="445" spans="1:12">
      <c r="A445" s="109">
        <v>45215</v>
      </c>
      <c r="B445" s="106">
        <f>VLOOKUP(A445,Sheet2!A:C,2,FALSE)</f>
        <v>274</v>
      </c>
      <c r="C445" s="106">
        <v>3700</v>
      </c>
      <c r="D445" s="106">
        <f>VLOOKUP(A445,Sheet4!A:C,2,FALSE)</f>
        <v>992</v>
      </c>
      <c r="E445" s="106">
        <f>VLOOKUP(A445,Sheet5!A:B,2,FALSE)</f>
        <v>7.3111</v>
      </c>
      <c r="F445" s="106">
        <f>VLOOKUP(A445,Sheet6!A:B,2,FALSE)</f>
        <v>106.24</v>
      </c>
      <c r="G445" s="106">
        <f>VLOOKUP(A445,WTI原油期货!A:B,2,FALSE)</f>
        <v>85.26</v>
      </c>
      <c r="H445" s="106">
        <f>VLOOKUP(A445,天然气期货!A:B,2,FALSE)</f>
        <v>3.479</v>
      </c>
      <c r="I445" s="111">
        <f>VLOOKUP(A445,黄金期货!A:B,2,FALSE)</f>
        <v>1925.1</v>
      </c>
      <c r="J445" s="106">
        <f>VLOOKUP(A445,Sheet2!A:C,3,FALSE)</f>
        <v>1075</v>
      </c>
      <c r="L445" s="112">
        <f t="shared" si="21"/>
        <v>0</v>
      </c>
    </row>
    <row r="446" spans="1:12">
      <c r="A446" s="109">
        <v>45216</v>
      </c>
      <c r="B446" s="106">
        <f>VLOOKUP(A446,Sheet2!A:C,2,FALSE)</f>
        <v>274</v>
      </c>
      <c r="C446" s="106">
        <v>3700</v>
      </c>
      <c r="D446" s="106">
        <f>VLOOKUP(A446,Sheet4!A:C,2,FALSE)</f>
        <v>990</v>
      </c>
      <c r="E446" s="106">
        <f>VLOOKUP(A446,Sheet5!A:B,2,FALSE)</f>
        <v>7.3128</v>
      </c>
      <c r="F446" s="106">
        <f>VLOOKUP(A446,Sheet6!A:B,2,FALSE)</f>
        <v>106.25</v>
      </c>
      <c r="G446" s="106">
        <f>VLOOKUP(A446,WTI原油期货!A:B,2,FALSE)</f>
        <v>85.44</v>
      </c>
      <c r="H446" s="106">
        <f>VLOOKUP(A446,天然气期货!A:B,2,FALSE)</f>
        <v>3.468</v>
      </c>
      <c r="I446" s="111">
        <f>VLOOKUP(A446,黄金期货!A:B,2,FALSE)</f>
        <v>1926.4</v>
      </c>
      <c r="J446" s="106">
        <f>VLOOKUP(A446,Sheet2!A:C,3,FALSE)</f>
        <v>1060</v>
      </c>
      <c r="L446" s="112">
        <f t="shared" si="21"/>
        <v>-0.013953488372093</v>
      </c>
    </row>
    <row r="447" spans="1:12">
      <c r="A447" s="109">
        <v>45217</v>
      </c>
      <c r="B447" s="106">
        <f>VLOOKUP(A447,Sheet2!A:C,2,FALSE)</f>
        <v>274</v>
      </c>
      <c r="C447" s="106">
        <v>3700</v>
      </c>
      <c r="D447" s="106">
        <f>VLOOKUP(A447,Sheet4!A:C,2,FALSE)</f>
        <v>989</v>
      </c>
      <c r="E447" s="106">
        <f>VLOOKUP(A447,Sheet5!A:B,2,FALSE)</f>
        <v>7.3155</v>
      </c>
      <c r="F447" s="106">
        <f>VLOOKUP(A447,Sheet6!A:B,2,FALSE)</f>
        <v>106.57</v>
      </c>
      <c r="G447" s="106">
        <f>VLOOKUP(A447,WTI原油期货!A:B,2,FALSE)</f>
        <v>87.27</v>
      </c>
      <c r="H447" s="106">
        <f>VLOOKUP(A447,天然气期货!A:B,2,FALSE)</f>
        <v>3.463</v>
      </c>
      <c r="I447" s="111">
        <f>VLOOKUP(A447,黄金期货!A:B,2,FALSE)</f>
        <v>1958.8</v>
      </c>
      <c r="J447" s="106">
        <f>VLOOKUP(A447,Sheet2!A:C,3,FALSE)</f>
        <v>1060</v>
      </c>
      <c r="L447" s="112">
        <f t="shared" si="21"/>
        <v>0</v>
      </c>
    </row>
    <row r="448" spans="1:12">
      <c r="A448" s="109">
        <v>45218</v>
      </c>
      <c r="B448" s="106">
        <f>VLOOKUP(A448,Sheet2!A:C,2,FALSE)</f>
        <v>278</v>
      </c>
      <c r="C448" s="106">
        <v>3700</v>
      </c>
      <c r="D448" s="106">
        <f>VLOOKUP(A448,Sheet4!A:C,2,FALSE)</f>
        <v>987</v>
      </c>
      <c r="E448" s="106">
        <f>VLOOKUP(A448,Sheet5!A:B,2,FALSE)</f>
        <v>7.3135</v>
      </c>
      <c r="F448" s="106">
        <f>VLOOKUP(A448,Sheet6!A:B,2,FALSE)</f>
        <v>106.25</v>
      </c>
      <c r="G448" s="106">
        <f>VLOOKUP(A448,WTI原油期货!A:B,2,FALSE)</f>
        <v>88.37</v>
      </c>
      <c r="H448" s="106">
        <f>VLOOKUP(A448,天然气期货!A:B,2,FALSE)</f>
        <v>3.326</v>
      </c>
      <c r="I448" s="111">
        <f>VLOOKUP(A448,黄金期货!A:B,2,FALSE)</f>
        <v>1971.2</v>
      </c>
      <c r="J448" s="106">
        <f>VLOOKUP(A448,Sheet2!A:C,3,FALSE)</f>
        <v>1050</v>
      </c>
      <c r="L448" s="112">
        <f t="shared" si="21"/>
        <v>-0.00943396226415094</v>
      </c>
    </row>
    <row r="449" spans="1:12">
      <c r="A449" s="109">
        <v>45219</v>
      </c>
      <c r="B449" s="106">
        <f>VLOOKUP(A449,Sheet2!A:C,2,FALSE)</f>
        <v>280</v>
      </c>
      <c r="C449" s="106">
        <v>3700</v>
      </c>
      <c r="D449" s="106">
        <f>VLOOKUP(A449,Sheet4!A:C,2,FALSE)</f>
        <v>985</v>
      </c>
      <c r="E449" s="106">
        <f>VLOOKUP(A449,Sheet5!A:B,2,FALSE)</f>
        <v>7.3164</v>
      </c>
      <c r="F449" s="106">
        <f>VLOOKUP(A449,Sheet6!A:B,2,FALSE)</f>
        <v>106.16</v>
      </c>
      <c r="G449" s="106">
        <f>VLOOKUP(A449,WTI原油期货!A:B,2,FALSE)</f>
        <v>88.08</v>
      </c>
      <c r="H449" s="106">
        <f>VLOOKUP(A449,天然气期货!A:B,2,FALSE)</f>
        <v>3.258</v>
      </c>
      <c r="I449" s="111">
        <f>VLOOKUP(A449,黄金期货!A:B,2,FALSE)</f>
        <v>1985</v>
      </c>
      <c r="J449" s="106">
        <f>VLOOKUP(A449,Sheet2!A:C,3,FALSE)</f>
        <v>1030</v>
      </c>
      <c r="L449" s="112">
        <f t="shared" si="21"/>
        <v>-0.019047619047619</v>
      </c>
    </row>
    <row r="450" spans="1:12">
      <c r="A450" s="109">
        <v>45222</v>
      </c>
      <c r="B450" s="106">
        <f>VLOOKUP(A450,Sheet2!A:C,2,FALSE)</f>
        <v>289</v>
      </c>
      <c r="C450" s="106">
        <v>3700</v>
      </c>
      <c r="D450" s="106">
        <f>VLOOKUP(A450,Sheet4!A:C,2,FALSE)</f>
        <v>980</v>
      </c>
      <c r="E450" s="106">
        <f>VLOOKUP(A450,Sheet5!A:B,2,FALSE)</f>
        <v>7.3159</v>
      </c>
      <c r="F450" s="106">
        <f>VLOOKUP(A450,Sheet6!A:B,2,FALSE)</f>
        <v>105.54</v>
      </c>
      <c r="G450" s="106">
        <f>VLOOKUP(A450,WTI原油期货!A:B,2,FALSE)</f>
        <v>84.42</v>
      </c>
      <c r="H450" s="106">
        <f>VLOOKUP(A450,天然气期货!A:B,2,FALSE)</f>
        <v>3.273</v>
      </c>
      <c r="I450" s="111">
        <f>VLOOKUP(A450,黄金期货!A:B,2,FALSE)</f>
        <v>1978.2</v>
      </c>
      <c r="J450" s="106">
        <f>VLOOKUP(A450,Sheet2!A:C,3,FALSE)</f>
        <v>1000</v>
      </c>
      <c r="L450" s="112">
        <f t="shared" si="21"/>
        <v>-0.029126213592233</v>
      </c>
    </row>
    <row r="451" spans="1:12">
      <c r="A451" s="109">
        <v>45223</v>
      </c>
      <c r="B451" s="106">
        <f>VLOOKUP(A451,Sheet2!A:C,2,FALSE)</f>
        <v>288</v>
      </c>
      <c r="C451" s="106">
        <v>3700</v>
      </c>
      <c r="D451" s="106">
        <f>VLOOKUP(A451,Sheet4!A:C,2,FALSE)</f>
        <v>977</v>
      </c>
      <c r="E451" s="106">
        <f>VLOOKUP(A451,Sheet5!A:B,2,FALSE)</f>
        <v>7.31</v>
      </c>
      <c r="F451" s="106">
        <f>VLOOKUP(A451,Sheet6!A:B,2,FALSE)</f>
        <v>106.27</v>
      </c>
      <c r="G451" s="106">
        <f>VLOOKUP(A451,WTI原油期货!A:B,2,FALSE)</f>
        <v>82.97</v>
      </c>
      <c r="H451" s="106">
        <f>VLOOKUP(A451,天然气期货!A:B,2,FALSE)</f>
        <v>3.322</v>
      </c>
      <c r="I451" s="111">
        <f>VLOOKUP(A451,黄金期货!A:B,2,FALSE)</f>
        <v>1976.8</v>
      </c>
      <c r="J451" s="106">
        <f>VLOOKUP(A451,Sheet2!A:C,3,FALSE)</f>
        <v>980</v>
      </c>
      <c r="L451" s="112">
        <f t="shared" ref="L451:L514" si="27">(J451-J450)/J450</f>
        <v>-0.02</v>
      </c>
    </row>
    <row r="452" spans="1:12">
      <c r="A452" s="109">
        <v>45224</v>
      </c>
      <c r="B452" s="106">
        <f>VLOOKUP(A452,Sheet2!A:C,2,FALSE)</f>
        <v>283</v>
      </c>
      <c r="C452" s="106">
        <v>3700</v>
      </c>
      <c r="D452" s="106">
        <f>VLOOKUP(A452,Sheet4!A:C,2,FALSE)</f>
        <v>975</v>
      </c>
      <c r="E452" s="106">
        <f>VLOOKUP(A452,Sheet5!A:B,2,FALSE)</f>
        <v>7.3173</v>
      </c>
      <c r="F452" s="106">
        <f>VLOOKUP(A452,Sheet6!A:B,2,FALSE)</f>
        <v>106.53</v>
      </c>
      <c r="G452" s="106">
        <f>VLOOKUP(A452,WTI原油期货!A:B,2,FALSE)</f>
        <v>84.69</v>
      </c>
      <c r="H452" s="106">
        <f>VLOOKUP(A452,天然气期货!A:B,2,FALSE)</f>
        <v>3.376</v>
      </c>
      <c r="I452" s="111">
        <f>VLOOKUP(A452,黄金期货!A:B,2,FALSE)</f>
        <v>1985.5</v>
      </c>
      <c r="J452" s="106">
        <f>VLOOKUP(A452,Sheet2!A:C,3,FALSE)</f>
        <v>940</v>
      </c>
      <c r="L452" s="112">
        <f t="shared" si="27"/>
        <v>-0.0408163265306122</v>
      </c>
    </row>
    <row r="453" spans="1:12">
      <c r="A453" s="109">
        <v>45225</v>
      </c>
      <c r="B453" s="106">
        <f>VLOOKUP(A453,Sheet2!A:C,2,FALSE)</f>
        <v>281</v>
      </c>
      <c r="C453" s="106">
        <v>3700</v>
      </c>
      <c r="D453" s="106">
        <f>VLOOKUP(A453,Sheet4!A:C,2,FALSE)</f>
        <v>975</v>
      </c>
      <c r="E453" s="106">
        <f>VLOOKUP(A453,Sheet5!A:B,2,FALSE)</f>
        <v>7.3158</v>
      </c>
      <c r="F453" s="106">
        <f>VLOOKUP(A453,Sheet6!A:B,2,FALSE)</f>
        <v>106.6</v>
      </c>
      <c r="G453" s="106">
        <f>VLOOKUP(A453,WTI原油期货!A:B,2,FALSE)</f>
        <v>82.54</v>
      </c>
      <c r="H453" s="106">
        <f>VLOOKUP(A453,天然气期货!A:B,2,FALSE)</f>
        <v>3.477</v>
      </c>
      <c r="I453" s="111">
        <f>VLOOKUP(A453,黄金期货!A:B,2,FALSE)</f>
        <v>1987.9</v>
      </c>
      <c r="J453" s="106">
        <f>VLOOKUP(A453,Sheet2!A:C,3,FALSE)</f>
        <v>950</v>
      </c>
      <c r="L453" s="112">
        <f t="shared" si="27"/>
        <v>0.0106382978723404</v>
      </c>
    </row>
    <row r="454" spans="1:12">
      <c r="A454" s="109">
        <v>45226</v>
      </c>
      <c r="B454" s="106">
        <f>VLOOKUP(A454,Sheet2!A:C,2,FALSE)</f>
        <v>281</v>
      </c>
      <c r="C454" s="106">
        <v>3700</v>
      </c>
      <c r="D454" s="106">
        <f>VLOOKUP(A454,Sheet4!A:C,2,FALSE)</f>
        <v>972</v>
      </c>
      <c r="E454" s="106">
        <f>VLOOKUP(A454,Sheet5!A:B,2,FALSE)</f>
        <v>7.3174</v>
      </c>
      <c r="F454" s="106">
        <f>VLOOKUP(A454,Sheet6!A:B,2,FALSE)</f>
        <v>106.56</v>
      </c>
      <c r="G454" s="106">
        <f>VLOOKUP(A454,WTI原油期货!A:B,2,FALSE)</f>
        <v>84.7</v>
      </c>
      <c r="H454" s="106">
        <f>VLOOKUP(A454,天然气期货!A:B,2,FALSE)</f>
        <v>3.483</v>
      </c>
      <c r="I454" s="111">
        <f>VLOOKUP(A454,黄金期货!A:B,2,FALSE)</f>
        <v>1989</v>
      </c>
      <c r="J454" s="106">
        <f>VLOOKUP(A454,Sheet2!A:C,3,FALSE)</f>
        <v>970</v>
      </c>
      <c r="L454" s="112">
        <f t="shared" si="27"/>
        <v>0.0210526315789474</v>
      </c>
    </row>
    <row r="455" spans="1:12">
      <c r="A455" s="109">
        <v>45229</v>
      </c>
      <c r="B455" s="106">
        <f>VLOOKUP(A455,Sheet2!A:C,2,FALSE)</f>
        <v>277</v>
      </c>
      <c r="C455" s="106">
        <v>3700</v>
      </c>
      <c r="D455" s="106">
        <f>VLOOKUP(A455,Sheet4!A:C,2,FALSE)</f>
        <v>972</v>
      </c>
      <c r="E455" s="106">
        <f>VLOOKUP(A455,Sheet5!A:B,2,FALSE)</f>
        <v>7.3134</v>
      </c>
      <c r="F455" s="106">
        <f>VLOOKUP(A455,Sheet6!A:B,2,FALSE)</f>
        <v>106.12</v>
      </c>
      <c r="G455" s="106">
        <f>VLOOKUP(A455,WTI原油期货!A:B,2,FALSE)</f>
        <v>81.68</v>
      </c>
      <c r="H455" s="106">
        <f>VLOOKUP(A455,天然气期货!A:B,2,FALSE)</f>
        <v>3.589</v>
      </c>
      <c r="I455" s="111">
        <f>VLOOKUP(A455,黄金期货!A:B,2,FALSE)</f>
        <v>2005.6</v>
      </c>
      <c r="J455" s="106">
        <f>VLOOKUP(A455,Sheet2!A:C,3,FALSE)</f>
        <v>970</v>
      </c>
      <c r="L455" s="112">
        <f t="shared" si="27"/>
        <v>0</v>
      </c>
    </row>
    <row r="456" spans="1:12">
      <c r="A456" s="109">
        <v>45230</v>
      </c>
      <c r="B456" s="106">
        <f>VLOOKUP(A456,Sheet2!A:C,2,FALSE)</f>
        <v>282</v>
      </c>
      <c r="C456" s="106">
        <v>3700</v>
      </c>
      <c r="D456" s="106">
        <f>VLOOKUP(A456,Sheet4!A:C,2,FALSE)</f>
        <v>970</v>
      </c>
      <c r="E456" s="106">
        <f>VLOOKUP(A456,Sheet5!A:B,2,FALSE)</f>
        <v>7.3165</v>
      </c>
      <c r="F456" s="106">
        <f>VLOOKUP(A456,Sheet6!A:B,2,FALSE)</f>
        <v>106.66</v>
      </c>
      <c r="G456" s="106">
        <f>VLOOKUP(A456,WTI原油期货!A:B,2,FALSE)</f>
        <v>80.5</v>
      </c>
      <c r="H456" s="106">
        <f>VLOOKUP(A456,天然气期货!A:B,2,FALSE)</f>
        <v>3.813</v>
      </c>
      <c r="I456" s="111">
        <f>VLOOKUP(A456,黄金期货!A:B,2,FALSE)</f>
        <v>1994.3</v>
      </c>
      <c r="J456" s="106">
        <f>VLOOKUP(A456,Sheet2!A:C,3,FALSE)</f>
        <v>985</v>
      </c>
      <c r="L456" s="112">
        <f t="shared" si="27"/>
        <v>0.0154639175257732</v>
      </c>
    </row>
    <row r="457" spans="1:12">
      <c r="A457" s="109">
        <v>45231</v>
      </c>
      <c r="B457" s="106">
        <f>VLOOKUP(A457,Sheet2!A:C,2,FALSE)</f>
        <v>281</v>
      </c>
      <c r="C457" s="106">
        <v>3700</v>
      </c>
      <c r="D457" s="106">
        <f>VLOOKUP(A457,Sheet4!A:C,2,FALSE)</f>
        <v>967</v>
      </c>
      <c r="E457" s="106">
        <f>VLOOKUP(A457,Sheet5!A:B,2,FALSE)</f>
        <v>7.3177</v>
      </c>
      <c r="F457" s="106">
        <f>VLOOKUP(A457,Sheet6!A:B,2,FALSE)</f>
        <v>106.88</v>
      </c>
      <c r="G457" s="106">
        <f>VLOOKUP(A457,WTI原油期货!A:B,2,FALSE)</f>
        <v>80.1</v>
      </c>
      <c r="H457" s="106">
        <f>VLOOKUP(A457,天然气期货!A:B,2,FALSE)</f>
        <v>3.753</v>
      </c>
      <c r="I457" s="111">
        <f>VLOOKUP(A457,黄金期货!A:B,2,FALSE)</f>
        <v>1987.5</v>
      </c>
      <c r="J457" s="106">
        <f>VLOOKUP(A457,Sheet2!A:C,3,FALSE)</f>
        <v>990</v>
      </c>
      <c r="L457" s="112">
        <f t="shared" si="27"/>
        <v>0.0050761421319797</v>
      </c>
    </row>
    <row r="458" spans="1:12">
      <c r="A458" s="109">
        <v>45232</v>
      </c>
      <c r="B458" s="106">
        <f>VLOOKUP(A458,Sheet2!A:C,2,FALSE)</f>
        <v>279</v>
      </c>
      <c r="C458" s="106">
        <v>3700</v>
      </c>
      <c r="D458" s="106">
        <f>VLOOKUP(A458,Sheet4!A:C,2,FALSE)</f>
        <v>966</v>
      </c>
      <c r="E458" s="106">
        <f>VLOOKUP(A458,Sheet5!A:B,2,FALSE)</f>
        <v>7.3164</v>
      </c>
      <c r="F458" s="106">
        <f>VLOOKUP(A458,Sheet6!A:B,2,FALSE)</f>
        <v>106.12</v>
      </c>
      <c r="G458" s="106">
        <f>VLOOKUP(A458,WTI原油期货!A:B,2,FALSE)</f>
        <v>82.16</v>
      </c>
      <c r="H458" s="106">
        <f>VLOOKUP(A458,天然气期货!A:B,2,FALSE)</f>
        <v>3.75</v>
      </c>
      <c r="I458" s="111">
        <f>VLOOKUP(A458,黄金期货!A:B,2,FALSE)</f>
        <v>1993.5</v>
      </c>
      <c r="J458" s="106">
        <f>VLOOKUP(A458,Sheet2!A:C,3,FALSE)</f>
        <v>985</v>
      </c>
      <c r="L458" s="112">
        <f t="shared" si="27"/>
        <v>-0.00505050505050505</v>
      </c>
    </row>
    <row r="459" spans="1:12">
      <c r="A459" s="109">
        <v>45233</v>
      </c>
      <c r="B459" s="106">
        <f>VLOOKUP(A459,Sheet2!A:C,2,FALSE)</f>
        <v>280</v>
      </c>
      <c r="C459" s="106">
        <v>3700</v>
      </c>
      <c r="D459" s="106">
        <f>VLOOKUP(A459,Sheet4!A:C,2,FALSE)</f>
        <v>965</v>
      </c>
      <c r="E459" s="106">
        <f>VLOOKUP(A459,Sheet5!A:B,2,FALSE)</f>
        <v>7.3013</v>
      </c>
      <c r="F459" s="106">
        <f>VLOOKUP(A459,Sheet6!A:B,2,FALSE)</f>
        <v>105.02</v>
      </c>
      <c r="G459" s="106">
        <f>VLOOKUP(A459,WTI原油期货!A:B,2,FALSE)</f>
        <v>80.23</v>
      </c>
      <c r="H459" s="106">
        <f>VLOOKUP(A459,天然气期货!A:B,2,FALSE)</f>
        <v>3.795</v>
      </c>
      <c r="I459" s="111">
        <f>VLOOKUP(A459,黄金期货!A:B,2,FALSE)</f>
        <v>1999.2</v>
      </c>
      <c r="J459" s="106">
        <f>VLOOKUP(A459,Sheet2!A:C,3,FALSE)</f>
        <v>980</v>
      </c>
      <c r="L459" s="112">
        <f t="shared" si="27"/>
        <v>-0.0050761421319797</v>
      </c>
    </row>
    <row r="460" spans="1:12">
      <c r="A460" s="109">
        <v>45236</v>
      </c>
      <c r="B460" s="106">
        <f>VLOOKUP(A460,Sheet2!A:C,2,FALSE)</f>
        <v>278</v>
      </c>
      <c r="C460" s="106">
        <v>3700</v>
      </c>
      <c r="D460" s="106">
        <f>VLOOKUP(A460,Sheet4!A:C,2,FALSE)</f>
        <v>964</v>
      </c>
      <c r="E460" s="106">
        <f>VLOOKUP(A460,Sheet5!A:B,2,FALSE)</f>
        <v>7.2703</v>
      </c>
      <c r="F460" s="106">
        <f>VLOOKUP(A460,Sheet6!A:B,2,FALSE)</f>
        <v>105.21</v>
      </c>
      <c r="G460" s="106">
        <f>VLOOKUP(A460,WTI原油期货!A:B,2,FALSE)</f>
        <v>80.6</v>
      </c>
      <c r="H460" s="106">
        <f>VLOOKUP(A460,天然气期货!A:B,2,FALSE)</f>
        <v>3.564</v>
      </c>
      <c r="I460" s="111">
        <f>VLOOKUP(A460,黄金期货!A:B,2,FALSE)</f>
        <v>1988.6</v>
      </c>
      <c r="J460" s="106">
        <f>VLOOKUP(A460,Sheet2!A:C,3,FALSE)</f>
        <v>980</v>
      </c>
      <c r="L460" s="112">
        <f t="shared" si="27"/>
        <v>0</v>
      </c>
    </row>
    <row r="461" spans="1:12">
      <c r="A461" s="109">
        <v>45237</v>
      </c>
      <c r="B461" s="106">
        <f>VLOOKUP(A461,Sheet2!A:C,2,FALSE)</f>
        <v>278</v>
      </c>
      <c r="C461" s="106">
        <v>3700</v>
      </c>
      <c r="D461" s="106">
        <f>VLOOKUP(A461,Sheet4!A:C,2,FALSE)</f>
        <v>963</v>
      </c>
      <c r="E461" s="106">
        <f>VLOOKUP(A461,Sheet5!A:B,2,FALSE)</f>
        <v>7.2799</v>
      </c>
      <c r="F461" s="106">
        <f>VLOOKUP(A461,Sheet6!A:B,2,FALSE)</f>
        <v>105.54</v>
      </c>
      <c r="G461" s="106">
        <f>VLOOKUP(A461,WTI原油期货!A:B,2,FALSE)</f>
        <v>77.21</v>
      </c>
      <c r="H461" s="106">
        <f>VLOOKUP(A461,天然气期货!A:B,2,FALSE)</f>
        <v>3.463</v>
      </c>
      <c r="I461" s="111">
        <f>VLOOKUP(A461,黄金期货!A:B,2,FALSE)</f>
        <v>1973.5</v>
      </c>
      <c r="J461" s="106">
        <f>VLOOKUP(A461,Sheet2!A:C,3,FALSE)</f>
        <v>990</v>
      </c>
      <c r="L461" s="112">
        <f t="shared" si="27"/>
        <v>0.0102040816326531</v>
      </c>
    </row>
    <row r="462" spans="1:12">
      <c r="A462" s="109">
        <v>45238</v>
      </c>
      <c r="B462" s="106">
        <f>VLOOKUP(A462,Sheet2!A:C,2,FALSE)</f>
        <v>277</v>
      </c>
      <c r="C462" s="106">
        <v>3750</v>
      </c>
      <c r="D462" s="106">
        <f>VLOOKUP(A462,Sheet4!A:C,2,FALSE)</f>
        <v>961</v>
      </c>
      <c r="E462" s="106">
        <f>VLOOKUP(A462,Sheet5!A:B,2,FALSE)</f>
        <v>7.2804</v>
      </c>
      <c r="F462" s="106">
        <f>VLOOKUP(A462,Sheet6!A:B,2,FALSE)</f>
        <v>105.59</v>
      </c>
      <c r="G462" s="106">
        <f>VLOOKUP(A462,WTI原油期货!A:B,2,FALSE)</f>
        <v>75.31</v>
      </c>
      <c r="H462" s="106">
        <f>VLOOKUP(A462,天然气期货!A:B,2,FALSE)</f>
        <v>3.389</v>
      </c>
      <c r="I462" s="111">
        <f>VLOOKUP(A462,黄金期货!A:B,2,FALSE)</f>
        <v>1957.8</v>
      </c>
      <c r="J462" s="106">
        <f>VLOOKUP(A462,Sheet2!A:C,3,FALSE)</f>
        <v>1010</v>
      </c>
      <c r="L462" s="112">
        <f t="shared" si="27"/>
        <v>0.0202020202020202</v>
      </c>
    </row>
    <row r="463" spans="1:12">
      <c r="A463" s="109">
        <v>45239</v>
      </c>
      <c r="B463" s="106">
        <f>VLOOKUP(A463,Sheet2!A:C,2,FALSE)</f>
        <v>276</v>
      </c>
      <c r="C463" s="106">
        <v>3750</v>
      </c>
      <c r="D463" s="106">
        <f>VLOOKUP(A463,Sheet4!A:C,2,FALSE)</f>
        <v>961</v>
      </c>
      <c r="E463" s="106">
        <f>VLOOKUP(A463,Sheet5!A:B,2,FALSE)</f>
        <v>7.2838</v>
      </c>
      <c r="F463" s="106">
        <f>VLOOKUP(A463,Sheet6!A:B,2,FALSE)</f>
        <v>105.91</v>
      </c>
      <c r="G463" s="106">
        <f>VLOOKUP(A463,WTI原油期货!A:B,2,FALSE)</f>
        <v>75.75</v>
      </c>
      <c r="H463" s="106">
        <f>VLOOKUP(A463,天然气期货!A:B,2,FALSE)</f>
        <v>3.333</v>
      </c>
      <c r="I463" s="111">
        <f>VLOOKUP(A463,黄金期货!A:B,2,FALSE)</f>
        <v>1969.8</v>
      </c>
      <c r="J463" s="106">
        <f>VLOOKUP(A463,Sheet2!A:C,3,FALSE)</f>
        <v>1010</v>
      </c>
      <c r="L463" s="112">
        <f t="shared" si="27"/>
        <v>0</v>
      </c>
    </row>
    <row r="464" spans="1:12">
      <c r="A464" s="109">
        <v>45240</v>
      </c>
      <c r="B464" s="106">
        <f>VLOOKUP(A464,Sheet2!A:C,2,FALSE)</f>
        <v>275</v>
      </c>
      <c r="C464" s="106">
        <v>3750</v>
      </c>
      <c r="D464" s="106">
        <f>VLOOKUP(A464,Sheet4!A:C,2,FALSE)</f>
        <v>961</v>
      </c>
      <c r="E464" s="106">
        <f>VLOOKUP(A464,Sheet5!A:B,2,FALSE)</f>
        <v>7.2894</v>
      </c>
      <c r="F464" s="106">
        <f>VLOOKUP(A464,Sheet6!A:B,2,FALSE)</f>
        <v>105.86</v>
      </c>
      <c r="G464" s="106">
        <f>VLOOKUP(A464,WTI原油期货!A:B,2,FALSE)</f>
        <v>77.15</v>
      </c>
      <c r="H464" s="106">
        <f>VLOOKUP(A464,天然气期货!A:B,2,FALSE)</f>
        <v>3.284</v>
      </c>
      <c r="I464" s="111">
        <f>VLOOKUP(A464,黄金期货!A:B,2,FALSE)</f>
        <v>1937.7</v>
      </c>
      <c r="J464" s="106">
        <f>VLOOKUP(A464,Sheet2!A:C,3,FALSE)</f>
        <v>980</v>
      </c>
      <c r="L464" s="112">
        <f t="shared" si="27"/>
        <v>-0.0297029702970297</v>
      </c>
    </row>
    <row r="465" spans="1:12">
      <c r="A465" s="109">
        <v>45243</v>
      </c>
      <c r="B465" s="106">
        <f>VLOOKUP(A465,Sheet2!A:C,2,FALSE)</f>
        <v>272</v>
      </c>
      <c r="C465" s="106">
        <v>3750</v>
      </c>
      <c r="D465" s="106">
        <f>VLOOKUP(A465,Sheet4!A:C,2,FALSE)</f>
        <v>961</v>
      </c>
      <c r="E465" s="106">
        <f>VLOOKUP(A465,Sheet5!A:B,2,FALSE)</f>
        <v>7.2893</v>
      </c>
      <c r="F465" s="106">
        <f>VLOOKUP(A465,Sheet6!A:B,2,FALSE)</f>
        <v>105.63</v>
      </c>
      <c r="G465" s="106">
        <f>VLOOKUP(A465,WTI原油期货!A:B,2,FALSE)</f>
        <v>78.19</v>
      </c>
      <c r="H465" s="106">
        <f>VLOOKUP(A465,天然气期货!A:B,2,FALSE)</f>
        <v>3.4</v>
      </c>
      <c r="I465" s="111">
        <f>VLOOKUP(A465,黄金期货!A:B,2,FALSE)</f>
        <v>1950.2</v>
      </c>
      <c r="J465" s="106">
        <f>VLOOKUP(A465,Sheet2!A:C,3,FALSE)</f>
        <v>970</v>
      </c>
      <c r="L465" s="112">
        <f t="shared" si="27"/>
        <v>-0.0102040816326531</v>
      </c>
    </row>
    <row r="466" spans="1:12">
      <c r="A466" s="109">
        <v>45244</v>
      </c>
      <c r="B466" s="106">
        <f>VLOOKUP(A466,Sheet2!A:C,2,FALSE)</f>
        <v>272</v>
      </c>
      <c r="C466" s="106">
        <v>3750</v>
      </c>
      <c r="D466" s="106">
        <f>VLOOKUP(A466,Sheet4!A:C,2,FALSE)</f>
        <v>960</v>
      </c>
      <c r="E466" s="106">
        <f>VLOOKUP(A466,Sheet5!A:B,2,FALSE)</f>
        <v>7.2538</v>
      </c>
      <c r="F466" s="106">
        <f>VLOOKUP(A466,Sheet6!A:B,2,FALSE)</f>
        <v>104.05</v>
      </c>
      <c r="G466" s="106">
        <f>VLOOKUP(A466,WTI原油期货!A:B,2,FALSE)</f>
        <v>78.17</v>
      </c>
      <c r="H466" s="106">
        <f>VLOOKUP(A466,天然气期货!A:B,2,FALSE)</f>
        <v>3.316</v>
      </c>
      <c r="I466" s="111">
        <f>VLOOKUP(A466,黄金期货!A:B,2,FALSE)</f>
        <v>1966.5</v>
      </c>
      <c r="J466" s="106">
        <f>VLOOKUP(A466,Sheet2!A:C,3,FALSE)</f>
        <v>970</v>
      </c>
      <c r="L466" s="112">
        <f t="shared" si="27"/>
        <v>0</v>
      </c>
    </row>
    <row r="467" spans="1:12">
      <c r="A467" s="109">
        <v>45245</v>
      </c>
      <c r="B467" s="106">
        <f>VLOOKUP(A467,Sheet2!A:C,2,FALSE)</f>
        <v>271</v>
      </c>
      <c r="C467" s="106">
        <v>3750</v>
      </c>
      <c r="D467" s="106">
        <f>VLOOKUP(A467,Sheet4!A:C,2,FALSE)</f>
        <v>962</v>
      </c>
      <c r="E467" s="106">
        <f>VLOOKUP(A467,Sheet5!A:B,2,FALSE)</f>
        <v>7.2468</v>
      </c>
      <c r="F467" s="106">
        <f>VLOOKUP(A467,Sheet6!A:B,2,FALSE)</f>
        <v>104.39</v>
      </c>
      <c r="G467" s="106">
        <f>VLOOKUP(A467,WTI原油期货!A:B,2,FALSE)</f>
        <v>76.79</v>
      </c>
      <c r="H467" s="106">
        <f>VLOOKUP(A467,天然气期货!A:B,2,FALSE)</f>
        <v>3.362</v>
      </c>
      <c r="I467" s="111">
        <f>VLOOKUP(A467,黄金期货!A:B,2,FALSE)</f>
        <v>1964.3</v>
      </c>
      <c r="J467" s="106">
        <f>VLOOKUP(A467,Sheet2!A:C,3,FALSE)</f>
        <v>960</v>
      </c>
      <c r="L467" s="112">
        <f t="shared" si="27"/>
        <v>-0.0103092783505155</v>
      </c>
    </row>
    <row r="468" spans="1:12">
      <c r="A468" s="109">
        <v>45246</v>
      </c>
      <c r="B468" s="106">
        <f>VLOOKUP(A468,Sheet2!A:C,2,FALSE)</f>
        <v>271</v>
      </c>
      <c r="C468" s="106">
        <v>3750</v>
      </c>
      <c r="D468" s="106">
        <f>VLOOKUP(A468,Sheet4!A:C,2,FALSE)</f>
        <v>962</v>
      </c>
      <c r="E468" s="106">
        <f>VLOOKUP(A468,Sheet5!A:B,2,FALSE)</f>
        <v>7.2427</v>
      </c>
      <c r="F468" s="106">
        <f>VLOOKUP(A468,Sheet6!A:B,2,FALSE)</f>
        <v>104.35</v>
      </c>
      <c r="G468" s="106">
        <f>VLOOKUP(A468,WTI原油期货!A:B,2,FALSE)</f>
        <v>73.09</v>
      </c>
      <c r="H468" s="106">
        <f>VLOOKUP(A468,天然气期货!A:B,2,FALSE)</f>
        <v>3.239</v>
      </c>
      <c r="I468" s="111">
        <f>VLOOKUP(A468,黄金期货!A:B,2,FALSE)</f>
        <v>1987.3</v>
      </c>
      <c r="J468" s="106">
        <f>VLOOKUP(A468,Sheet2!A:C,3,FALSE)</f>
        <v>960</v>
      </c>
      <c r="L468" s="112">
        <f t="shared" si="27"/>
        <v>0</v>
      </c>
    </row>
    <row r="469" spans="1:12">
      <c r="A469" s="109">
        <v>45247</v>
      </c>
      <c r="B469" s="106">
        <f>VLOOKUP(A469,Sheet2!A:C,2,FALSE)</f>
        <v>276</v>
      </c>
      <c r="C469" s="106">
        <v>3750</v>
      </c>
      <c r="D469" s="106">
        <f>VLOOKUP(A469,Sheet4!A:C,2,FALSE)</f>
        <v>962</v>
      </c>
      <c r="E469" s="106">
        <f>VLOOKUP(A469,Sheet5!A:B,2,FALSE)</f>
        <v>7.2119</v>
      </c>
      <c r="F469" s="106">
        <f>VLOOKUP(A469,Sheet6!A:B,2,FALSE)</f>
        <v>103.92</v>
      </c>
      <c r="G469" s="106">
        <f>VLOOKUP(A469,WTI原油期货!A:B,2,FALSE)</f>
        <v>76.04</v>
      </c>
      <c r="H469" s="106">
        <f>VLOOKUP(A469,天然气期货!A:B,2,FALSE)</f>
        <v>3.131</v>
      </c>
      <c r="I469" s="111">
        <f>VLOOKUP(A469,黄金期货!A:B,2,FALSE)</f>
        <v>1984.7</v>
      </c>
      <c r="J469" s="106">
        <f>VLOOKUP(A469,Sheet2!A:C,3,FALSE)</f>
        <v>955</v>
      </c>
      <c r="L469" s="112">
        <f t="shared" si="27"/>
        <v>-0.00520833333333333</v>
      </c>
    </row>
    <row r="470" spans="1:12">
      <c r="A470" s="109">
        <v>45250</v>
      </c>
      <c r="B470" s="106">
        <f>VLOOKUP(A470,Sheet2!A:C,2,FALSE)</f>
        <v>276</v>
      </c>
      <c r="C470" s="106">
        <v>3750</v>
      </c>
      <c r="D470" s="106">
        <f>VLOOKUP(A470,Sheet4!A:C,2,FALSE)</f>
        <v>963</v>
      </c>
      <c r="E470" s="106">
        <f>VLOOKUP(A470,Sheet5!A:B,2,FALSE)</f>
        <v>7.1693</v>
      </c>
      <c r="F470" s="106">
        <f>VLOOKUP(A470,Sheet6!A:B,2,FALSE)</f>
        <v>103.44</v>
      </c>
      <c r="G470" s="106">
        <f>VLOOKUP(A470,WTI原油期货!A:B,2,FALSE)</f>
        <v>77.83</v>
      </c>
      <c r="H470" s="106">
        <f>VLOOKUP(A470,天然气期货!A:B,2,FALSE)</f>
        <v>3.05</v>
      </c>
      <c r="I470" s="111">
        <f>VLOOKUP(A470,黄金期货!A:B,2,FALSE)</f>
        <v>1980.3</v>
      </c>
      <c r="J470" s="106">
        <f>VLOOKUP(A470,Sheet2!A:C,3,FALSE)</f>
        <v>955</v>
      </c>
      <c r="L470" s="112">
        <f t="shared" si="27"/>
        <v>0</v>
      </c>
    </row>
    <row r="471" spans="1:12">
      <c r="A471" s="109">
        <v>45251</v>
      </c>
      <c r="B471" s="106">
        <f>VLOOKUP(A471,Sheet2!A:C,2,FALSE)</f>
        <v>272</v>
      </c>
      <c r="C471" s="106">
        <v>3750</v>
      </c>
      <c r="D471" s="106">
        <f>VLOOKUP(A471,Sheet4!A:C,2,FALSE)</f>
        <v>963</v>
      </c>
      <c r="E471" s="106">
        <f>VLOOKUP(A471,Sheet5!A:B,2,FALSE)</f>
        <v>7.1376</v>
      </c>
      <c r="F471" s="106">
        <f>VLOOKUP(A471,Sheet6!A:B,2,FALSE)</f>
        <v>103.57</v>
      </c>
      <c r="G471" s="106">
        <f>VLOOKUP(A471,WTI原油期货!A:B,2,FALSE)</f>
        <v>77.92</v>
      </c>
      <c r="H471" s="106">
        <f>VLOOKUP(A471,天然气期货!A:B,2,FALSE)</f>
        <v>2.993</v>
      </c>
      <c r="I471" s="111">
        <f>VLOOKUP(A471,黄金期货!A:B,2,FALSE)</f>
        <v>2001.6</v>
      </c>
      <c r="J471" s="106">
        <f>VLOOKUP(A471,Sheet2!A:C,3,FALSE)</f>
        <v>955</v>
      </c>
      <c r="L471" s="112">
        <f t="shared" si="27"/>
        <v>0</v>
      </c>
    </row>
    <row r="472" spans="1:12">
      <c r="A472" s="109">
        <v>45252</v>
      </c>
      <c r="B472" s="106">
        <f>VLOOKUP(A472,Sheet2!A:C,2,FALSE)</f>
        <v>272</v>
      </c>
      <c r="C472" s="106">
        <v>3750</v>
      </c>
      <c r="D472" s="106">
        <f>VLOOKUP(A472,Sheet4!A:C,2,FALSE)</f>
        <v>962</v>
      </c>
      <c r="E472" s="106">
        <f>VLOOKUP(A472,Sheet5!A:B,2,FALSE)</f>
        <v>7.1564</v>
      </c>
      <c r="F472" s="106">
        <f>VLOOKUP(A472,Sheet6!A:B,2,FALSE)</f>
        <v>103.92</v>
      </c>
      <c r="G472" s="106">
        <f>VLOOKUP(A472,WTI原油期货!A:B,2,FALSE)</f>
        <v>77.25</v>
      </c>
      <c r="H472" s="106">
        <f>VLOOKUP(A472,天然气期货!A:B,2,FALSE)</f>
        <v>3.033</v>
      </c>
      <c r="I472" s="111">
        <f>VLOOKUP(A472,黄金期货!A:B,2,FALSE)</f>
        <v>1992.8</v>
      </c>
      <c r="J472" s="106">
        <f>VLOOKUP(A472,Sheet2!A:C,3,FALSE)</f>
        <v>940</v>
      </c>
      <c r="L472" s="112">
        <f t="shared" si="27"/>
        <v>-0.0157068062827225</v>
      </c>
    </row>
    <row r="473" spans="1:12">
      <c r="A473" s="109">
        <v>45253</v>
      </c>
      <c r="B473" s="106">
        <f>VLOOKUP(A473,Sheet2!A:C,2,FALSE)</f>
        <v>274</v>
      </c>
      <c r="C473" s="106">
        <v>3750</v>
      </c>
      <c r="D473" s="106">
        <f>VLOOKUP(A473,Sheet4!A:C,2,FALSE)</f>
        <v>960</v>
      </c>
      <c r="E473" s="106">
        <f>VLOOKUP(A473,Sheet5!A:B,2,FALSE)</f>
        <v>7.147</v>
      </c>
      <c r="F473" s="106">
        <f>VLOOKUP(A473,Sheet6!A:B,2,FALSE)</f>
        <v>103.77</v>
      </c>
      <c r="G473" s="106">
        <f>VLOOKUP(A473,WTI原油期货!A:B,2,FALSE)</f>
        <v>76.34</v>
      </c>
      <c r="H473" s="106">
        <f>VLOOKUP(A473,天然气期货!A:B,2,FALSE)</f>
        <v>2.93</v>
      </c>
      <c r="I473" s="111">
        <f>VLOOKUP(A473,黄金期货!A:B,2,FALSE)</f>
        <v>2003</v>
      </c>
      <c r="J473" s="106">
        <f>VLOOKUP(A473,Sheet2!A:C,3,FALSE)</f>
        <v>940</v>
      </c>
      <c r="L473" s="112">
        <f t="shared" si="27"/>
        <v>0</v>
      </c>
    </row>
    <row r="474" spans="1:12">
      <c r="A474" s="109">
        <v>45254</v>
      </c>
      <c r="B474" s="106">
        <f>VLOOKUP(A474,Sheet2!A:C,2,FALSE)</f>
        <v>273</v>
      </c>
      <c r="C474" s="106">
        <v>3750</v>
      </c>
      <c r="D474" s="106">
        <f>VLOOKUP(A474,Sheet4!A:C,2,FALSE)</f>
        <v>959</v>
      </c>
      <c r="E474" s="106">
        <f>VLOOKUP(A474,Sheet5!A:B,2,FALSE)</f>
        <v>7.1497</v>
      </c>
      <c r="F474" s="106">
        <f>VLOOKUP(A474,Sheet6!A:B,2,FALSE)</f>
        <v>103.4</v>
      </c>
      <c r="G474" s="106">
        <f>VLOOKUP(A474,WTI原油期货!A:B,2,FALSE)</f>
        <v>75.77</v>
      </c>
      <c r="H474" s="106">
        <f>VLOOKUP(A474,天然气期货!A:B,2,FALSE)</f>
        <v>2.999</v>
      </c>
      <c r="I474" s="111">
        <f>VLOOKUP(A474,黄金期货!A:B,2,FALSE)</f>
        <v>2003</v>
      </c>
      <c r="J474" s="106">
        <f>VLOOKUP(A474,Sheet2!A:C,3,FALSE)</f>
        <v>940</v>
      </c>
      <c r="L474" s="112">
        <f t="shared" si="27"/>
        <v>0</v>
      </c>
    </row>
    <row r="475" spans="1:12">
      <c r="A475" s="109">
        <v>45257</v>
      </c>
      <c r="B475" s="106">
        <f>VLOOKUP(A475,Sheet2!A:C,2,FALSE)</f>
        <v>271</v>
      </c>
      <c r="C475" s="106">
        <v>3750</v>
      </c>
      <c r="D475" s="106">
        <f>VLOOKUP(A475,Sheet4!A:C,2,FALSE)</f>
        <v>958</v>
      </c>
      <c r="E475" s="106">
        <f>VLOOKUP(A475,Sheet5!A:B,2,FALSE)</f>
        <v>7.153</v>
      </c>
      <c r="F475" s="106">
        <f>VLOOKUP(A475,Sheet6!A:B,2,FALSE)</f>
        <v>103.2</v>
      </c>
      <c r="G475" s="106">
        <f>VLOOKUP(A475,WTI原油期货!A:B,2,FALSE)</f>
        <v>75.09</v>
      </c>
      <c r="H475" s="106">
        <f>VLOOKUP(A475,天然气期货!A:B,2,FALSE)</f>
        <v>2.946</v>
      </c>
      <c r="I475" s="111">
        <f>VLOOKUP(A475,黄金期货!A:B,2,FALSE)</f>
        <v>2012.4</v>
      </c>
      <c r="J475" s="106">
        <f>VLOOKUP(A475,Sheet2!A:C,3,FALSE)</f>
        <v>950</v>
      </c>
      <c r="L475" s="112">
        <f t="shared" si="27"/>
        <v>0.0106382978723404</v>
      </c>
    </row>
    <row r="476" spans="1:12">
      <c r="A476" s="109">
        <v>45258</v>
      </c>
      <c r="B476" s="106">
        <f>VLOOKUP(A476,Sheet2!A:C,2,FALSE)</f>
        <v>271</v>
      </c>
      <c r="C476" s="106">
        <v>3750</v>
      </c>
      <c r="D476" s="106">
        <f>VLOOKUP(A476,Sheet4!A:C,2,FALSE)</f>
        <v>957</v>
      </c>
      <c r="E476" s="106">
        <f>VLOOKUP(A476,Sheet5!A:B,2,FALSE)</f>
        <v>7.1473</v>
      </c>
      <c r="F476" s="106">
        <f>VLOOKUP(A476,Sheet6!A:B,2,FALSE)</f>
        <v>102.75</v>
      </c>
      <c r="G476" s="106">
        <f>VLOOKUP(A476,WTI原油期货!A:B,2,FALSE)</f>
        <v>76.59</v>
      </c>
      <c r="H476" s="106">
        <f>VLOOKUP(A476,天然气期货!A:B,2,FALSE)</f>
        <v>2.837</v>
      </c>
      <c r="I476" s="111">
        <f>VLOOKUP(A476,黄金期货!A:B,2,FALSE)</f>
        <v>2040</v>
      </c>
      <c r="J476" s="106">
        <f>VLOOKUP(A476,Sheet2!A:C,3,FALSE)</f>
        <v>950</v>
      </c>
      <c r="L476" s="112">
        <f t="shared" si="27"/>
        <v>0</v>
      </c>
    </row>
    <row r="477" spans="1:12">
      <c r="A477" s="109">
        <v>45259</v>
      </c>
      <c r="B477" s="106">
        <f>VLOOKUP(A477,Sheet2!A:C,2,FALSE)</f>
        <v>271</v>
      </c>
      <c r="C477" s="106">
        <v>3750</v>
      </c>
      <c r="D477" s="106">
        <f>VLOOKUP(A477,Sheet4!A:C,2,FALSE)</f>
        <v>958</v>
      </c>
      <c r="E477" s="106">
        <f>VLOOKUP(A477,Sheet5!A:B,2,FALSE)</f>
        <v>7.131</v>
      </c>
      <c r="F477" s="106">
        <f>VLOOKUP(A477,Sheet6!A:B,2,FALSE)</f>
        <v>102.76</v>
      </c>
      <c r="G477" s="106">
        <f>VLOOKUP(A477,WTI原油期货!A:B,2,FALSE)</f>
        <v>77.99</v>
      </c>
      <c r="H477" s="106">
        <f>VLOOKUP(A477,天然气期货!A:B,2,FALSE)</f>
        <v>2.769</v>
      </c>
      <c r="I477" s="111">
        <f>VLOOKUP(A477,黄金期货!A:B,2,FALSE)</f>
        <v>2057.5</v>
      </c>
      <c r="J477" s="106">
        <f>VLOOKUP(A477,Sheet2!A:C,3,FALSE)</f>
        <v>950</v>
      </c>
      <c r="L477" s="112">
        <f t="shared" si="27"/>
        <v>0</v>
      </c>
    </row>
    <row r="478" spans="1:12">
      <c r="A478" s="109">
        <v>45260</v>
      </c>
      <c r="B478" s="106">
        <f>VLOOKUP(A478,Sheet2!A:C,2,FALSE)</f>
        <v>270</v>
      </c>
      <c r="C478" s="106">
        <v>3750</v>
      </c>
      <c r="D478" s="106">
        <f>VLOOKUP(A478,Sheet4!A:C,2,FALSE)</f>
        <v>958</v>
      </c>
      <c r="E478" s="106">
        <f>VLOOKUP(A478,Sheet5!A:B,2,FALSE)</f>
        <v>7.1363</v>
      </c>
      <c r="F478" s="106">
        <f>VLOOKUP(A478,Sheet6!A:B,2,FALSE)</f>
        <v>103.5</v>
      </c>
      <c r="G478" s="106">
        <f>VLOOKUP(A478,WTI原油期货!A:B,2,FALSE)</f>
        <v>76.05</v>
      </c>
      <c r="H478" s="106">
        <f>VLOOKUP(A478,天然气期货!A:B,2,FALSE)</f>
        <v>2.763</v>
      </c>
      <c r="I478" s="111">
        <f>VLOOKUP(A478,黄金期货!A:B,2,FALSE)</f>
        <v>2047.6</v>
      </c>
      <c r="J478" s="106">
        <f>VLOOKUP(A478,Sheet2!A:C,3,FALSE)</f>
        <v>940</v>
      </c>
      <c r="L478" s="112">
        <f t="shared" si="27"/>
        <v>-0.0105263157894737</v>
      </c>
    </row>
    <row r="479" spans="1:12">
      <c r="A479" s="109">
        <v>45261</v>
      </c>
      <c r="B479" s="106">
        <f>VLOOKUP(A479,Sheet2!A:C,2,FALSE)</f>
        <v>272</v>
      </c>
      <c r="C479" s="106">
        <v>3750</v>
      </c>
      <c r="D479" s="106">
        <f>VLOOKUP(A479,Sheet4!A:C,2,FALSE)</f>
        <v>957</v>
      </c>
      <c r="E479" s="106">
        <f>VLOOKUP(A479,Sheet5!A:B,2,FALSE)</f>
        <v>7.1399</v>
      </c>
      <c r="F479" s="106">
        <f>VLOOKUP(A479,Sheet6!A:B,2,FALSE)</f>
        <v>103.27</v>
      </c>
      <c r="G479" s="106">
        <f>VLOOKUP(A479,WTI原油期货!A:B,2,FALSE)</f>
        <v>74.25</v>
      </c>
      <c r="H479" s="106">
        <f>VLOOKUP(A479,天然气期货!A:B,2,FALSE)</f>
        <v>2.773</v>
      </c>
      <c r="I479" s="111">
        <f>VLOOKUP(A479,黄金期货!A:B,2,FALSE)</f>
        <v>2080.4</v>
      </c>
      <c r="J479" s="106">
        <f>VLOOKUP(A479,Sheet2!A:C,3,FALSE)</f>
        <v>935</v>
      </c>
      <c r="L479" s="112">
        <f t="shared" si="27"/>
        <v>-0.00531914893617021</v>
      </c>
    </row>
    <row r="480" spans="1:12">
      <c r="A480" s="109">
        <v>45264</v>
      </c>
      <c r="B480" s="106">
        <f>VLOOKUP(A480,Sheet2!A:C,2,FALSE)</f>
        <v>274</v>
      </c>
      <c r="C480" s="106">
        <v>3750</v>
      </c>
      <c r="D480" s="106">
        <f>VLOOKUP(A480,Sheet4!A:C,2,FALSE)</f>
        <v>957</v>
      </c>
      <c r="E480" s="106">
        <f>VLOOKUP(A480,Sheet5!A:B,2,FALSE)</f>
        <v>7.143</v>
      </c>
      <c r="F480" s="106">
        <f>VLOOKUP(A480,Sheet6!A:B,2,FALSE)</f>
        <v>103.71</v>
      </c>
      <c r="G480" s="106">
        <f>VLOOKUP(A480,WTI原油期货!A:B,2,FALSE)</f>
        <v>73.32</v>
      </c>
      <c r="H480" s="106">
        <f>VLOOKUP(A480,天然气期货!A:B,2,FALSE)</f>
        <v>2.651</v>
      </c>
      <c r="I480" s="111">
        <f>VLOOKUP(A480,黄金期货!A:B,2,FALSE)</f>
        <v>2032.9</v>
      </c>
      <c r="J480" s="106">
        <f>VLOOKUP(A480,Sheet2!A:C,3,FALSE)</f>
        <v>930</v>
      </c>
      <c r="L480" s="112">
        <f t="shared" si="27"/>
        <v>-0.0053475935828877</v>
      </c>
    </row>
    <row r="481" spans="1:12">
      <c r="A481" s="109">
        <v>45265</v>
      </c>
      <c r="B481" s="106">
        <f>VLOOKUP(A481,Sheet2!A:C,2,FALSE)</f>
        <v>273</v>
      </c>
      <c r="C481" s="106">
        <v>3750</v>
      </c>
      <c r="D481" s="106">
        <f>VLOOKUP(A481,Sheet4!A:C,2,FALSE)</f>
        <v>956</v>
      </c>
      <c r="E481" s="106">
        <f>VLOOKUP(A481,Sheet5!A:B,2,FALSE)</f>
        <v>7.1472</v>
      </c>
      <c r="F481" s="106">
        <f>VLOOKUP(A481,Sheet6!A:B,2,FALSE)</f>
        <v>104.05</v>
      </c>
      <c r="G481" s="106">
        <f>VLOOKUP(A481,WTI原油期货!A:B,2,FALSE)</f>
        <v>72.53</v>
      </c>
      <c r="H481" s="106">
        <f>VLOOKUP(A481,天然气期货!A:B,2,FALSE)</f>
        <v>2.667</v>
      </c>
      <c r="I481" s="111">
        <f>VLOOKUP(A481,黄金期货!A:B,2,FALSE)</f>
        <v>2026.9</v>
      </c>
      <c r="J481" s="106">
        <f>VLOOKUP(A481,Sheet2!A:C,3,FALSE)</f>
        <v>915</v>
      </c>
      <c r="L481" s="112">
        <f t="shared" si="27"/>
        <v>-0.0161290322580645</v>
      </c>
    </row>
    <row r="482" spans="1:12">
      <c r="A482" s="109">
        <v>45266</v>
      </c>
      <c r="B482" s="106">
        <f>VLOOKUP(A482,Sheet2!A:C,2,FALSE)</f>
        <v>271</v>
      </c>
      <c r="C482" s="106">
        <v>3750</v>
      </c>
      <c r="D482" s="106">
        <f>VLOOKUP(A482,Sheet4!A:C,2,FALSE)</f>
        <v>955</v>
      </c>
      <c r="E482" s="106">
        <f>VLOOKUP(A482,Sheet5!A:B,2,FALSE)</f>
        <v>7.1596</v>
      </c>
      <c r="F482" s="106">
        <f>VLOOKUP(A482,Sheet6!A:B,2,FALSE)</f>
        <v>104.15</v>
      </c>
      <c r="G482" s="106">
        <f>VLOOKUP(A482,WTI原油期货!A:B,2,FALSE)</f>
        <v>69.65</v>
      </c>
      <c r="H482" s="106">
        <f>VLOOKUP(A482,天然气期货!A:B,2,FALSE)</f>
        <v>2.517</v>
      </c>
      <c r="I482" s="111">
        <f>VLOOKUP(A482,黄金期货!A:B,2,FALSE)</f>
        <v>2038.4</v>
      </c>
      <c r="J482" s="106">
        <f>VLOOKUP(A482,Sheet2!A:C,3,FALSE)</f>
        <v>915</v>
      </c>
      <c r="L482" s="112">
        <f t="shared" si="27"/>
        <v>0</v>
      </c>
    </row>
    <row r="483" spans="1:12">
      <c r="A483" s="109">
        <v>45267</v>
      </c>
      <c r="B483" s="106">
        <f>VLOOKUP(A483,Sheet2!A:C,2,FALSE)</f>
        <v>271</v>
      </c>
      <c r="C483" s="106">
        <v>3750</v>
      </c>
      <c r="D483" s="106">
        <f>VLOOKUP(A483,Sheet4!A:C,2,FALSE)</f>
        <v>955</v>
      </c>
      <c r="E483" s="106">
        <f>VLOOKUP(A483,Sheet5!A:B,2,FALSE)</f>
        <v>7.151</v>
      </c>
      <c r="F483" s="106">
        <f>VLOOKUP(A483,Sheet6!A:B,2,FALSE)</f>
        <v>103.54</v>
      </c>
      <c r="G483" s="106">
        <f>VLOOKUP(A483,WTI原油期货!A:B,2,FALSE)</f>
        <v>69.59</v>
      </c>
      <c r="H483" s="106">
        <f>VLOOKUP(A483,天然气期货!A:B,2,FALSE)</f>
        <v>2.52</v>
      </c>
      <c r="I483" s="111">
        <f>VLOOKUP(A483,黄金期货!A:B,2,FALSE)</f>
        <v>2036.9</v>
      </c>
      <c r="J483" s="106">
        <f>VLOOKUP(A483,Sheet2!A:C,3,FALSE)</f>
        <v>915</v>
      </c>
      <c r="L483" s="112">
        <f t="shared" si="27"/>
        <v>0</v>
      </c>
    </row>
    <row r="484" spans="1:12">
      <c r="A484" s="109">
        <v>45268</v>
      </c>
      <c r="B484" s="106">
        <f>VLOOKUP(A484,Sheet2!A:C,2,FALSE)</f>
        <v>270.3</v>
      </c>
      <c r="C484" s="106">
        <v>3750</v>
      </c>
      <c r="D484" s="106">
        <f>VLOOKUP(A484,Sheet4!A:C,2,FALSE)</f>
        <v>956</v>
      </c>
      <c r="E484" s="106">
        <f>VLOOKUP(A484,Sheet5!A:B,2,FALSE)</f>
        <v>7.1661</v>
      </c>
      <c r="F484" s="106">
        <f>VLOOKUP(A484,Sheet6!A:B,2,FALSE)</f>
        <v>104.01</v>
      </c>
      <c r="G484" s="106">
        <f>VLOOKUP(A484,WTI原油期货!A:B,2,FALSE)</f>
        <v>71.44</v>
      </c>
      <c r="H484" s="106">
        <f>VLOOKUP(A484,天然气期货!A:B,2,FALSE)</f>
        <v>2.504</v>
      </c>
      <c r="I484" s="111">
        <f>VLOOKUP(A484,黄金期货!A:B,2,FALSE)</f>
        <v>2004.9</v>
      </c>
      <c r="J484" s="106">
        <f>VLOOKUP(A484,Sheet2!A:C,3,FALSE)</f>
        <v>915</v>
      </c>
      <c r="L484" s="112">
        <f t="shared" si="27"/>
        <v>0</v>
      </c>
    </row>
    <row r="485" spans="1:12">
      <c r="A485" s="109">
        <v>45271</v>
      </c>
      <c r="B485" s="106">
        <f>VLOOKUP(A485,Sheet2!A:C,2,FALSE)</f>
        <v>267.8</v>
      </c>
      <c r="C485" s="106">
        <v>3750</v>
      </c>
      <c r="D485" s="106">
        <f>VLOOKUP(A485,Sheet4!A:C,2,FALSE)</f>
        <v>954</v>
      </c>
      <c r="E485" s="106">
        <f>VLOOKUP(A485,Sheet5!A:B,2,FALSE)</f>
        <v>7.176</v>
      </c>
      <c r="F485" s="106">
        <f>VLOOKUP(A485,Sheet6!A:B,2,FALSE)</f>
        <v>104.1</v>
      </c>
      <c r="G485" s="106">
        <f>VLOOKUP(A485,WTI原油期货!A:B,2,FALSE)</f>
        <v>71.56</v>
      </c>
      <c r="H485" s="106">
        <f>VLOOKUP(A485,天然气期货!A:B,2,FALSE)</f>
        <v>2.35</v>
      </c>
      <c r="I485" s="111">
        <f>VLOOKUP(A485,黄金期货!A:B,2,FALSE)</f>
        <v>1984.3</v>
      </c>
      <c r="J485" s="106">
        <f>VLOOKUP(A485,Sheet2!A:C,3,FALSE)</f>
        <v>915</v>
      </c>
      <c r="L485" s="112">
        <f t="shared" si="27"/>
        <v>0</v>
      </c>
    </row>
    <row r="486" spans="1:12">
      <c r="A486" s="109">
        <v>45272</v>
      </c>
      <c r="B486" s="106">
        <f>VLOOKUP(A486,Sheet2!A:C,2,FALSE)</f>
        <v>265</v>
      </c>
      <c r="C486" s="106">
        <v>3750</v>
      </c>
      <c r="D486" s="106">
        <f>VLOOKUP(A486,Sheet4!A:C,2,FALSE)</f>
        <v>954</v>
      </c>
      <c r="E486" s="106">
        <f>VLOOKUP(A486,Sheet5!A:B,2,FALSE)</f>
        <v>7.1766</v>
      </c>
      <c r="F486" s="106">
        <f>VLOOKUP(A486,Sheet6!A:B,2,FALSE)</f>
        <v>103.86</v>
      </c>
      <c r="G486" s="106">
        <f>VLOOKUP(A486,WTI原油期货!A:B,2,FALSE)</f>
        <v>68.85</v>
      </c>
      <c r="H486" s="106">
        <f>VLOOKUP(A486,天然气期货!A:B,2,FALSE)</f>
        <v>2.24</v>
      </c>
      <c r="I486" s="111">
        <f>VLOOKUP(A486,黄金期货!A:B,2,FALSE)</f>
        <v>1983.9</v>
      </c>
      <c r="J486" s="106">
        <f>VLOOKUP(A486,Sheet2!A:C,3,FALSE)</f>
        <v>915</v>
      </c>
      <c r="L486" s="112">
        <f t="shared" si="27"/>
        <v>0</v>
      </c>
    </row>
    <row r="487" spans="1:12">
      <c r="A487" s="109">
        <v>45273</v>
      </c>
      <c r="B487" s="106">
        <f>VLOOKUP(A487,Sheet2!A:C,2,FALSE)</f>
        <v>264</v>
      </c>
      <c r="C487" s="106">
        <v>3750</v>
      </c>
      <c r="D487" s="106">
        <f>VLOOKUP(A487,Sheet4!A:C,2,FALSE)</f>
        <v>954</v>
      </c>
      <c r="E487" s="106">
        <f>VLOOKUP(A487,Sheet5!A:B,2,FALSE)</f>
        <v>7.173</v>
      </c>
      <c r="F487" s="106">
        <f>VLOOKUP(A487,Sheet6!A:B,2,FALSE)</f>
        <v>102.87</v>
      </c>
      <c r="G487" s="106">
        <f>VLOOKUP(A487,WTI原油期货!A:B,2,FALSE)</f>
        <v>69.72</v>
      </c>
      <c r="H487" s="106">
        <f>VLOOKUP(A487,天然气期货!A:B,2,FALSE)</f>
        <v>2.292</v>
      </c>
      <c r="I487" s="111">
        <f>VLOOKUP(A487,黄金期货!A:B,2,FALSE)</f>
        <v>1988.1</v>
      </c>
      <c r="J487" s="106">
        <f>VLOOKUP(A487,Sheet2!A:C,3,FALSE)</f>
        <v>920</v>
      </c>
      <c r="L487" s="112">
        <f t="shared" si="27"/>
        <v>0.00546448087431694</v>
      </c>
    </row>
    <row r="488" spans="1:12">
      <c r="A488" s="109">
        <v>45274</v>
      </c>
      <c r="B488" s="106">
        <f>VLOOKUP(A488,Sheet2!A:C,2,FALSE)</f>
        <v>264</v>
      </c>
      <c r="C488" s="106">
        <v>3750</v>
      </c>
      <c r="D488" s="106">
        <f>VLOOKUP(A488,Sheet4!A:C,2,FALSE)</f>
        <v>954</v>
      </c>
      <c r="E488" s="106">
        <f>VLOOKUP(A488,Sheet5!A:B,2,FALSE)</f>
        <v>7.1102</v>
      </c>
      <c r="F488" s="106">
        <f>VLOOKUP(A488,Sheet6!A:B,2,FALSE)</f>
        <v>101.96</v>
      </c>
      <c r="G488" s="106">
        <f>VLOOKUP(A488,WTI原油期货!A:B,2,FALSE)</f>
        <v>71.91</v>
      </c>
      <c r="H488" s="106">
        <f>VLOOKUP(A488,天然气期货!A:B,2,FALSE)</f>
        <v>2.347</v>
      </c>
      <c r="I488" s="111">
        <f>VLOOKUP(A488,黄金期货!A:B,2,FALSE)</f>
        <v>2035.2</v>
      </c>
      <c r="J488" s="106">
        <f>VLOOKUP(A488,Sheet2!A:C,3,FALSE)</f>
        <v>925</v>
      </c>
      <c r="L488" s="112">
        <f t="shared" si="27"/>
        <v>0.00543478260869565</v>
      </c>
    </row>
    <row r="489" spans="1:12">
      <c r="A489" s="109">
        <v>45275</v>
      </c>
      <c r="B489" s="106">
        <f>VLOOKUP(A489,Sheet2!A:C,2,FALSE)</f>
        <v>264</v>
      </c>
      <c r="C489" s="106">
        <v>3750</v>
      </c>
      <c r="D489" s="106">
        <f>VLOOKUP(A489,Sheet4!A:C,2,FALSE)</f>
        <v>954</v>
      </c>
      <c r="E489" s="106">
        <f>VLOOKUP(A489,Sheet5!A:B,2,FALSE)</f>
        <v>7.1184</v>
      </c>
      <c r="F489" s="106">
        <f>VLOOKUP(A489,Sheet6!A:B,2,FALSE)</f>
        <v>102.55</v>
      </c>
      <c r="G489" s="106">
        <f>VLOOKUP(A489,WTI原油期货!A:B,2,FALSE)</f>
        <v>71.78</v>
      </c>
      <c r="H489" s="106">
        <f>VLOOKUP(A489,天然气期货!A:B,2,FALSE)</f>
        <v>2.425</v>
      </c>
      <c r="I489" s="111">
        <f>VLOOKUP(A489,黄金期货!A:B,2,FALSE)</f>
        <v>2026</v>
      </c>
      <c r="J489" s="106">
        <f>VLOOKUP(A489,Sheet2!A:C,3,FALSE)</f>
        <v>925</v>
      </c>
      <c r="L489" s="112">
        <f t="shared" si="27"/>
        <v>0</v>
      </c>
    </row>
    <row r="490" spans="1:12">
      <c r="A490" s="109">
        <v>45278</v>
      </c>
      <c r="B490" s="106">
        <f>VLOOKUP(A490,Sheet2!A:C,2,FALSE)</f>
        <v>261</v>
      </c>
      <c r="C490" s="106">
        <v>3750</v>
      </c>
      <c r="D490" s="106">
        <f>VLOOKUP(A490,Sheet4!A:C,2,FALSE)</f>
        <v>953</v>
      </c>
      <c r="E490" s="106">
        <f>VLOOKUP(A490,Sheet5!A:B,2,FALSE)</f>
        <v>7.134</v>
      </c>
      <c r="F490" s="106">
        <f>VLOOKUP(A490,Sheet6!A:B,2,FALSE)</f>
        <v>102.56</v>
      </c>
      <c r="G490" s="106">
        <f>VLOOKUP(A490,WTI原油期货!A:B,2,FALSE)</f>
        <v>72.82</v>
      </c>
      <c r="H490" s="106">
        <f>VLOOKUP(A490,天然气期货!A:B,2,FALSE)</f>
        <v>2.416</v>
      </c>
      <c r="I490" s="111">
        <f>VLOOKUP(A490,黄金期货!A:B,2,FALSE)</f>
        <v>2030.9</v>
      </c>
      <c r="J490" s="106">
        <f>VLOOKUP(A490,Sheet2!A:C,3,FALSE)</f>
        <v>925</v>
      </c>
      <c r="L490" s="112">
        <f t="shared" si="27"/>
        <v>0</v>
      </c>
    </row>
    <row r="491" spans="1:12">
      <c r="A491" s="109">
        <v>45279</v>
      </c>
      <c r="B491" s="106">
        <f>VLOOKUP(A491,Sheet2!A:C,2,FALSE)</f>
        <v>263</v>
      </c>
      <c r="C491" s="106">
        <v>3750</v>
      </c>
      <c r="D491" s="106">
        <f>VLOOKUP(A491,Sheet4!A:C,2,FALSE)</f>
        <v>953</v>
      </c>
      <c r="E491" s="106">
        <f>VLOOKUP(A491,Sheet5!A:B,2,FALSE)</f>
        <v>7.1297</v>
      </c>
      <c r="F491" s="106">
        <f>VLOOKUP(A491,Sheet6!A:B,2,FALSE)</f>
        <v>102.17</v>
      </c>
      <c r="G491" s="106">
        <f>VLOOKUP(A491,WTI原油期货!A:B,2,FALSE)</f>
        <v>73.94</v>
      </c>
      <c r="H491" s="106">
        <f>VLOOKUP(A491,天然气期货!A:B,2,FALSE)</f>
        <v>2.366</v>
      </c>
      <c r="I491" s="111">
        <f>VLOOKUP(A491,黄金期货!A:B,2,FALSE)</f>
        <v>2042.6</v>
      </c>
      <c r="J491" s="106">
        <f>VLOOKUP(A491,Sheet2!A:C,3,FALSE)</f>
        <v>925</v>
      </c>
      <c r="L491" s="112">
        <f t="shared" si="27"/>
        <v>0</v>
      </c>
    </row>
    <row r="492" spans="1:12">
      <c r="A492" s="109">
        <v>45280</v>
      </c>
      <c r="B492" s="106">
        <f>VLOOKUP(A492,Sheet2!A:C,2,FALSE)</f>
        <v>267</v>
      </c>
      <c r="C492" s="106">
        <v>3750</v>
      </c>
      <c r="D492" s="106">
        <f>VLOOKUP(A492,Sheet4!A:C,2,FALSE)</f>
        <v>953</v>
      </c>
      <c r="E492" s="106">
        <f>VLOOKUP(A492,Sheet5!A:B,2,FALSE)</f>
        <v>7.1363</v>
      </c>
      <c r="F492" s="106">
        <f>VLOOKUP(A492,Sheet6!A:B,2,FALSE)</f>
        <v>102.41</v>
      </c>
      <c r="G492" s="106">
        <f>VLOOKUP(A492,WTI原油期货!A:B,2,FALSE)</f>
        <v>74.45</v>
      </c>
      <c r="H492" s="106">
        <f>VLOOKUP(A492,天然气期货!A:B,2,FALSE)</f>
        <v>2.347</v>
      </c>
      <c r="I492" s="111">
        <f>VLOOKUP(A492,黄金期货!A:B,2,FALSE)</f>
        <v>2038.1</v>
      </c>
      <c r="J492" s="106">
        <f>VLOOKUP(A492,Sheet2!A:C,3,FALSE)</f>
        <v>920</v>
      </c>
      <c r="L492" s="112">
        <f t="shared" si="27"/>
        <v>-0.00540540540540541</v>
      </c>
    </row>
    <row r="493" spans="1:12">
      <c r="A493" s="109">
        <v>45281</v>
      </c>
      <c r="B493" s="106">
        <f>VLOOKUP(A493,Sheet2!A:C,2,FALSE)</f>
        <v>268</v>
      </c>
      <c r="C493" s="106">
        <v>3750</v>
      </c>
      <c r="D493" s="106">
        <f>VLOOKUP(A493,Sheet4!A:C,2,FALSE)</f>
        <v>953</v>
      </c>
      <c r="E493" s="106">
        <f>VLOOKUP(A493,Sheet5!A:B,2,FALSE)</f>
        <v>7.1391</v>
      </c>
      <c r="F493" s="106">
        <f>VLOOKUP(A493,Sheet6!A:B,2,FALSE)</f>
        <v>101.84</v>
      </c>
      <c r="G493" s="106">
        <f>VLOOKUP(A493,WTI原油期货!A:B,2,FALSE)</f>
        <v>74.06</v>
      </c>
      <c r="H493" s="106">
        <f>VLOOKUP(A493,天然气期货!A:B,2,FALSE)</f>
        <v>2.459</v>
      </c>
      <c r="I493" s="111">
        <f>VLOOKUP(A493,黄金期货!A:B,2,FALSE)</f>
        <v>2041.8</v>
      </c>
      <c r="J493" s="106">
        <f>VLOOKUP(A493,Sheet2!A:C,3,FALSE)</f>
        <v>925</v>
      </c>
      <c r="L493" s="112">
        <f t="shared" si="27"/>
        <v>0.00543478260869565</v>
      </c>
    </row>
    <row r="494" spans="1:12">
      <c r="A494" s="109">
        <v>45282</v>
      </c>
      <c r="B494" s="106">
        <f>VLOOKUP(A494,Sheet2!A:C,2,FALSE)</f>
        <v>267</v>
      </c>
      <c r="C494" s="106">
        <v>3750</v>
      </c>
      <c r="D494" s="106">
        <f>VLOOKUP(A494,Sheet4!A:C,2,FALSE)</f>
        <v>954</v>
      </c>
      <c r="E494" s="106">
        <f>VLOOKUP(A494,Sheet5!A:B,2,FALSE)</f>
        <v>7.1333</v>
      </c>
      <c r="F494" s="106">
        <f>VLOOKUP(A494,Sheet6!A:B,2,FALSE)</f>
        <v>101.7</v>
      </c>
      <c r="G494" s="106">
        <f>VLOOKUP(A494,WTI原油期货!A:B,2,FALSE)</f>
        <v>73.73</v>
      </c>
      <c r="H494" s="106">
        <f>VLOOKUP(A494,天然气期货!A:B,2,FALSE)</f>
        <v>2.49</v>
      </c>
      <c r="I494" s="111">
        <f>VLOOKUP(A494,黄金期货!A:B,2,FALSE)</f>
        <v>2059.6</v>
      </c>
      <c r="J494" s="106">
        <f>VLOOKUP(A494,Sheet2!A:C,3,FALSE)</f>
        <v>925</v>
      </c>
      <c r="L494" s="112">
        <f t="shared" si="27"/>
        <v>0</v>
      </c>
    </row>
    <row r="495" spans="1:12">
      <c r="A495" s="109">
        <v>45285</v>
      </c>
      <c r="B495" s="106">
        <f>VLOOKUP(A495,Sheet2!A:C,2,FALSE)</f>
        <v>266</v>
      </c>
      <c r="C495" s="106">
        <v>3750</v>
      </c>
      <c r="D495" s="106">
        <f>VLOOKUP(A495,Sheet4!A:C,2,FALSE)</f>
        <v>955</v>
      </c>
      <c r="E495" s="106">
        <f>VLOOKUP(A495,Sheet5!A:B,2,FALSE)</f>
        <v>7.1365</v>
      </c>
      <c r="F495" s="106">
        <f>F494</f>
        <v>101.7</v>
      </c>
      <c r="G495" s="106">
        <f>VLOOKUP(A495,WTI原油期货!A:B,2,FALSE)</f>
        <v>73.79</v>
      </c>
      <c r="H495" s="106">
        <f>VLOOKUP(A495,天然气期货!A:B,2,FALSE)</f>
        <v>2.418</v>
      </c>
      <c r="I495" s="111">
        <f>I494</f>
        <v>2059.6</v>
      </c>
      <c r="J495" s="106">
        <f>VLOOKUP(A495,Sheet2!A:C,3,FALSE)</f>
        <v>930</v>
      </c>
      <c r="L495" s="112">
        <f t="shared" si="27"/>
        <v>0.00540540540540541</v>
      </c>
    </row>
    <row r="496" spans="1:12">
      <c r="A496" s="109">
        <v>45286</v>
      </c>
      <c r="B496" s="106">
        <f>VLOOKUP(A496,Sheet2!A:C,2,FALSE)</f>
        <v>271</v>
      </c>
      <c r="C496" s="106">
        <v>3750</v>
      </c>
      <c r="D496" s="106">
        <f>VLOOKUP(A496,Sheet4!A:C,2,FALSE)</f>
        <v>956</v>
      </c>
      <c r="E496" s="106">
        <f>VLOOKUP(A496,Sheet5!A:B,2,FALSE)</f>
        <v>7.1434</v>
      </c>
      <c r="F496" s="106">
        <f>VLOOKUP(A496,Sheet6!A:B,2,FALSE)</f>
        <v>101.47</v>
      </c>
      <c r="G496" s="106">
        <f>VLOOKUP(A496,WTI原油期货!A:B,2,FALSE)</f>
        <v>75.71</v>
      </c>
      <c r="H496" s="106">
        <f>VLOOKUP(A496,天然气期货!A:B,2,FALSE)</f>
        <v>2.419</v>
      </c>
      <c r="I496" s="111">
        <f>VLOOKUP(A496,黄金期货!A:B,2,FALSE)</f>
        <v>2060.4</v>
      </c>
      <c r="J496" s="106">
        <f>VLOOKUP(A496,Sheet2!A:C,3,FALSE)</f>
        <v>930</v>
      </c>
      <c r="L496" s="112">
        <f t="shared" si="27"/>
        <v>0</v>
      </c>
    </row>
    <row r="497" spans="1:12">
      <c r="A497" s="109">
        <v>45287</v>
      </c>
      <c r="B497" s="106">
        <f>VLOOKUP(A497,Sheet2!A:C,2,FALSE)</f>
        <v>270</v>
      </c>
      <c r="C497" s="106">
        <v>3750</v>
      </c>
      <c r="D497" s="106">
        <f>VLOOKUP(A497,Sheet4!A:C,2,FALSE)</f>
        <v>956</v>
      </c>
      <c r="E497" s="106">
        <f>VLOOKUP(A497,Sheet5!A:B,2,FALSE)</f>
        <v>7.141</v>
      </c>
      <c r="F497" s="106">
        <f>VLOOKUP(A497,Sheet6!A:B,2,FALSE)</f>
        <v>100.99</v>
      </c>
      <c r="G497" s="106">
        <f>VLOOKUP(A497,WTI原油期货!A:B,2,FALSE)</f>
        <v>74.34</v>
      </c>
      <c r="H497" s="106">
        <f>VLOOKUP(A497,天然气期货!A:B,2,FALSE)</f>
        <v>2.437</v>
      </c>
      <c r="I497" s="111">
        <f>VLOOKUP(A497,黄金期货!A:B,2,FALSE)</f>
        <v>2083.4</v>
      </c>
      <c r="J497" s="106">
        <f>VLOOKUP(A497,Sheet2!A:C,3,FALSE)</f>
        <v>930</v>
      </c>
      <c r="L497" s="112">
        <f t="shared" si="27"/>
        <v>0</v>
      </c>
    </row>
    <row r="498" spans="1:12">
      <c r="A498" s="109">
        <v>45288</v>
      </c>
      <c r="B498" s="106">
        <f>VLOOKUP(A498,Sheet2!A:C,2,FALSE)</f>
        <v>267</v>
      </c>
      <c r="C498" s="106">
        <v>3750</v>
      </c>
      <c r="D498" s="106">
        <f>VLOOKUP(A498,Sheet4!A:C,2,FALSE)</f>
        <v>957</v>
      </c>
      <c r="E498" s="106">
        <f>VLOOKUP(A498,Sheet5!A:B,2,FALSE)</f>
        <v>7.1088</v>
      </c>
      <c r="F498" s="106">
        <f>VLOOKUP(A498,Sheet6!A:B,2,FALSE)</f>
        <v>101.23</v>
      </c>
      <c r="G498" s="106">
        <f>VLOOKUP(A498,WTI原油期货!A:B,2,FALSE)</f>
        <v>71.97</v>
      </c>
      <c r="H498" s="106">
        <f>VLOOKUP(A498,天然气期货!A:B,2,FALSE)</f>
        <v>2.377</v>
      </c>
      <c r="I498" s="111">
        <f>VLOOKUP(A498,黄金期货!A:B,2,FALSE)</f>
        <v>2083.5</v>
      </c>
      <c r="J498" s="106">
        <f>VLOOKUP(A498,Sheet2!A:C,3,FALSE)</f>
        <v>930</v>
      </c>
      <c r="L498" s="112">
        <f t="shared" si="27"/>
        <v>0</v>
      </c>
    </row>
    <row r="499" spans="1:12">
      <c r="A499" s="109">
        <v>45289</v>
      </c>
      <c r="B499" s="106">
        <f>VLOOKUP(A499,Sheet2!A:C,2,FALSE)</f>
        <v>268</v>
      </c>
      <c r="C499" s="106">
        <v>3750</v>
      </c>
      <c r="D499" s="106">
        <f>VLOOKUP(A499,Sheet4!A:C,2,FALSE)</f>
        <v>956</v>
      </c>
      <c r="E499" s="106">
        <f>VLOOKUP(A499,Sheet5!A:B,2,FALSE)</f>
        <v>7.0999</v>
      </c>
      <c r="F499" s="106">
        <f>VLOOKUP(A499,Sheet6!A:B,2,FALSE)</f>
        <v>101.33</v>
      </c>
      <c r="G499" s="106">
        <f>VLOOKUP(A499,WTI原油期货!A:B,2,FALSE)</f>
        <v>71.84</v>
      </c>
      <c r="H499" s="106">
        <f>VLOOKUP(A499,天然气期货!A:B,2,FALSE)</f>
        <v>2.327</v>
      </c>
      <c r="I499" s="111">
        <f>VLOOKUP(A499,黄金期货!A:B,2,FALSE)</f>
        <v>2071.8</v>
      </c>
      <c r="J499" s="106">
        <f>VLOOKUP(A499,Sheet2!A:C,3,FALSE)</f>
        <v>930</v>
      </c>
      <c r="L499" s="112">
        <f t="shared" si="27"/>
        <v>0</v>
      </c>
    </row>
    <row r="500" spans="1:12">
      <c r="A500" s="109">
        <v>45293</v>
      </c>
      <c r="B500" s="106">
        <f>VLOOKUP(A500,Sheet2!A:C,2,FALSE)</f>
        <v>266</v>
      </c>
      <c r="C500" s="106">
        <v>3750</v>
      </c>
      <c r="D500" s="106">
        <f>VLOOKUP(A500,Sheet4!A:C,2,FALSE)</f>
        <v>955</v>
      </c>
      <c r="E500" s="106">
        <f>VLOOKUP(A500,Sheet5!A:B,2,FALSE)</f>
        <v>7.1441</v>
      </c>
      <c r="F500" s="106">
        <f>VLOOKUP(A500,Sheet6!A:B,2,FALSE)</f>
        <v>102.2</v>
      </c>
      <c r="G500" s="106">
        <f>VLOOKUP(A500,WTI原油期货!A:B,2,FALSE)</f>
        <v>70.62</v>
      </c>
      <c r="H500" s="106">
        <f>VLOOKUP(A500,天然气期货!A:B,2,FALSE)</f>
        <v>2.386</v>
      </c>
      <c r="I500" s="111">
        <f>VLOOKUP(A500,黄金期货!A:B,2,FALSE)</f>
        <v>2073.4</v>
      </c>
      <c r="J500" s="106">
        <f>VLOOKUP(A500,Sheet2!A:C,3,FALSE)</f>
        <v>930</v>
      </c>
      <c r="L500" s="112">
        <f t="shared" si="27"/>
        <v>0</v>
      </c>
    </row>
    <row r="501" spans="1:12">
      <c r="A501" s="109">
        <v>45294</v>
      </c>
      <c r="B501" s="106">
        <f>VLOOKUP(A501,Sheet2!A:C,2,FALSE)</f>
        <v>263</v>
      </c>
      <c r="C501" s="106">
        <v>3750</v>
      </c>
      <c r="D501" s="106">
        <f>VLOOKUP(A501,Sheet4!A:C,2,FALSE)</f>
        <v>955</v>
      </c>
      <c r="E501" s="106">
        <f>VLOOKUP(A501,Sheet5!A:B,2,FALSE)</f>
        <v>7.1505</v>
      </c>
      <c r="F501" s="106">
        <f>VLOOKUP(A501,Sheet6!A:B,2,FALSE)</f>
        <v>102.49</v>
      </c>
      <c r="G501" s="106">
        <f>VLOOKUP(A501,WTI原油期货!A:B,2,FALSE)</f>
        <v>72.89</v>
      </c>
      <c r="H501" s="106">
        <f>VLOOKUP(A501,天然气期货!A:B,2,FALSE)</f>
        <v>2.448</v>
      </c>
      <c r="I501" s="111">
        <f>VLOOKUP(A501,黄金期货!A:B,2,FALSE)</f>
        <v>2042.8</v>
      </c>
      <c r="J501" s="106">
        <f>VLOOKUP(A501,Sheet2!A:C,3,FALSE)</f>
        <v>930</v>
      </c>
      <c r="L501" s="112">
        <f t="shared" si="27"/>
        <v>0</v>
      </c>
    </row>
    <row r="502" spans="1:12">
      <c r="A502" s="109">
        <v>45295</v>
      </c>
      <c r="B502" s="106">
        <f>VLOOKUP(A502,Sheet2!A:C,2,FALSE)</f>
        <v>262</v>
      </c>
      <c r="C502" s="106">
        <v>3750</v>
      </c>
      <c r="D502" s="106">
        <f>VLOOKUP(A502,Sheet4!A:C,2,FALSE)</f>
        <v>953</v>
      </c>
      <c r="E502" s="106">
        <f>VLOOKUP(A502,Sheet5!A:B,2,FALSE)</f>
        <v>7.1595</v>
      </c>
      <c r="F502" s="106">
        <f>VLOOKUP(A502,Sheet6!A:B,2,FALSE)</f>
        <v>102.42</v>
      </c>
      <c r="G502" s="106">
        <f>VLOOKUP(A502,WTI原油期货!A:B,2,FALSE)</f>
        <v>72.36</v>
      </c>
      <c r="H502" s="106">
        <f>VLOOKUP(A502,天然气期货!A:B,2,FALSE)</f>
        <v>2.559</v>
      </c>
      <c r="I502" s="111">
        <f>VLOOKUP(A502,黄金期货!A:B,2,FALSE)</f>
        <v>2050</v>
      </c>
      <c r="J502" s="106">
        <f>VLOOKUP(A502,Sheet2!A:C,3,FALSE)</f>
        <v>920</v>
      </c>
      <c r="L502" s="112">
        <f t="shared" si="27"/>
        <v>-0.010752688172043</v>
      </c>
    </row>
    <row r="503" spans="1:12">
      <c r="A503" s="109">
        <v>45296</v>
      </c>
      <c r="B503" s="106">
        <f>VLOOKUP(A503,Sheet2!A:C,2,FALSE)</f>
        <v>262</v>
      </c>
      <c r="C503" s="106">
        <v>3750</v>
      </c>
      <c r="D503" s="106">
        <f>VLOOKUP(A503,Sheet4!A:C,2,FALSE)</f>
        <v>952</v>
      </c>
      <c r="E503" s="106">
        <f>VLOOKUP(A503,Sheet5!A:B,2,FALSE)</f>
        <v>7.1412</v>
      </c>
      <c r="F503" s="106">
        <f>VLOOKUP(A503,Sheet6!A:B,2,FALSE)</f>
        <v>102.41</v>
      </c>
      <c r="G503" s="106">
        <f>VLOOKUP(A503,WTI原油期货!A:B,2,FALSE)</f>
        <v>73.86</v>
      </c>
      <c r="H503" s="106">
        <f>VLOOKUP(A503,天然气期货!A:B,2,FALSE)</f>
        <v>2.621</v>
      </c>
      <c r="I503" s="111">
        <f>VLOOKUP(A503,黄金期货!A:B,2,FALSE)</f>
        <v>2049.8</v>
      </c>
      <c r="J503" s="106">
        <f>VLOOKUP(A503,Sheet2!A:C,3,FALSE)</f>
        <v>910</v>
      </c>
      <c r="L503" s="112">
        <f t="shared" si="27"/>
        <v>-0.0108695652173913</v>
      </c>
    </row>
    <row r="504" spans="1:12">
      <c r="A504" s="109">
        <v>45299</v>
      </c>
      <c r="B504" s="106">
        <f>VLOOKUP(A504,Sheet2!A:C,2,FALSE)</f>
        <v>260</v>
      </c>
      <c r="C504" s="106">
        <v>3750</v>
      </c>
      <c r="D504" s="106">
        <f>VLOOKUP(A504,Sheet4!A:C,2,FALSE)</f>
        <v>950</v>
      </c>
      <c r="E504" s="106">
        <f>VLOOKUP(A504,Sheet5!A:B,2,FALSE)</f>
        <v>7.1545</v>
      </c>
      <c r="F504" s="106">
        <f>VLOOKUP(A504,Sheet6!A:B,2,FALSE)</f>
        <v>102.21</v>
      </c>
      <c r="G504" s="106">
        <f>VLOOKUP(A504,WTI原油期货!A:B,2,FALSE)</f>
        <v>70.92</v>
      </c>
      <c r="H504" s="106">
        <f>VLOOKUP(A504,天然气期货!A:B,2,FALSE)</f>
        <v>2.598</v>
      </c>
      <c r="I504" s="111">
        <f>VLOOKUP(A504,黄金期货!A:B,2,FALSE)</f>
        <v>2033.5</v>
      </c>
      <c r="J504" s="106">
        <f>VLOOKUP(A504,Sheet2!A:C,3,FALSE)</f>
        <v>900</v>
      </c>
      <c r="L504" s="112">
        <f t="shared" si="27"/>
        <v>-0.010989010989011</v>
      </c>
    </row>
    <row r="505" spans="1:12">
      <c r="A505" s="109">
        <v>45300</v>
      </c>
      <c r="B505" s="106">
        <f>VLOOKUP(A505,Sheet2!A:C,2,FALSE)</f>
        <v>265</v>
      </c>
      <c r="C505" s="106">
        <v>3750</v>
      </c>
      <c r="D505" s="106">
        <f>VLOOKUP(A505,Sheet4!A:C,2,FALSE)</f>
        <v>948</v>
      </c>
      <c r="E505" s="106">
        <f>VLOOKUP(A505,Sheet5!A:B,2,FALSE)</f>
        <v>7.1687</v>
      </c>
      <c r="F505" s="106">
        <f>VLOOKUP(A505,Sheet6!A:B,2,FALSE)</f>
        <v>102.57</v>
      </c>
      <c r="G505" s="106">
        <f>VLOOKUP(A505,WTI原油期货!A:B,2,FALSE)</f>
        <v>72.29</v>
      </c>
      <c r="H505" s="106">
        <f>VLOOKUP(A505,天然气期货!A:B,2,FALSE)</f>
        <v>2.697</v>
      </c>
      <c r="I505" s="111">
        <f>VLOOKUP(A505,黄金期货!A:B,2,FALSE)</f>
        <v>2033</v>
      </c>
      <c r="J505" s="106">
        <f>VLOOKUP(A505,Sheet2!A:C,3,FALSE)</f>
        <v>880</v>
      </c>
      <c r="L505" s="112">
        <f t="shared" si="27"/>
        <v>-0.0222222222222222</v>
      </c>
    </row>
    <row r="506" spans="1:12">
      <c r="A506" s="109">
        <v>45301</v>
      </c>
      <c r="B506" s="106">
        <f>VLOOKUP(A506,Sheet2!A:C,2,FALSE)</f>
        <v>268</v>
      </c>
      <c r="C506" s="106">
        <v>3750</v>
      </c>
      <c r="D506" s="106">
        <f>VLOOKUP(A506,Sheet4!A:C,2,FALSE)</f>
        <v>947</v>
      </c>
      <c r="E506" s="106">
        <f>VLOOKUP(A506,Sheet5!A:B,2,FALSE)</f>
        <v>7.1716</v>
      </c>
      <c r="F506" s="106">
        <f>VLOOKUP(A506,Sheet6!A:B,2,FALSE)</f>
        <v>102.36</v>
      </c>
      <c r="G506" s="106">
        <f>VLOOKUP(A506,WTI原油期货!A:B,2,FALSE)</f>
        <v>71.44</v>
      </c>
      <c r="H506" s="106">
        <f>VLOOKUP(A506,天然气期货!A:B,2,FALSE)</f>
        <v>2.562</v>
      </c>
      <c r="I506" s="111">
        <f>VLOOKUP(A506,黄金期货!A:B,2,FALSE)</f>
        <v>2027.8</v>
      </c>
      <c r="J506" s="106">
        <f>VLOOKUP(A506,Sheet2!A:C,3,FALSE)</f>
        <v>860</v>
      </c>
      <c r="L506" s="112">
        <f t="shared" si="27"/>
        <v>-0.0227272727272727</v>
      </c>
    </row>
    <row r="507" spans="1:12">
      <c r="A507" s="109">
        <v>45302</v>
      </c>
      <c r="B507" s="106">
        <f>VLOOKUP(A507,Sheet2!A:C,2,FALSE)</f>
        <v>266</v>
      </c>
      <c r="C507" s="106">
        <v>3750</v>
      </c>
      <c r="D507" s="106">
        <f>VLOOKUP(A507,Sheet4!A:C,2,FALSE)</f>
        <v>945</v>
      </c>
      <c r="E507" s="106">
        <f>VLOOKUP(A507,Sheet5!A:B,2,FALSE)</f>
        <v>7.1685</v>
      </c>
      <c r="F507" s="106">
        <f>VLOOKUP(A507,Sheet6!A:B,2,FALSE)</f>
        <v>102.29</v>
      </c>
      <c r="G507" s="106">
        <f>VLOOKUP(A507,WTI原油期货!A:B,2,FALSE)</f>
        <v>72.09</v>
      </c>
      <c r="H507" s="106">
        <f>VLOOKUP(A507,天然气期货!A:B,2,FALSE)</f>
        <v>2.54</v>
      </c>
      <c r="I507" s="111">
        <f>VLOOKUP(A507,黄金期货!A:B,2,FALSE)</f>
        <v>2019.2</v>
      </c>
      <c r="J507" s="106">
        <f>VLOOKUP(A507,Sheet2!A:C,3,FALSE)</f>
        <v>850</v>
      </c>
      <c r="L507" s="112">
        <f t="shared" si="27"/>
        <v>-0.0116279069767442</v>
      </c>
    </row>
    <row r="508" spans="1:12">
      <c r="A508" s="109">
        <v>45303</v>
      </c>
      <c r="B508" s="106">
        <f>VLOOKUP(A508,Sheet2!A:C,2,FALSE)</f>
        <v>264</v>
      </c>
      <c r="C508" s="106">
        <v>3750</v>
      </c>
      <c r="D508" s="106">
        <f>VLOOKUP(A508,Sheet4!A:C,2,FALSE)</f>
        <v>945</v>
      </c>
      <c r="E508" s="106">
        <f>VLOOKUP(A508,Sheet5!A:B,2,FALSE)</f>
        <v>7.1678</v>
      </c>
      <c r="F508" s="106">
        <f>VLOOKUP(A508,Sheet6!A:B,2,FALSE)</f>
        <v>102.4</v>
      </c>
      <c r="G508" s="106">
        <f>VLOOKUP(A508,WTI原油期货!A:B,2,FALSE)</f>
        <v>72.79</v>
      </c>
      <c r="H508" s="106">
        <f>VLOOKUP(A508,天然气期货!A:B,2,FALSE)</f>
        <v>2.617</v>
      </c>
      <c r="I508" s="111">
        <f>VLOOKUP(A508,黄金期货!A:B,2,FALSE)</f>
        <v>2051.6</v>
      </c>
      <c r="J508" s="106">
        <f>VLOOKUP(A508,Sheet2!A:C,3,FALSE)</f>
        <v>845</v>
      </c>
      <c r="L508" s="112">
        <f t="shared" si="27"/>
        <v>-0.00588235294117647</v>
      </c>
    </row>
    <row r="509" spans="1:12">
      <c r="A509" s="109">
        <v>45306</v>
      </c>
      <c r="B509" s="106">
        <f>VLOOKUP(A509,Sheet2!A:C,2,FALSE)</f>
        <v>263</v>
      </c>
      <c r="C509" s="106">
        <v>3750</v>
      </c>
      <c r="D509" s="106">
        <f>VLOOKUP(A509,Sheet4!A:C,2,FALSE)</f>
        <v>943</v>
      </c>
      <c r="E509" s="106">
        <f>VLOOKUP(A509,Sheet5!A:B,2,FALSE)</f>
        <v>7.1716</v>
      </c>
      <c r="F509" s="106">
        <f>VLOOKUP(A509,Sheet6!A:B,2,FALSE)</f>
        <v>102.4</v>
      </c>
      <c r="G509" s="106">
        <f>VLOOKUP(A509,WTI原油期货!A:B,2,FALSE)</f>
        <v>72.79</v>
      </c>
      <c r="H509" s="106">
        <f>VLOOKUP(A509,天然气期货!A:B,2,FALSE)</f>
        <v>3.066</v>
      </c>
      <c r="I509" s="111">
        <f>VLOOKUP(A509,黄金期货!A:B,2,FALSE)</f>
        <v>2030.2</v>
      </c>
      <c r="J509" s="106">
        <f>VLOOKUP(A509,Sheet2!A:C,3,FALSE)</f>
        <v>840</v>
      </c>
      <c r="L509" s="112">
        <f t="shared" si="27"/>
        <v>-0.00591715976331361</v>
      </c>
    </row>
    <row r="510" spans="1:12">
      <c r="A510" s="109">
        <v>45307</v>
      </c>
      <c r="B510" s="106">
        <f>VLOOKUP(A510,Sheet2!A:C,2,FALSE)</f>
        <v>262</v>
      </c>
      <c r="C510" s="106">
        <v>3750</v>
      </c>
      <c r="D510" s="106">
        <f>VLOOKUP(A510,Sheet4!A:C,2,FALSE)</f>
        <v>942</v>
      </c>
      <c r="E510" s="106">
        <f>VLOOKUP(A510,Sheet5!A:B,2,FALSE)</f>
        <v>7.1911</v>
      </c>
      <c r="F510" s="106">
        <f>VLOOKUP(A510,Sheet6!A:B,2,FALSE)</f>
        <v>103.36</v>
      </c>
      <c r="G510" s="106">
        <f>VLOOKUP(A510,WTI原油期货!A:B,2,FALSE)</f>
        <v>72.52</v>
      </c>
      <c r="H510" s="106">
        <f>VLOOKUP(A510,天然气期货!A:B,2,FALSE)</f>
        <v>2.477</v>
      </c>
      <c r="I510" s="111">
        <f>VLOOKUP(A510,黄金期货!A:B,2,FALSE)</f>
        <v>2030.2</v>
      </c>
      <c r="J510" s="106">
        <f>VLOOKUP(A510,Sheet2!A:C,3,FALSE)</f>
        <v>830</v>
      </c>
      <c r="L510" s="112">
        <f t="shared" si="27"/>
        <v>-0.0119047619047619</v>
      </c>
    </row>
    <row r="511" spans="1:12">
      <c r="A511" s="109">
        <v>45308</v>
      </c>
      <c r="B511" s="106">
        <f>VLOOKUP(A511,Sheet2!A:C,2,FALSE)</f>
        <v>265</v>
      </c>
      <c r="C511" s="106">
        <v>3750</v>
      </c>
      <c r="D511" s="106">
        <f>VLOOKUP(A511,Sheet4!A:C,2,FALSE)</f>
        <v>943</v>
      </c>
      <c r="E511" s="106">
        <f>VLOOKUP(A511,Sheet5!A:B,2,FALSE)</f>
        <v>7.1963</v>
      </c>
      <c r="F511" s="106">
        <f>VLOOKUP(A511,Sheet6!A:B,2,FALSE)</f>
        <v>103.45</v>
      </c>
      <c r="G511" s="106">
        <f>VLOOKUP(A511,WTI原油期货!A:B,2,FALSE)</f>
        <v>72.48</v>
      </c>
      <c r="H511" s="106">
        <f>VLOOKUP(A511,天然气期货!A:B,2,FALSE)</f>
        <v>2.496</v>
      </c>
      <c r="I511" s="111">
        <f>VLOOKUP(A511,黄金期货!A:B,2,FALSE)</f>
        <v>2006.5</v>
      </c>
      <c r="J511" s="106">
        <f>VLOOKUP(A511,Sheet2!A:C,3,FALSE)</f>
        <v>820</v>
      </c>
      <c r="L511" s="112">
        <f t="shared" si="27"/>
        <v>-0.0120481927710843</v>
      </c>
    </row>
    <row r="512" spans="1:12">
      <c r="A512" s="109">
        <v>45309</v>
      </c>
      <c r="B512" s="106">
        <f>VLOOKUP(A512,Sheet2!A:C,2,FALSE)</f>
        <v>266</v>
      </c>
      <c r="C512" s="106">
        <v>3750</v>
      </c>
      <c r="D512" s="106">
        <f>VLOOKUP(A512,Sheet4!A:C,2,FALSE)</f>
        <v>942</v>
      </c>
      <c r="E512" s="106">
        <f>VLOOKUP(A512,Sheet5!A:B,2,FALSE)</f>
        <v>7.1963</v>
      </c>
      <c r="F512" s="106">
        <f>VLOOKUP(A512,Sheet6!A:B,2,FALSE)</f>
        <v>103.54</v>
      </c>
      <c r="G512" s="106">
        <f>VLOOKUP(A512,WTI原油期货!A:B,2,FALSE)</f>
        <v>73.95</v>
      </c>
      <c r="H512" s="106">
        <f>VLOOKUP(A512,天然气期货!A:B,2,FALSE)</f>
        <v>2.413</v>
      </c>
      <c r="I512" s="111">
        <f>VLOOKUP(A512,黄金期货!A:B,2,FALSE)</f>
        <v>2021.6</v>
      </c>
      <c r="J512" s="106">
        <f>VLOOKUP(A512,Sheet2!A:C,3,FALSE)</f>
        <v>820</v>
      </c>
      <c r="L512" s="112">
        <f t="shared" si="27"/>
        <v>0</v>
      </c>
    </row>
    <row r="513" spans="1:12">
      <c r="A513" s="109">
        <v>45310</v>
      </c>
      <c r="B513" s="106">
        <f>VLOOKUP(A513,Sheet2!A:C,2,FALSE)</f>
        <v>265</v>
      </c>
      <c r="C513" s="106">
        <v>3750</v>
      </c>
      <c r="D513" s="106">
        <f>VLOOKUP(A513,Sheet4!A:C,2,FALSE)</f>
        <v>942</v>
      </c>
      <c r="E513" s="106">
        <f>VLOOKUP(A513,Sheet5!A:B,2,FALSE)</f>
        <v>7.1935</v>
      </c>
      <c r="F513" s="106">
        <f>VLOOKUP(A513,Sheet6!A:B,2,FALSE)</f>
        <v>103.29</v>
      </c>
      <c r="G513" s="106">
        <f>VLOOKUP(A513,WTI原油期货!A:B,2,FALSE)</f>
        <v>73.25</v>
      </c>
      <c r="H513" s="106">
        <f>VLOOKUP(A513,天然气期货!A:B,2,FALSE)</f>
        <v>2.252</v>
      </c>
      <c r="I513" s="111">
        <f>VLOOKUP(A513,黄金期货!A:B,2,FALSE)</f>
        <v>2029.3</v>
      </c>
      <c r="J513" s="106">
        <f>VLOOKUP(A513,Sheet2!A:C,3,FALSE)</f>
        <v>840</v>
      </c>
      <c r="L513" s="112">
        <f t="shared" si="27"/>
        <v>0.024390243902439</v>
      </c>
    </row>
    <row r="514" spans="1:12">
      <c r="A514" s="109">
        <v>45313</v>
      </c>
      <c r="B514" s="106">
        <f>VLOOKUP(A514,Sheet2!A:C,2,FALSE)</f>
        <v>266</v>
      </c>
      <c r="C514" s="106">
        <v>3750</v>
      </c>
      <c r="D514" s="106">
        <f>VLOOKUP(A514,Sheet4!A:C,2,FALSE)</f>
        <v>941</v>
      </c>
      <c r="E514" s="106">
        <f>VLOOKUP(A514,Sheet5!A:B,2,FALSE)</f>
        <v>7.1929</v>
      </c>
      <c r="F514" s="106">
        <f>VLOOKUP(A514,Sheet6!A:B,2,FALSE)</f>
        <v>103.33</v>
      </c>
      <c r="G514" s="106">
        <f>VLOOKUP(A514,WTI原油期货!A:B,2,FALSE)</f>
        <v>74.76</v>
      </c>
      <c r="H514" s="106">
        <f>VLOOKUP(A514,天然气期货!A:B,2,FALSE)</f>
        <v>2.125</v>
      </c>
      <c r="I514" s="111">
        <f>VLOOKUP(A514,黄金期货!A:B,2,FALSE)</f>
        <v>2022.2</v>
      </c>
      <c r="J514" s="106">
        <f>VLOOKUP(A514,Sheet2!A:C,3,FALSE)</f>
        <v>840</v>
      </c>
      <c r="L514" s="112">
        <f t="shared" si="27"/>
        <v>0</v>
      </c>
    </row>
    <row r="515" spans="1:12">
      <c r="A515" s="109">
        <v>45314</v>
      </c>
      <c r="B515" s="106">
        <f>VLOOKUP(A515,Sheet2!A:C,2,FALSE)</f>
        <v>264</v>
      </c>
      <c r="C515" s="106">
        <v>3750</v>
      </c>
      <c r="D515" s="106">
        <f>VLOOKUP(A515,Sheet4!A:C,2,FALSE)</f>
        <v>942</v>
      </c>
      <c r="E515" s="106">
        <f>VLOOKUP(A515,Sheet5!A:B,2,FALSE)</f>
        <v>7.1733</v>
      </c>
      <c r="F515" s="106">
        <f>VLOOKUP(A515,Sheet6!A:B,2,FALSE)</f>
        <v>103.62</v>
      </c>
      <c r="G515" s="106">
        <f>VLOOKUP(A515,WTI原油期货!A:B,2,FALSE)</f>
        <v>74.27</v>
      </c>
      <c r="H515" s="106">
        <f>VLOOKUP(A515,天然气期货!A:B,2,FALSE)</f>
        <v>2.167</v>
      </c>
      <c r="I515" s="111">
        <f>VLOOKUP(A515,黄金期货!A:B,2,FALSE)</f>
        <v>2025.8</v>
      </c>
      <c r="J515" s="106">
        <f>VLOOKUP(A515,Sheet2!A:C,3,FALSE)</f>
        <v>850</v>
      </c>
      <c r="L515" s="112">
        <f t="shared" ref="L515:L578" si="28">(J515-J514)/J514</f>
        <v>0.0119047619047619</v>
      </c>
    </row>
    <row r="516" spans="1:12">
      <c r="A516" s="109">
        <v>45315</v>
      </c>
      <c r="B516" s="106">
        <f>VLOOKUP(A516,Sheet2!A:C,2,FALSE)</f>
        <v>263</v>
      </c>
      <c r="C516" s="106">
        <v>3750</v>
      </c>
      <c r="D516" s="106">
        <f>VLOOKUP(A516,Sheet4!A:C,2,FALSE)</f>
        <v>943</v>
      </c>
      <c r="E516" s="106">
        <f>VLOOKUP(A516,Sheet5!A:B,2,FALSE)</f>
        <v>7.1528</v>
      </c>
      <c r="F516" s="106">
        <f>VLOOKUP(A516,Sheet6!A:B,2,FALSE)</f>
        <v>103.24</v>
      </c>
      <c r="G516" s="106">
        <f>VLOOKUP(A516,WTI原油期货!A:B,2,FALSE)</f>
        <v>74.98</v>
      </c>
      <c r="H516" s="106">
        <f>VLOOKUP(A516,天然气期货!A:B,2,FALSE)</f>
        <v>2.262</v>
      </c>
      <c r="I516" s="111">
        <f>VLOOKUP(A516,黄金期货!A:B,2,FALSE)</f>
        <v>2016</v>
      </c>
      <c r="J516" s="106">
        <f>VLOOKUP(A516,Sheet2!A:C,3,FALSE)</f>
        <v>850</v>
      </c>
      <c r="L516" s="112">
        <f t="shared" si="28"/>
        <v>0</v>
      </c>
    </row>
    <row r="517" spans="1:12">
      <c r="A517" s="109">
        <v>45316</v>
      </c>
      <c r="B517" s="106">
        <f>VLOOKUP(A517,Sheet2!A:C,2,FALSE)</f>
        <v>263</v>
      </c>
      <c r="C517" s="106">
        <v>3750</v>
      </c>
      <c r="D517" s="106">
        <f>VLOOKUP(A517,Sheet4!A:C,2,FALSE)</f>
        <v>944</v>
      </c>
      <c r="E517" s="106">
        <f>VLOOKUP(A517,Sheet5!A:B,2,FALSE)</f>
        <v>7.1698</v>
      </c>
      <c r="F517" s="106">
        <f>VLOOKUP(A517,Sheet6!A:B,2,FALSE)</f>
        <v>103.57</v>
      </c>
      <c r="G517" s="106">
        <f>VLOOKUP(A517,WTI原油期货!A:B,2,FALSE)</f>
        <v>77.19</v>
      </c>
      <c r="H517" s="106">
        <f>VLOOKUP(A517,天然气期货!A:B,2,FALSE)</f>
        <v>2.18</v>
      </c>
      <c r="I517" s="111">
        <f>VLOOKUP(A517,黄金期货!A:B,2,FALSE)</f>
        <v>2017.8</v>
      </c>
      <c r="J517" s="106">
        <f>VLOOKUP(A517,Sheet2!A:C,3,FALSE)</f>
        <v>860</v>
      </c>
      <c r="L517" s="112">
        <f t="shared" si="28"/>
        <v>0.0117647058823529</v>
      </c>
    </row>
    <row r="518" spans="1:12">
      <c r="A518" s="109">
        <v>45317</v>
      </c>
      <c r="B518" s="106">
        <f>VLOOKUP(A518,Sheet2!A:C,2,FALSE)</f>
        <v>262</v>
      </c>
      <c r="C518" s="106">
        <v>3750</v>
      </c>
      <c r="D518" s="106">
        <f>VLOOKUP(A518,Sheet4!A:C,2,FALSE)</f>
        <v>946</v>
      </c>
      <c r="E518" s="106">
        <f>VLOOKUP(A518,Sheet5!A:B,2,FALSE)</f>
        <v>7.1774</v>
      </c>
      <c r="F518" s="106">
        <f>VLOOKUP(A518,Sheet6!A:B,2,FALSE)</f>
        <v>103.43</v>
      </c>
      <c r="G518" s="106">
        <f>VLOOKUP(A518,WTI原油期货!A:B,2,FALSE)</f>
        <v>77.86</v>
      </c>
      <c r="H518" s="106">
        <f>VLOOKUP(A518,天然气期货!A:B,2,FALSE)</f>
        <v>2.175</v>
      </c>
      <c r="I518" s="111">
        <f>VLOOKUP(A518,黄金期货!A:B,2,FALSE)</f>
        <v>2017.3</v>
      </c>
      <c r="J518" s="106">
        <f>VLOOKUP(A518,Sheet2!A:C,3,FALSE)</f>
        <v>860</v>
      </c>
      <c r="L518" s="112">
        <f t="shared" si="28"/>
        <v>0</v>
      </c>
    </row>
    <row r="519" spans="1:12">
      <c r="A519" s="109">
        <v>45320</v>
      </c>
      <c r="B519" s="106">
        <f>VLOOKUP(A519,Sheet2!A:C,2,FALSE)</f>
        <v>258</v>
      </c>
      <c r="C519" s="106">
        <v>3750</v>
      </c>
      <c r="D519" s="106">
        <f>VLOOKUP(A519,Sheet4!A:C,2,FALSE)</f>
        <v>946</v>
      </c>
      <c r="E519" s="106">
        <f>VLOOKUP(A519,Sheet5!A:B,2,FALSE)</f>
        <v>7.1807</v>
      </c>
      <c r="F519" s="106">
        <f>VLOOKUP(A519,Sheet6!A:B,2,FALSE)</f>
        <v>103.61</v>
      </c>
      <c r="G519" s="106">
        <f>VLOOKUP(A519,WTI原油期货!A:B,2,FALSE)</f>
        <v>76.67</v>
      </c>
      <c r="H519" s="106">
        <f>VLOOKUP(A519,天然气期货!A:B,2,FALSE)</f>
        <v>2.054</v>
      </c>
      <c r="I519" s="111">
        <f>VLOOKUP(A519,黄金期货!A:B,2,FALSE)</f>
        <v>2025.4</v>
      </c>
      <c r="J519" s="106">
        <f>VLOOKUP(A519,Sheet2!A:C,3,FALSE)</f>
        <v>860</v>
      </c>
      <c r="L519" s="112">
        <f t="shared" si="28"/>
        <v>0</v>
      </c>
    </row>
    <row r="520" spans="1:12">
      <c r="A520" s="109">
        <v>45321</v>
      </c>
      <c r="B520" s="106">
        <f>VLOOKUP(A520,Sheet2!A:C,2,FALSE)</f>
        <v>258</v>
      </c>
      <c r="C520" s="106">
        <v>3750</v>
      </c>
      <c r="D520" s="106">
        <f>VLOOKUP(A520,Sheet4!A:C,2,FALSE)</f>
        <v>946</v>
      </c>
      <c r="E520" s="106">
        <f>VLOOKUP(A520,Sheet5!A:B,2,FALSE)</f>
        <v>7.1763</v>
      </c>
      <c r="F520" s="106">
        <f>VLOOKUP(A520,Sheet6!A:B,2,FALSE)</f>
        <v>103.4</v>
      </c>
      <c r="G520" s="106">
        <f>VLOOKUP(A520,WTI原油期货!A:B,2,FALSE)</f>
        <v>77.65</v>
      </c>
      <c r="H520" s="106">
        <f>VLOOKUP(A520,天然气期货!A:B,2,FALSE)</f>
        <v>2.104</v>
      </c>
      <c r="I520" s="111">
        <f>VLOOKUP(A520,黄金期货!A:B,2,FALSE)</f>
        <v>2041.1</v>
      </c>
      <c r="J520" s="106">
        <f>VLOOKUP(A520,Sheet2!A:C,3,FALSE)</f>
        <v>880</v>
      </c>
      <c r="L520" s="112">
        <f t="shared" si="28"/>
        <v>0.0232558139534884</v>
      </c>
    </row>
    <row r="521" spans="1:12">
      <c r="A521" s="109">
        <v>45322</v>
      </c>
      <c r="B521" s="106">
        <f>VLOOKUP(A521,Sheet2!A:C,2,FALSE)</f>
        <v>259</v>
      </c>
      <c r="C521" s="106">
        <v>3750</v>
      </c>
      <c r="D521" s="106">
        <f>VLOOKUP(A521,Sheet4!A:C,2,FALSE)</f>
        <v>945</v>
      </c>
      <c r="E521" s="106">
        <f>VLOOKUP(A521,Sheet5!A:B,2,FALSE)</f>
        <v>7.1678</v>
      </c>
      <c r="F521" s="106">
        <f>VLOOKUP(A521,Sheet6!A:B,2,FALSE)</f>
        <v>103.27</v>
      </c>
      <c r="G521" s="106">
        <f>VLOOKUP(A521,WTI原油期货!A:B,2,FALSE)</f>
        <v>75.71</v>
      </c>
      <c r="H521" s="106">
        <f>VLOOKUP(A521,天然气期货!A:B,2,FALSE)</f>
        <v>2.121</v>
      </c>
      <c r="I521" s="111">
        <f>VLOOKUP(A521,黄金期货!A:B,2,FALSE)</f>
        <v>2057.4</v>
      </c>
      <c r="J521" s="106">
        <f>VLOOKUP(A521,Sheet2!A:C,3,FALSE)</f>
        <v>900</v>
      </c>
      <c r="L521" s="112">
        <f t="shared" si="28"/>
        <v>0.0227272727272727</v>
      </c>
    </row>
    <row r="522" spans="1:12">
      <c r="A522" s="109">
        <v>45323</v>
      </c>
      <c r="B522" s="106">
        <f>VLOOKUP(A522,Sheet2!A:C,2,FALSE)</f>
        <v>255</v>
      </c>
      <c r="C522" s="106">
        <v>3750</v>
      </c>
      <c r="D522" s="106">
        <f>VLOOKUP(A522,Sheet4!A:C,2,FALSE)</f>
        <v>944</v>
      </c>
      <c r="E522" s="106">
        <f>VLOOKUP(A522,Sheet5!A:B,2,FALSE)</f>
        <v>7.1802</v>
      </c>
      <c r="F522" s="106">
        <f>VLOOKUP(A522,Sheet6!A:B,2,FALSE)</f>
        <v>103.05</v>
      </c>
      <c r="G522" s="106">
        <f>VLOOKUP(A522,WTI原油期货!A:B,2,FALSE)</f>
        <v>73.79</v>
      </c>
      <c r="H522" s="106">
        <f>VLOOKUP(A522,天然气期货!A:B,2,FALSE)</f>
        <v>2.064</v>
      </c>
      <c r="I522" s="111">
        <f>VLOOKUP(A522,黄金期货!A:B,2,FALSE)</f>
        <v>2061.2</v>
      </c>
      <c r="J522" s="106">
        <f>VLOOKUP(A522,Sheet2!A:C,3,FALSE)</f>
        <v>900</v>
      </c>
      <c r="L522" s="112">
        <f t="shared" si="28"/>
        <v>0</v>
      </c>
    </row>
    <row r="523" spans="1:12">
      <c r="A523" s="109">
        <v>45324</v>
      </c>
      <c r="B523" s="106">
        <f>VLOOKUP(A523,Sheet2!A:C,2,FALSE)</f>
        <v>254</v>
      </c>
      <c r="C523" s="106">
        <v>3750</v>
      </c>
      <c r="D523" s="106">
        <f>VLOOKUP(A523,Sheet4!A:C,2,FALSE)</f>
        <v>944</v>
      </c>
      <c r="E523" s="106">
        <f>VLOOKUP(A523,Sheet5!A:B,2,FALSE)</f>
        <v>7.1925</v>
      </c>
      <c r="F523" s="106">
        <f>VLOOKUP(A523,Sheet6!A:B,2,FALSE)</f>
        <v>103.92</v>
      </c>
      <c r="G523" s="106">
        <f>VLOOKUP(A523,WTI原油期货!A:B,2,FALSE)</f>
        <v>72.3</v>
      </c>
      <c r="H523" s="106">
        <f>VLOOKUP(A523,天然气期货!A:B,2,FALSE)</f>
        <v>2.086</v>
      </c>
      <c r="I523" s="111">
        <f>VLOOKUP(A523,黄金期货!A:B,2,FALSE)</f>
        <v>2043.9</v>
      </c>
      <c r="J523" s="106">
        <f>VLOOKUP(A523,Sheet2!A:C,3,FALSE)</f>
        <v>900</v>
      </c>
      <c r="L523" s="112">
        <f t="shared" si="28"/>
        <v>0</v>
      </c>
    </row>
    <row r="524" spans="1:12">
      <c r="A524" s="109">
        <v>45326</v>
      </c>
      <c r="B524" s="106">
        <f>VLOOKUP(A524,Sheet2!A:C,2,FALSE)</f>
        <v>262</v>
      </c>
      <c r="C524" s="106">
        <v>3750</v>
      </c>
      <c r="D524" s="106">
        <f>VLOOKUP(A524,Sheet4!A:C,2,FALSE)</f>
        <v>944</v>
      </c>
      <c r="E524" s="106">
        <f>E523</f>
        <v>7.1925</v>
      </c>
      <c r="F524" s="106">
        <f>F523</f>
        <v>103.92</v>
      </c>
      <c r="G524" s="106">
        <f>G523</f>
        <v>72.3</v>
      </c>
      <c r="H524" s="106">
        <f>H523</f>
        <v>2.086</v>
      </c>
      <c r="I524" s="111">
        <f>I523</f>
        <v>2043.9</v>
      </c>
      <c r="J524" s="106">
        <f>VLOOKUP(A524,Sheet2!A:C,3,FALSE)</f>
        <v>900</v>
      </c>
      <c r="L524" s="112">
        <f t="shared" si="28"/>
        <v>0</v>
      </c>
    </row>
    <row r="525" spans="1:12">
      <c r="A525" s="109">
        <v>45327</v>
      </c>
      <c r="B525" s="106">
        <f>VLOOKUP(A525,Sheet2!A:C,2,FALSE)</f>
        <v>266</v>
      </c>
      <c r="C525" s="106">
        <v>3750</v>
      </c>
      <c r="D525" s="106">
        <f>VLOOKUP(A525,Sheet4!A:C,2,FALSE)</f>
        <v>943</v>
      </c>
      <c r="E525" s="106">
        <f>VLOOKUP(A525,Sheet5!A:B,2,FALSE)</f>
        <v>7.1985</v>
      </c>
      <c r="F525" s="106">
        <f>VLOOKUP(A525,Sheet6!A:B,2,FALSE)</f>
        <v>104.45</v>
      </c>
      <c r="G525" s="106">
        <f>VLOOKUP(A525,WTI原油期货!A:B,2,FALSE)</f>
        <v>72.85</v>
      </c>
      <c r="H525" s="106">
        <f>VLOOKUP(A525,天然气期货!A:B,2,FALSE)</f>
        <v>2.074</v>
      </c>
      <c r="I525" s="111">
        <f>VLOOKUP(A525,黄金期货!A:B,2,FALSE)</f>
        <v>2032.9</v>
      </c>
      <c r="J525" s="106">
        <f>VLOOKUP(A525,Sheet2!A:C,3,FALSE)</f>
        <v>900</v>
      </c>
      <c r="L525" s="112">
        <f t="shared" si="28"/>
        <v>0</v>
      </c>
    </row>
    <row r="526" spans="1:12">
      <c r="A526" s="109">
        <v>45328</v>
      </c>
      <c r="B526" s="106">
        <f>VLOOKUP(A526,Sheet2!A:C,2,FALSE)</f>
        <v>268</v>
      </c>
      <c r="C526" s="106">
        <v>3750</v>
      </c>
      <c r="D526" s="106">
        <f>VLOOKUP(A526,Sheet4!A:C,2,FALSE)</f>
        <v>943</v>
      </c>
      <c r="E526" s="106">
        <f>VLOOKUP(A526,Sheet5!A:B,2,FALSE)</f>
        <v>7.1913</v>
      </c>
      <c r="F526" s="106">
        <f>VLOOKUP(A526,Sheet6!A:B,2,FALSE)</f>
        <v>104.21</v>
      </c>
      <c r="G526" s="106">
        <f>VLOOKUP(A526,WTI原油期货!A:B,2,FALSE)</f>
        <v>73.37</v>
      </c>
      <c r="H526" s="106">
        <f>VLOOKUP(A526,天然气期货!A:B,2,FALSE)</f>
        <v>2.007</v>
      </c>
      <c r="I526" s="111">
        <f>VLOOKUP(A526,黄金期货!A:B,2,FALSE)</f>
        <v>2041.5</v>
      </c>
      <c r="J526" s="106">
        <f>VLOOKUP(A526,Sheet2!A:C,3,FALSE)</f>
        <v>900</v>
      </c>
      <c r="L526" s="112">
        <f t="shared" si="28"/>
        <v>0</v>
      </c>
    </row>
    <row r="527" spans="1:12">
      <c r="A527" s="109">
        <v>45329</v>
      </c>
      <c r="B527" s="106">
        <f>VLOOKUP(A527,Sheet2!A:C,2,FALSE)</f>
        <v>267</v>
      </c>
      <c r="C527" s="106">
        <v>3750</v>
      </c>
      <c r="D527" s="106">
        <f>VLOOKUP(A527,Sheet4!A:C,2,FALSE)</f>
        <v>944</v>
      </c>
      <c r="E527" s="106">
        <f>VLOOKUP(A527,Sheet5!A:B,2,FALSE)</f>
        <v>7.195</v>
      </c>
      <c r="F527" s="106">
        <f>VLOOKUP(A527,Sheet6!A:B,2,FALSE)</f>
        <v>104.06</v>
      </c>
      <c r="G527" s="106">
        <f>VLOOKUP(A527,WTI原油期货!A:B,2,FALSE)</f>
        <v>73.91</v>
      </c>
      <c r="H527" s="106">
        <f>VLOOKUP(A527,天然气期货!A:B,2,FALSE)</f>
        <v>1.98</v>
      </c>
      <c r="I527" s="111">
        <f>VLOOKUP(A527,黄金期货!A:B,2,FALSE)</f>
        <v>2041.8</v>
      </c>
      <c r="J527" s="106">
        <f>VLOOKUP(A527,Sheet2!A:C,3,FALSE)</f>
        <v>900</v>
      </c>
      <c r="L527" s="112">
        <f t="shared" si="28"/>
        <v>0</v>
      </c>
    </row>
    <row r="528" spans="1:12">
      <c r="A528" s="109">
        <v>45330</v>
      </c>
      <c r="B528" s="106">
        <f>VLOOKUP(A528,Sheet2!A:C,2,FALSE)</f>
        <v>267</v>
      </c>
      <c r="C528" s="106">
        <v>3750</v>
      </c>
      <c r="D528" s="106">
        <f>VLOOKUP(A528,Sheet4!A:C,2,FALSE)</f>
        <v>944</v>
      </c>
      <c r="E528" s="106">
        <f>VLOOKUP(A528,Sheet5!A:B,2,FALSE)</f>
        <v>7.1968</v>
      </c>
      <c r="F528" s="106">
        <f>VLOOKUP(A528,Sheet6!A:B,2,FALSE)</f>
        <v>104.17</v>
      </c>
      <c r="G528" s="106">
        <f>VLOOKUP(A528,WTI原油期货!A:B,2,FALSE)</f>
        <v>76.19</v>
      </c>
      <c r="H528" s="106">
        <f>VLOOKUP(A528,天然气期货!A:B,2,FALSE)</f>
        <v>1.948</v>
      </c>
      <c r="I528" s="111">
        <f>VLOOKUP(A528,黄金期货!A:B,2,FALSE)</f>
        <v>2038.1</v>
      </c>
      <c r="J528" s="106">
        <f>VLOOKUP(A528,Sheet2!A:C,3,FALSE)</f>
        <v>900</v>
      </c>
      <c r="L528" s="112">
        <f t="shared" si="28"/>
        <v>0</v>
      </c>
    </row>
    <row r="529" spans="1:12">
      <c r="A529" s="109">
        <v>45340</v>
      </c>
      <c r="B529" s="106">
        <f>VLOOKUP(A529,Sheet2!A:C,2,FALSE)</f>
        <v>266</v>
      </c>
      <c r="C529" s="106">
        <v>3750</v>
      </c>
      <c r="D529" s="106">
        <f>VLOOKUP(A529,Sheet4!A:C,2,FALSE)</f>
        <v>946</v>
      </c>
      <c r="E529" s="106">
        <f>E528</f>
        <v>7.1968</v>
      </c>
      <c r="F529" s="106">
        <f>F528</f>
        <v>104.17</v>
      </c>
      <c r="G529" s="106">
        <f>G528</f>
        <v>76.19</v>
      </c>
      <c r="H529" s="106">
        <f>VLOOKUP(A529,天然气期货!A:B,2,FALSE)</f>
        <v>1.551</v>
      </c>
      <c r="I529" s="111">
        <f>I528</f>
        <v>2038.1</v>
      </c>
      <c r="J529" s="106">
        <f>VLOOKUP(A529,Sheet2!A:C,3,FALSE)</f>
        <v>900</v>
      </c>
      <c r="L529" s="112">
        <f t="shared" si="28"/>
        <v>0</v>
      </c>
    </row>
    <row r="530" spans="1:12">
      <c r="A530" s="109">
        <v>45341</v>
      </c>
      <c r="B530" s="106">
        <f>VLOOKUP(A530,Sheet2!A:C,2,FALSE)</f>
        <v>267</v>
      </c>
      <c r="C530" s="106">
        <v>3750</v>
      </c>
      <c r="D530" s="106">
        <f>VLOOKUP(A530,Sheet4!A:C,2,FALSE)</f>
        <v>949</v>
      </c>
      <c r="E530" s="106">
        <f>VLOOKUP(A530,Sheet5!A:B,2,FALSE)</f>
        <v>7.1982</v>
      </c>
      <c r="F530" s="106">
        <f>VLOOKUP(A530,Sheet6!A:B,2,FALSE)</f>
        <v>104.29</v>
      </c>
      <c r="G530" s="106">
        <f>VLOOKUP(A530,WTI原油期货!A:B,2,FALSE)</f>
        <v>78.11</v>
      </c>
      <c r="H530" s="106">
        <f>VLOOKUP(A530,天然气期货!A:B,2,FALSE)</f>
        <v>1.558</v>
      </c>
      <c r="I530" s="111">
        <f>VLOOKUP(A530,黄金期货!A:B,2,FALSE)</f>
        <v>2039.8</v>
      </c>
      <c r="J530" s="106">
        <f>VLOOKUP(A530,Sheet2!A:C,3,FALSE)</f>
        <v>900</v>
      </c>
      <c r="L530" s="112">
        <f t="shared" si="28"/>
        <v>0</v>
      </c>
    </row>
    <row r="531" spans="1:12">
      <c r="A531" s="109">
        <v>45342</v>
      </c>
      <c r="B531" s="106">
        <f>VLOOKUP(A531,Sheet2!A:C,2,FALSE)</f>
        <v>283</v>
      </c>
      <c r="C531" s="106">
        <v>3750</v>
      </c>
      <c r="D531" s="106">
        <f>VLOOKUP(A531,Sheet4!A:C,2,FALSE)</f>
        <v>948</v>
      </c>
      <c r="E531" s="106">
        <f>VLOOKUP(A531,Sheet5!A:B,2,FALSE)</f>
        <v>7.1919</v>
      </c>
      <c r="F531" s="106">
        <f>VLOOKUP(A531,Sheet6!A:B,2,FALSE)</f>
        <v>104.08</v>
      </c>
      <c r="G531" s="106">
        <f>VLOOKUP(A531,WTI原油期货!A:B,2,FALSE)</f>
        <v>77.04</v>
      </c>
      <c r="H531" s="106">
        <f>VLOOKUP(A531,天然气期货!A:B,2,FALSE)</f>
        <v>1.646</v>
      </c>
      <c r="I531" s="111">
        <f>VLOOKUP(A531,黄金期货!A:B,2,FALSE)</f>
        <v>2030</v>
      </c>
      <c r="J531" s="106">
        <f>VLOOKUP(A531,Sheet2!A:C,3,FALSE)</f>
        <v>920</v>
      </c>
      <c r="L531" s="112">
        <f t="shared" si="28"/>
        <v>0.0222222222222222</v>
      </c>
    </row>
    <row r="532" spans="1:12">
      <c r="A532" s="109">
        <v>45343</v>
      </c>
      <c r="B532" s="106">
        <f>VLOOKUP(A532,Sheet2!A:C,2,FALSE)</f>
        <v>286</v>
      </c>
      <c r="C532" s="106">
        <v>3750</v>
      </c>
      <c r="D532" s="106">
        <f>VLOOKUP(A532,Sheet4!A:C,2,FALSE)</f>
        <v>948</v>
      </c>
      <c r="E532" s="106">
        <f>VLOOKUP(A532,Sheet5!A:B,2,FALSE)</f>
        <v>7.1898</v>
      </c>
      <c r="F532" s="106">
        <f>VLOOKUP(A532,Sheet6!A:B,2,FALSE)</f>
        <v>104.01</v>
      </c>
      <c r="G532" s="106">
        <f>VLOOKUP(A532,WTI原油期货!A:B,2,FALSE)</f>
        <v>77.31</v>
      </c>
      <c r="H532" s="106">
        <f>VLOOKUP(A532,天然气期货!A:B,2,FALSE)</f>
        <v>1.863</v>
      </c>
      <c r="I532" s="111">
        <f>VLOOKUP(A532,黄金期货!A:B,2,FALSE)</f>
        <v>2024.5</v>
      </c>
      <c r="J532" s="106">
        <f>VLOOKUP(A532,Sheet2!A:C,3,FALSE)</f>
        <v>920</v>
      </c>
      <c r="L532" s="112">
        <f t="shared" si="28"/>
        <v>0</v>
      </c>
    </row>
    <row r="533" spans="1:12">
      <c r="A533" s="109">
        <v>45344</v>
      </c>
      <c r="B533" s="106">
        <f>VLOOKUP(A533,Sheet2!A:C,2,FALSE)</f>
        <v>286</v>
      </c>
      <c r="C533" s="106">
        <v>3750</v>
      </c>
      <c r="D533" s="106">
        <f>VLOOKUP(A533,Sheet4!A:C,2,FALSE)</f>
        <v>948</v>
      </c>
      <c r="E533" s="106">
        <f>VLOOKUP(A533,Sheet5!A:B,2,FALSE)</f>
        <v>7.1947</v>
      </c>
      <c r="F533" s="106">
        <f>VLOOKUP(A533,Sheet6!A:B,2,FALSE)</f>
        <v>103.96</v>
      </c>
      <c r="G533" s="106">
        <f>VLOOKUP(A533,WTI原油期货!A:B,2,FALSE)</f>
        <v>77.93</v>
      </c>
      <c r="H533" s="106">
        <f>VLOOKUP(A533,天然气期货!A:B,2,FALSE)</f>
        <v>1.832</v>
      </c>
      <c r="I533" s="111">
        <f>VLOOKUP(A533,黄金期货!A:B,2,FALSE)</f>
        <v>2020.8</v>
      </c>
      <c r="J533" s="106">
        <f>VLOOKUP(A533,Sheet2!A:C,3,FALSE)</f>
        <v>920</v>
      </c>
      <c r="L533" s="112">
        <f t="shared" si="28"/>
        <v>0</v>
      </c>
    </row>
    <row r="534" spans="1:12">
      <c r="A534" s="109">
        <v>45345</v>
      </c>
      <c r="B534" s="106">
        <f>VLOOKUP(A534,Sheet2!A:C,2,FALSE)</f>
        <v>288</v>
      </c>
      <c r="C534" s="106">
        <v>3750</v>
      </c>
      <c r="D534" s="106">
        <f>VLOOKUP(A534,Sheet4!A:C,2,FALSE)</f>
        <v>948</v>
      </c>
      <c r="E534" s="106">
        <f>VLOOKUP(A534,Sheet5!A:B,2,FALSE)</f>
        <v>7.1959</v>
      </c>
      <c r="F534" s="106">
        <f>VLOOKUP(A534,Sheet6!A:B,2,FALSE)</f>
        <v>103.94</v>
      </c>
      <c r="G534" s="106">
        <f>VLOOKUP(A534,WTI原油期货!A:B,2,FALSE)</f>
        <v>76.08</v>
      </c>
      <c r="H534" s="106">
        <f>VLOOKUP(A534,天然气期货!A:B,2,FALSE)</f>
        <v>1.699</v>
      </c>
      <c r="I534" s="111">
        <f>VLOOKUP(A534,黄金期货!A:B,2,FALSE)</f>
        <v>2039.4</v>
      </c>
      <c r="J534" s="106">
        <f>VLOOKUP(A534,Sheet2!A:C,3,FALSE)</f>
        <v>910</v>
      </c>
      <c r="L534" s="112">
        <f t="shared" si="28"/>
        <v>-0.0108695652173913</v>
      </c>
    </row>
    <row r="535" spans="1:12">
      <c r="A535" s="109">
        <v>45348</v>
      </c>
      <c r="B535" s="106">
        <f>VLOOKUP(A535,Sheet2!A:C,2,FALSE)</f>
        <v>292</v>
      </c>
      <c r="C535" s="106">
        <v>3750</v>
      </c>
      <c r="D535" s="106">
        <f>VLOOKUP(A535,Sheet4!A:C,2,FALSE)</f>
        <v>947</v>
      </c>
      <c r="E535" s="106">
        <f>VLOOKUP(A535,Sheet5!A:B,2,FALSE)</f>
        <v>7.1976</v>
      </c>
      <c r="F535" s="106">
        <f>VLOOKUP(A535,Sheet6!A:B,2,FALSE)</f>
        <v>103.83</v>
      </c>
      <c r="G535" s="106">
        <f>VLOOKUP(A535,WTI原油期货!A:B,2,FALSE)</f>
        <v>77.09</v>
      </c>
      <c r="H535" s="106">
        <f>VLOOKUP(A535,天然气期货!A:B,2,FALSE)</f>
        <v>1.744</v>
      </c>
      <c r="I535" s="111">
        <f>VLOOKUP(A535,黄金期货!A:B,2,FALSE)</f>
        <v>2029.1</v>
      </c>
      <c r="J535" s="106">
        <f>VLOOKUP(A535,Sheet2!A:C,3,FALSE)</f>
        <v>915</v>
      </c>
      <c r="L535" s="112">
        <f t="shared" si="28"/>
        <v>0.00549450549450549</v>
      </c>
    </row>
    <row r="536" spans="1:12">
      <c r="A536" s="109">
        <v>45349</v>
      </c>
      <c r="B536" s="106">
        <f>VLOOKUP(A536,Sheet2!A:C,2,FALSE)</f>
        <v>292</v>
      </c>
      <c r="C536" s="106">
        <v>3750</v>
      </c>
      <c r="D536" s="106">
        <f>VLOOKUP(A536,Sheet4!A:C,2,FALSE)</f>
        <v>947</v>
      </c>
      <c r="E536" s="106">
        <f>VLOOKUP(A536,Sheet5!A:B,2,FALSE)</f>
        <v>7.1979</v>
      </c>
      <c r="F536" s="106">
        <f>VLOOKUP(A536,Sheet6!A:B,2,FALSE)</f>
        <v>103.83</v>
      </c>
      <c r="G536" s="106">
        <f>VLOOKUP(A536,WTI原油期货!A:B,2,FALSE)</f>
        <v>78.23</v>
      </c>
      <c r="H536" s="106">
        <f>VLOOKUP(A536,天然气期货!A:B,2,FALSE)</f>
        <v>1.808</v>
      </c>
      <c r="I536" s="111">
        <f>VLOOKUP(A536,黄金期货!A:B,2,FALSE)</f>
        <v>2034.4</v>
      </c>
      <c r="J536" s="106">
        <f>VLOOKUP(A536,Sheet2!A:C,3,FALSE)</f>
        <v>920</v>
      </c>
      <c r="L536" s="112">
        <f t="shared" si="28"/>
        <v>0.00546448087431694</v>
      </c>
    </row>
    <row r="537" spans="1:12">
      <c r="A537" s="109">
        <v>45350</v>
      </c>
      <c r="B537" s="106">
        <f>VLOOKUP(A537,Sheet2!A:C,2,FALSE)</f>
        <v>293</v>
      </c>
      <c r="C537" s="106">
        <v>3750</v>
      </c>
      <c r="D537" s="106">
        <f>VLOOKUP(A537,Sheet4!A:C,2,FALSE)</f>
        <v>947</v>
      </c>
      <c r="E537" s="106">
        <f>VLOOKUP(A537,Sheet5!A:B,2,FALSE)</f>
        <v>7.198</v>
      </c>
      <c r="F537" s="106">
        <f>VLOOKUP(A537,Sheet6!A:B,2,FALSE)</f>
        <v>103.97</v>
      </c>
      <c r="G537" s="106">
        <f>VLOOKUP(A537,WTI原油期货!A:B,2,FALSE)</f>
        <v>77.83</v>
      </c>
      <c r="H537" s="106">
        <f>VLOOKUP(A537,天然气期货!A:B,2,FALSE)</f>
        <v>2.052</v>
      </c>
      <c r="I537" s="111">
        <f>VLOOKUP(A537,黄金期货!A:B,2,FALSE)</f>
        <v>2042.7</v>
      </c>
      <c r="J537" s="106">
        <f>VLOOKUP(A537,Sheet2!A:C,3,FALSE)</f>
        <v>920</v>
      </c>
      <c r="L537" s="112">
        <f t="shared" si="28"/>
        <v>0</v>
      </c>
    </row>
    <row r="538" spans="1:12">
      <c r="A538" s="109">
        <v>45351</v>
      </c>
      <c r="B538" s="106">
        <f>VLOOKUP(A538,Sheet2!A:C,2,FALSE)</f>
        <v>294</v>
      </c>
      <c r="C538" s="106">
        <v>3750</v>
      </c>
      <c r="D538" s="106">
        <f>VLOOKUP(A538,Sheet4!A:C,2,FALSE)</f>
        <v>946</v>
      </c>
      <c r="E538" s="106">
        <f>VLOOKUP(A538,Sheet5!A:B,2,FALSE)</f>
        <v>7.1887</v>
      </c>
      <c r="F538" s="106">
        <f>VLOOKUP(A538,Sheet6!A:B,2,FALSE)</f>
        <v>104.16</v>
      </c>
      <c r="G538" s="106">
        <f>VLOOKUP(A538,WTI原油期货!A:B,2,FALSE)</f>
        <v>77.45</v>
      </c>
      <c r="H538" s="106">
        <f>VLOOKUP(A538,天然气期货!A:B,2,FALSE)</f>
        <v>2.008</v>
      </c>
      <c r="I538" s="111">
        <f>VLOOKUP(A538,黄金期货!A:B,2,FALSE)</f>
        <v>2054.7</v>
      </c>
      <c r="J538" s="106">
        <f>VLOOKUP(A538,Sheet2!A:C,3,FALSE)</f>
        <v>905</v>
      </c>
      <c r="L538" s="112">
        <f t="shared" si="28"/>
        <v>-0.016304347826087</v>
      </c>
    </row>
    <row r="539" spans="1:12">
      <c r="A539" s="109">
        <v>45352</v>
      </c>
      <c r="B539" s="106">
        <f>VLOOKUP(A539,Sheet2!A:C,2,FALSE)</f>
        <v>291</v>
      </c>
      <c r="C539" s="106">
        <v>3750</v>
      </c>
      <c r="D539" s="106">
        <f>VLOOKUP(A539,Sheet4!A:C,2,FALSE)</f>
        <v>947</v>
      </c>
      <c r="E539" s="106">
        <f>VLOOKUP(A539,Sheet5!A:B,2,FALSE)</f>
        <v>7.1968</v>
      </c>
      <c r="F539" s="106">
        <f>VLOOKUP(A539,Sheet6!A:B,2,FALSE)</f>
        <v>103.86</v>
      </c>
      <c r="G539" s="106">
        <f>VLOOKUP(A539,WTI原油期货!A:B,2,FALSE)</f>
        <v>79.09</v>
      </c>
      <c r="H539" s="106">
        <f>VLOOKUP(A539,天然气期货!A:B,2,FALSE)</f>
        <v>1.975</v>
      </c>
      <c r="I539" s="111">
        <f>VLOOKUP(A539,黄金期货!A:B,2,FALSE)</f>
        <v>2095.7</v>
      </c>
      <c r="J539" s="106">
        <f>VLOOKUP(A539,Sheet2!A:C,3,FALSE)</f>
        <v>900</v>
      </c>
      <c r="L539" s="112">
        <f t="shared" si="28"/>
        <v>-0.00552486187845304</v>
      </c>
    </row>
    <row r="540" spans="1:12">
      <c r="A540" s="109">
        <v>45355</v>
      </c>
      <c r="B540" s="106">
        <f>VLOOKUP(A540,Sheet2!A:C,2,FALSE)</f>
        <v>293</v>
      </c>
      <c r="C540" s="106">
        <v>3750</v>
      </c>
      <c r="D540" s="106">
        <f>VLOOKUP(A540,Sheet4!A:C,2,FALSE)</f>
        <v>946</v>
      </c>
      <c r="E540" s="106">
        <f>VLOOKUP(A540,Sheet5!A:B,2,FALSE)</f>
        <v>7.199</v>
      </c>
      <c r="F540" s="106">
        <f>VLOOKUP(A540,Sheet6!A:B,2,FALSE)</f>
        <v>103.83</v>
      </c>
      <c r="G540" s="106">
        <f>VLOOKUP(A540,WTI原油期货!A:B,2,FALSE)</f>
        <v>78.17</v>
      </c>
      <c r="H540" s="106">
        <f>VLOOKUP(A540,天然气期货!A:B,2,FALSE)</f>
        <v>2.073</v>
      </c>
      <c r="I540" s="111">
        <f>VLOOKUP(A540,黄金期货!A:B,2,FALSE)</f>
        <v>2126.3</v>
      </c>
      <c r="J540" s="106">
        <f>VLOOKUP(A540,Sheet2!A:C,3,FALSE)</f>
        <v>910</v>
      </c>
      <c r="L540" s="112">
        <f t="shared" si="28"/>
        <v>0.0111111111111111</v>
      </c>
    </row>
    <row r="541" spans="1:12">
      <c r="A541" s="109">
        <v>45356</v>
      </c>
      <c r="B541" s="106">
        <f>VLOOKUP(A541,Sheet2!A:C,2,FALSE)</f>
        <v>295</v>
      </c>
      <c r="C541" s="106">
        <v>3750</v>
      </c>
      <c r="D541" s="106">
        <f>VLOOKUP(A541,Sheet4!A:C,2,FALSE)</f>
        <v>945</v>
      </c>
      <c r="E541" s="106">
        <f>VLOOKUP(A541,Sheet5!A:B,2,FALSE)</f>
        <v>7.1968</v>
      </c>
      <c r="F541" s="106">
        <f>VLOOKUP(A541,Sheet6!A:B,2,FALSE)</f>
        <v>103.8</v>
      </c>
      <c r="G541" s="106">
        <f>VLOOKUP(A541,WTI原油期货!A:B,2,FALSE)</f>
        <v>77.41</v>
      </c>
      <c r="H541" s="106">
        <f>VLOOKUP(A541,天然气期货!A:B,2,FALSE)</f>
        <v>2.095</v>
      </c>
      <c r="I541" s="111">
        <f>VLOOKUP(A541,黄金期货!A:B,2,FALSE)</f>
        <v>2141.9</v>
      </c>
      <c r="J541" s="106">
        <f>VLOOKUP(A541,Sheet2!A:C,3,FALSE)</f>
        <v>905</v>
      </c>
      <c r="L541" s="112">
        <f t="shared" si="28"/>
        <v>-0.00549450549450549</v>
      </c>
    </row>
    <row r="542" spans="1:12">
      <c r="A542" s="109">
        <v>45357</v>
      </c>
      <c r="B542" s="106">
        <f>VLOOKUP(A542,Sheet2!A:C,2,FALSE)</f>
        <v>295</v>
      </c>
      <c r="C542" s="106">
        <v>3750</v>
      </c>
      <c r="D542" s="106">
        <f>VLOOKUP(A542,Sheet4!A:C,2,FALSE)</f>
        <v>943</v>
      </c>
      <c r="E542" s="106">
        <f>VLOOKUP(A542,Sheet5!A:B,2,FALSE)</f>
        <v>7.1979</v>
      </c>
      <c r="F542" s="106">
        <f>VLOOKUP(A542,Sheet6!A:B,2,FALSE)</f>
        <v>103.37</v>
      </c>
      <c r="G542" s="106">
        <f>VLOOKUP(A542,WTI原油期货!A:B,2,FALSE)</f>
        <v>78.41</v>
      </c>
      <c r="H542" s="106">
        <f>VLOOKUP(A542,天然气期货!A:B,2,FALSE)</f>
        <v>2.072</v>
      </c>
      <c r="I542" s="111">
        <f>VLOOKUP(A542,黄金期货!A:B,2,FALSE)</f>
        <v>2158.2</v>
      </c>
      <c r="J542" s="106">
        <f>VLOOKUP(A542,Sheet2!A:C,3,FALSE)</f>
        <v>900</v>
      </c>
      <c r="L542" s="112">
        <f t="shared" si="28"/>
        <v>-0.00552486187845304</v>
      </c>
    </row>
    <row r="543" spans="1:12">
      <c r="A543" s="109">
        <v>45358</v>
      </c>
      <c r="B543" s="106">
        <f>VLOOKUP(A543,Sheet2!A:C,2,FALSE)</f>
        <v>298</v>
      </c>
      <c r="C543" s="106">
        <v>3750</v>
      </c>
      <c r="D543" s="106">
        <f>VLOOKUP(A543,Sheet4!A:C,2,FALSE)</f>
        <v>944</v>
      </c>
      <c r="E543" s="106">
        <f>VLOOKUP(A543,Sheet5!A:B,2,FALSE)</f>
        <v>7.1929</v>
      </c>
      <c r="F543" s="106">
        <f>VLOOKUP(A543,Sheet6!A:B,2,FALSE)</f>
        <v>102.82</v>
      </c>
      <c r="G543" s="106">
        <f>VLOOKUP(A543,WTI原油期货!A:B,2,FALSE)</f>
        <v>78.32</v>
      </c>
      <c r="H543" s="106">
        <f>VLOOKUP(A543,天然气期货!A:B,2,FALSE)</f>
        <v>1.952</v>
      </c>
      <c r="I543" s="111">
        <f>VLOOKUP(A543,黄金期货!A:B,2,FALSE)</f>
        <v>2165.2</v>
      </c>
      <c r="J543" s="106">
        <f>VLOOKUP(A543,Sheet2!A:C,3,FALSE)</f>
        <v>895</v>
      </c>
      <c r="L543" s="112">
        <f t="shared" si="28"/>
        <v>-0.00555555555555556</v>
      </c>
    </row>
    <row r="544" spans="1:12">
      <c r="A544" s="109">
        <v>45359</v>
      </c>
      <c r="B544" s="106">
        <f>VLOOKUP(A544,Sheet2!A:C,2,FALSE)</f>
        <v>297</v>
      </c>
      <c r="C544" s="106">
        <v>3750</v>
      </c>
      <c r="D544" s="106">
        <f>VLOOKUP(A544,Sheet4!A:C,2,FALSE)</f>
        <v>944</v>
      </c>
      <c r="E544" s="106">
        <f>VLOOKUP(A544,Sheet5!A:B,2,FALSE)</f>
        <v>7.186</v>
      </c>
      <c r="F544" s="106">
        <f>VLOOKUP(A544,Sheet6!A:B,2,FALSE)</f>
        <v>102.71</v>
      </c>
      <c r="G544" s="106">
        <f>VLOOKUP(A544,WTI原油期货!A:B,2,FALSE)</f>
        <v>77.5</v>
      </c>
      <c r="H544" s="106">
        <f>VLOOKUP(A544,天然气期货!A:B,2,FALSE)</f>
        <v>1.923</v>
      </c>
      <c r="I544" s="111">
        <f>VLOOKUP(A544,黄金期货!A:B,2,FALSE)</f>
        <v>2185.5</v>
      </c>
      <c r="J544" s="106">
        <f>VLOOKUP(A544,Sheet2!A:C,3,FALSE)</f>
        <v>900</v>
      </c>
      <c r="L544" s="112">
        <f t="shared" si="28"/>
        <v>0.00558659217877095</v>
      </c>
    </row>
    <row r="545" spans="1:12">
      <c r="A545" s="109">
        <v>45362</v>
      </c>
      <c r="B545" s="106">
        <f>VLOOKUP(A545,Sheet2!A:C,2,FALSE)</f>
        <v>295</v>
      </c>
      <c r="C545" s="106">
        <v>3750</v>
      </c>
      <c r="D545" s="106">
        <f>VLOOKUP(A545,Sheet4!A:C,2,FALSE)</f>
        <v>943</v>
      </c>
      <c r="E545" s="106">
        <f>VLOOKUP(A545,Sheet5!A:B,2,FALSE)</f>
        <v>7.183</v>
      </c>
      <c r="F545" s="106">
        <f>VLOOKUP(A545,Sheet6!A:B,2,FALSE)</f>
        <v>102.87</v>
      </c>
      <c r="G545" s="106">
        <f>VLOOKUP(A545,WTI原油期货!A:B,2,FALSE)</f>
        <v>77.53</v>
      </c>
      <c r="H545" s="106">
        <f>VLOOKUP(A545,天然气期货!A:B,2,FALSE)</f>
        <v>1.862</v>
      </c>
      <c r="I545" s="111">
        <f>VLOOKUP(A545,黄金期货!A:B,2,FALSE)</f>
        <v>2188.6</v>
      </c>
      <c r="J545" s="106">
        <f>VLOOKUP(A545,Sheet2!A:C,3,FALSE)</f>
        <v>900</v>
      </c>
      <c r="L545" s="112">
        <f t="shared" si="28"/>
        <v>0</v>
      </c>
    </row>
    <row r="546" spans="1:12">
      <c r="A546" s="109">
        <v>45363</v>
      </c>
      <c r="B546" s="106">
        <f>VLOOKUP(A546,Sheet2!A:C,2,FALSE)</f>
        <v>301</v>
      </c>
      <c r="C546" s="106">
        <v>3750</v>
      </c>
      <c r="D546" s="106">
        <f>VLOOKUP(A546,Sheet4!A:C,2,FALSE)</f>
        <v>943</v>
      </c>
      <c r="E546" s="106">
        <f>VLOOKUP(A546,Sheet5!A:B,2,FALSE)</f>
        <v>7.181</v>
      </c>
      <c r="F546" s="106">
        <f>VLOOKUP(A546,Sheet6!A:B,2,FALSE)</f>
        <v>102.96</v>
      </c>
      <c r="G546" s="106">
        <f>VLOOKUP(A546,WTI原油期货!A:B,2,FALSE)</f>
        <v>77.25</v>
      </c>
      <c r="H546" s="106">
        <f>VLOOKUP(A546,天然气期货!A:B,2,FALSE)</f>
        <v>1.823</v>
      </c>
      <c r="I546" s="111">
        <f>VLOOKUP(A546,黄金期货!A:B,2,FALSE)</f>
        <v>2166.1</v>
      </c>
      <c r="J546" s="106">
        <f>VLOOKUP(A546,Sheet2!A:C,3,FALSE)</f>
        <v>910</v>
      </c>
      <c r="L546" s="112">
        <f t="shared" si="28"/>
        <v>0.0111111111111111</v>
      </c>
    </row>
    <row r="547" spans="1:12">
      <c r="A547" s="109">
        <v>45364</v>
      </c>
      <c r="B547" s="106">
        <f>VLOOKUP(A547,Sheet2!A:C,2,FALSE)</f>
        <v>300</v>
      </c>
      <c r="C547" s="106">
        <v>3750</v>
      </c>
      <c r="D547" s="106">
        <f>VLOOKUP(A547,Sheet4!A:C,2,FALSE)</f>
        <v>941</v>
      </c>
      <c r="E547" s="106">
        <f>VLOOKUP(A547,Sheet5!A:B,2,FALSE)</f>
        <v>7.1868</v>
      </c>
      <c r="F547" s="106">
        <f>VLOOKUP(A547,Sheet6!A:B,2,FALSE)</f>
        <v>102.79</v>
      </c>
      <c r="G547" s="106">
        <f>VLOOKUP(A547,WTI原油期货!A:B,2,FALSE)</f>
        <v>79.3</v>
      </c>
      <c r="H547" s="106">
        <f>VLOOKUP(A547,天然气期货!A:B,2,FALSE)</f>
        <v>1.784</v>
      </c>
      <c r="I547" s="111">
        <f>VLOOKUP(A547,黄金期货!A:B,2,FALSE)</f>
        <v>2180.8</v>
      </c>
      <c r="J547" s="106">
        <f>VLOOKUP(A547,Sheet2!A:C,3,FALSE)</f>
        <v>910</v>
      </c>
      <c r="L547" s="112">
        <f t="shared" si="28"/>
        <v>0</v>
      </c>
    </row>
    <row r="548" spans="1:12">
      <c r="A548" s="109">
        <v>45365</v>
      </c>
      <c r="B548" s="106">
        <f>VLOOKUP(A548,Sheet2!A:C,2,FALSE)</f>
        <v>297</v>
      </c>
      <c r="C548" s="106">
        <v>3750</v>
      </c>
      <c r="D548" s="106">
        <f>VLOOKUP(A548,Sheet4!A:C,2,FALSE)</f>
        <v>942</v>
      </c>
      <c r="E548" s="106">
        <f>VLOOKUP(A548,Sheet5!A:B,2,FALSE)</f>
        <v>7.1939</v>
      </c>
      <c r="F548" s="106">
        <f>VLOOKUP(A548,Sheet6!A:B,2,FALSE)</f>
        <v>103.36</v>
      </c>
      <c r="G548" s="106">
        <f>VLOOKUP(A548,WTI原油期货!A:B,2,FALSE)</f>
        <v>80.74</v>
      </c>
      <c r="H548" s="106">
        <f>VLOOKUP(A548,天然气期货!A:B,2,FALSE)</f>
        <v>1.862</v>
      </c>
      <c r="I548" s="111">
        <f>VLOOKUP(A548,黄金期货!A:B,2,FALSE)</f>
        <v>2167.5</v>
      </c>
      <c r="J548" s="106">
        <f>VLOOKUP(A548,Sheet2!A:C,3,FALSE)</f>
        <v>910</v>
      </c>
      <c r="L548" s="112">
        <f t="shared" si="28"/>
        <v>0</v>
      </c>
    </row>
    <row r="549" spans="1:12">
      <c r="A549" s="109">
        <v>45366</v>
      </c>
      <c r="B549" s="106">
        <f>VLOOKUP(A549,Sheet2!A:C,2,FALSE)</f>
        <v>294</v>
      </c>
      <c r="C549" s="106">
        <v>3750</v>
      </c>
      <c r="D549" s="106">
        <f>VLOOKUP(A549,Sheet4!A:C,2,FALSE)</f>
        <v>940</v>
      </c>
      <c r="E549" s="106">
        <f>VLOOKUP(A549,Sheet5!A:B,2,FALSE)</f>
        <v>7.196</v>
      </c>
      <c r="F549" s="106">
        <f>VLOOKUP(A549,Sheet6!A:B,2,FALSE)</f>
        <v>103.43</v>
      </c>
      <c r="G549" s="106">
        <f>VLOOKUP(A549,WTI原油期货!A:B,2,FALSE)</f>
        <v>80.58</v>
      </c>
      <c r="H549" s="106">
        <f>VLOOKUP(A549,天然气期货!A:B,2,FALSE)</f>
        <v>1.789</v>
      </c>
      <c r="I549" s="111">
        <f>VLOOKUP(A549,黄金期货!A:B,2,FALSE)</f>
        <v>2161.5</v>
      </c>
      <c r="J549" s="106">
        <f>VLOOKUP(A549,Sheet2!A:C,3,FALSE)</f>
        <v>910</v>
      </c>
      <c r="L549" s="112">
        <f t="shared" si="28"/>
        <v>0</v>
      </c>
    </row>
    <row r="550" spans="1:12">
      <c r="A550" s="109">
        <v>45369</v>
      </c>
      <c r="B550" s="106">
        <f>VLOOKUP(A550,Sheet2!A:C,2,FALSE)</f>
        <v>288</v>
      </c>
      <c r="C550" s="106">
        <v>3750</v>
      </c>
      <c r="D550" s="106">
        <f>VLOOKUP(A550,Sheet4!A:C,2,FALSE)</f>
        <v>941</v>
      </c>
      <c r="E550" s="106">
        <f>VLOOKUP(A550,Sheet5!A:B,2,FALSE)</f>
        <v>7.1983</v>
      </c>
      <c r="F550" s="106">
        <f>VLOOKUP(A550,Sheet6!A:B,2,FALSE)</f>
        <v>103.59</v>
      </c>
      <c r="G550" s="106">
        <f>VLOOKUP(A550,WTI原油期货!A:B,2,FALSE)</f>
        <v>82.16</v>
      </c>
      <c r="H550" s="106">
        <f>VLOOKUP(A550,天然气期货!A:B,2,FALSE)</f>
        <v>1.833</v>
      </c>
      <c r="I550" s="111">
        <f>VLOOKUP(A550,黄金期货!A:B,2,FALSE)</f>
        <v>2164.3</v>
      </c>
      <c r="J550" s="106">
        <f>VLOOKUP(A550,Sheet2!A:C,3,FALSE)</f>
        <v>915</v>
      </c>
      <c r="L550" s="112">
        <f t="shared" si="28"/>
        <v>0.00549450549450549</v>
      </c>
    </row>
    <row r="551" spans="1:12">
      <c r="A551" s="109">
        <v>45370</v>
      </c>
      <c r="B551" s="106">
        <f>VLOOKUP(A551,Sheet2!A:C,2,FALSE)</f>
        <v>287</v>
      </c>
      <c r="C551" s="106">
        <v>3750</v>
      </c>
      <c r="D551" s="106">
        <f>VLOOKUP(A551,Sheet4!A:C,2,FALSE)</f>
        <v>942</v>
      </c>
      <c r="E551" s="106">
        <f>VLOOKUP(A551,Sheet5!A:B,2,FALSE)</f>
        <v>7.1994</v>
      </c>
      <c r="F551" s="106">
        <f>VLOOKUP(A551,Sheet6!A:B,2,FALSE)</f>
        <v>103.84</v>
      </c>
      <c r="G551" s="106">
        <f>VLOOKUP(A551,WTI原油期货!A:B,2,FALSE)</f>
        <v>82.73</v>
      </c>
      <c r="H551" s="106">
        <f>VLOOKUP(A551,天然气期货!A:B,2,FALSE)</f>
        <v>1.876</v>
      </c>
      <c r="I551" s="111">
        <f>VLOOKUP(A551,黄金期货!A:B,2,FALSE)</f>
        <v>2159.7</v>
      </c>
      <c r="J551" s="106">
        <f>VLOOKUP(A551,Sheet2!A:C,3,FALSE)</f>
        <v>920</v>
      </c>
      <c r="L551" s="112">
        <f t="shared" si="28"/>
        <v>0.00546448087431694</v>
      </c>
    </row>
    <row r="552" spans="1:12">
      <c r="A552" s="109">
        <v>45371</v>
      </c>
      <c r="B552" s="106">
        <f>VLOOKUP(A552,Sheet2!A:C,2,FALSE)</f>
        <v>287</v>
      </c>
      <c r="C552" s="106">
        <v>3750</v>
      </c>
      <c r="D552" s="106">
        <f>VLOOKUP(A552,Sheet4!A:C,2,FALSE)</f>
        <v>942</v>
      </c>
      <c r="E552" s="106">
        <f>VLOOKUP(A552,Sheet5!A:B,2,FALSE)</f>
        <v>7.1994</v>
      </c>
      <c r="F552" s="106">
        <f>VLOOKUP(A552,Sheet6!A:B,2,FALSE)</f>
        <v>103.41</v>
      </c>
      <c r="G552" s="106">
        <f>VLOOKUP(A552,WTI原油期货!A:B,2,FALSE)</f>
        <v>81.27</v>
      </c>
      <c r="H552" s="106">
        <f>VLOOKUP(A552,天然气期货!A:B,2,FALSE)</f>
        <v>1.845</v>
      </c>
      <c r="I552" s="111">
        <f>VLOOKUP(A552,黄金期货!A:B,2,FALSE)</f>
        <v>2161</v>
      </c>
      <c r="J552" s="106">
        <f>VLOOKUP(A552,Sheet2!A:C,3,FALSE)</f>
        <v>930</v>
      </c>
      <c r="L552" s="112">
        <f t="shared" si="28"/>
        <v>0.0108695652173913</v>
      </c>
    </row>
    <row r="553" spans="1:12">
      <c r="A553" s="109">
        <v>45372</v>
      </c>
      <c r="B553" s="106">
        <f>VLOOKUP(A553,Sheet2!A:C,2,FALSE)</f>
        <v>286</v>
      </c>
      <c r="C553" s="106">
        <v>3750</v>
      </c>
      <c r="D553" s="106">
        <f>VLOOKUP(A553,Sheet4!A:C,2,FALSE)</f>
        <v>942</v>
      </c>
      <c r="E553" s="106">
        <f>VLOOKUP(A553,Sheet5!A:B,2,FALSE)</f>
        <v>7.1995</v>
      </c>
      <c r="F553" s="106">
        <f>VLOOKUP(A553,Sheet6!A:B,2,FALSE)</f>
        <v>104</v>
      </c>
      <c r="G553" s="106">
        <f>VLOOKUP(A553,WTI原油期货!A:B,2,FALSE)</f>
        <v>80.64</v>
      </c>
      <c r="H553" s="106">
        <f>VLOOKUP(A553,天然气期货!A:B,2,FALSE)</f>
        <v>1.831</v>
      </c>
      <c r="I553" s="111">
        <f>VLOOKUP(A553,黄金期货!A:B,2,FALSE)</f>
        <v>2184.7</v>
      </c>
      <c r="J553" s="106">
        <f>VLOOKUP(A553,Sheet2!A:C,3,FALSE)</f>
        <v>935</v>
      </c>
      <c r="L553" s="112">
        <f t="shared" si="28"/>
        <v>0.00537634408602151</v>
      </c>
    </row>
    <row r="554" spans="1:12">
      <c r="A554" s="109">
        <v>45373</v>
      </c>
      <c r="B554" s="106">
        <f>VLOOKUP(A554,Sheet2!A:C,2,FALSE)</f>
        <v>293</v>
      </c>
      <c r="C554" s="106">
        <v>3750</v>
      </c>
      <c r="D554" s="106">
        <f>VLOOKUP(A554,Sheet4!A:C,2,FALSE)</f>
        <v>940</v>
      </c>
      <c r="E554" s="106">
        <f>VLOOKUP(A554,Sheet5!A:B,2,FALSE)</f>
        <v>7.2295</v>
      </c>
      <c r="F554" s="106">
        <f>VLOOKUP(A554,Sheet6!A:B,2,FALSE)</f>
        <v>104.47</v>
      </c>
      <c r="G554" s="106">
        <f>VLOOKUP(A554,WTI原油期货!A:B,2,FALSE)</f>
        <v>80.17</v>
      </c>
      <c r="H554" s="106">
        <f>VLOOKUP(A554,天然气期货!A:B,2,FALSE)</f>
        <v>1.812</v>
      </c>
      <c r="I554" s="111">
        <f>VLOOKUP(A554,黄金期货!A:B,2,FALSE)</f>
        <v>2160</v>
      </c>
      <c r="J554" s="106">
        <f>VLOOKUP(A554,Sheet2!A:C,3,FALSE)</f>
        <v>940</v>
      </c>
      <c r="L554" s="112">
        <f t="shared" si="28"/>
        <v>0.0053475935828877</v>
      </c>
    </row>
    <row r="555" spans="1:12">
      <c r="A555" s="109">
        <v>45376</v>
      </c>
      <c r="B555" s="106">
        <f>VLOOKUP(A555,Sheet2!A:C,2,FALSE)</f>
        <v>297</v>
      </c>
      <c r="C555" s="106">
        <v>3750</v>
      </c>
      <c r="D555" s="106">
        <f>VLOOKUP(A555,Sheet4!A:C,2,FALSE)</f>
        <v>937</v>
      </c>
      <c r="E555" s="106">
        <f>VLOOKUP(A555,Sheet5!A:B,2,FALSE)</f>
        <v>7.2112</v>
      </c>
      <c r="F555" s="106">
        <f>VLOOKUP(A555,Sheet6!A:B,2,FALSE)</f>
        <v>104.24</v>
      </c>
      <c r="G555" s="106">
        <f>VLOOKUP(A555,WTI原油期货!A:B,2,FALSE)</f>
        <v>81.38</v>
      </c>
      <c r="H555" s="106">
        <f>VLOOKUP(A555,天然气期货!A:B,2,FALSE)</f>
        <v>1.789</v>
      </c>
      <c r="I555" s="111">
        <f>VLOOKUP(A555,黄金期货!A:B,2,FALSE)</f>
        <v>2176.4</v>
      </c>
      <c r="J555" s="106">
        <f>VLOOKUP(A555,Sheet2!A:C,3,FALSE)</f>
        <v>940</v>
      </c>
      <c r="L555" s="112">
        <f t="shared" si="28"/>
        <v>0</v>
      </c>
    </row>
    <row r="556" spans="1:12">
      <c r="A556" s="109">
        <v>45377</v>
      </c>
      <c r="B556" s="106">
        <f>VLOOKUP(A556,Sheet2!A:C,2,FALSE)</f>
        <v>296</v>
      </c>
      <c r="C556" s="106">
        <v>3750</v>
      </c>
      <c r="D556" s="106">
        <f>VLOOKUP(A556,Sheet4!A:C,2,FALSE)</f>
        <v>935</v>
      </c>
      <c r="E556" s="106">
        <f>VLOOKUP(A556,Sheet5!A:B,2,FALSE)</f>
        <v>7.2183</v>
      </c>
      <c r="F556" s="106">
        <f>VLOOKUP(A556,Sheet6!A:B,2,FALSE)</f>
        <v>104.29</v>
      </c>
      <c r="G556" s="106">
        <f>VLOOKUP(A556,WTI原油期货!A:B,2,FALSE)</f>
        <v>81.04</v>
      </c>
      <c r="H556" s="106">
        <f>VLOOKUP(A556,天然气期货!A:B,2,FALSE)</f>
        <v>1.788</v>
      </c>
      <c r="I556" s="111">
        <f>VLOOKUP(A556,黄金期货!A:B,2,FALSE)</f>
        <v>2177.2</v>
      </c>
      <c r="J556" s="106">
        <f>VLOOKUP(A556,Sheet2!A:C,3,FALSE)</f>
        <v>935</v>
      </c>
      <c r="L556" s="112">
        <f t="shared" si="28"/>
        <v>-0.00531914893617021</v>
      </c>
    </row>
    <row r="557" spans="1:12">
      <c r="A557" s="109">
        <v>45378</v>
      </c>
      <c r="B557" s="106">
        <f>VLOOKUP(A557,Sheet2!A:C,2,FALSE)</f>
        <v>300</v>
      </c>
      <c r="C557" s="106">
        <v>3750</v>
      </c>
      <c r="D557" s="106">
        <f>VLOOKUP(A557,Sheet4!A:C,2,FALSE)</f>
        <v>932</v>
      </c>
      <c r="E557" s="106">
        <f>VLOOKUP(A557,Sheet5!A:B,2,FALSE)</f>
        <v>7.2273</v>
      </c>
      <c r="F557" s="106">
        <f>VLOOKUP(A557,Sheet6!A:B,2,FALSE)</f>
        <v>104.35</v>
      </c>
      <c r="G557" s="106">
        <f>VLOOKUP(A557,WTI原油期货!A:B,2,FALSE)</f>
        <v>80.78</v>
      </c>
      <c r="H557" s="106">
        <f>VLOOKUP(A557,天然气期货!A:B,2,FALSE)</f>
        <v>1.953</v>
      </c>
      <c r="I557" s="111">
        <f>VLOOKUP(A557,黄金期货!A:B,2,FALSE)</f>
        <v>2201.4</v>
      </c>
      <c r="J557" s="106">
        <f>VLOOKUP(A557,Sheet2!A:C,3,FALSE)</f>
        <v>935</v>
      </c>
      <c r="L557" s="112">
        <f t="shared" si="28"/>
        <v>0</v>
      </c>
    </row>
    <row r="558" spans="1:12">
      <c r="A558" s="109">
        <v>45379</v>
      </c>
      <c r="B558" s="106">
        <f>VLOOKUP(A558,Sheet2!A:C,2,FALSE)</f>
        <v>303</v>
      </c>
      <c r="C558" s="106">
        <v>3750</v>
      </c>
      <c r="D558" s="106">
        <f>VLOOKUP(A558,Sheet4!A:C,2,FALSE)</f>
        <v>931</v>
      </c>
      <c r="E558" s="106">
        <f>VLOOKUP(A558,Sheet5!A:B,2,FALSE)</f>
        <v>7.227</v>
      </c>
      <c r="F558" s="106">
        <f>VLOOKUP(A558,Sheet6!A:B,2,FALSE)</f>
        <v>104.55</v>
      </c>
      <c r="G558" s="106">
        <f>VLOOKUP(A558,WTI原油期货!A:B,2,FALSE)</f>
        <v>82.42</v>
      </c>
      <c r="H558" s="106">
        <f>VLOOKUP(A558,天然气期货!A:B,2,FALSE)</f>
        <v>1.997</v>
      </c>
      <c r="I558" s="111">
        <f>VLOOKUP(A558,黄金期货!A:B,2,FALSE)</f>
        <v>2227.1</v>
      </c>
      <c r="J558" s="106">
        <f>VLOOKUP(A558,Sheet2!A:C,3,FALSE)</f>
        <v>930</v>
      </c>
      <c r="L558" s="112">
        <f t="shared" si="28"/>
        <v>-0.0053475935828877</v>
      </c>
    </row>
    <row r="559" spans="1:12">
      <c r="A559" s="109">
        <v>45380</v>
      </c>
      <c r="B559" s="106">
        <f>VLOOKUP(A559,Sheet2!A:C,2,FALSE)</f>
        <v>300</v>
      </c>
      <c r="C559" s="106">
        <v>3750</v>
      </c>
      <c r="D559" s="106">
        <f>VLOOKUP(A559,Sheet4!A:C,2,FALSE)</f>
        <v>931</v>
      </c>
      <c r="E559" s="106">
        <f>VLOOKUP(A559,Sheet5!A:B,2,FALSE)</f>
        <v>7.2213</v>
      </c>
      <c r="F559" s="106">
        <f>VLOOKUP(A559,Sheet6!A:B,2,FALSE)</f>
        <v>104.55</v>
      </c>
      <c r="G559" s="106">
        <f>G558</f>
        <v>82.42</v>
      </c>
      <c r="H559" s="106">
        <f>H558</f>
        <v>1.997</v>
      </c>
      <c r="I559" s="111">
        <f>I558</f>
        <v>2227.1</v>
      </c>
      <c r="J559" s="106">
        <f>VLOOKUP(A559,Sheet2!A:C,3,FALSE)</f>
        <v>935</v>
      </c>
      <c r="L559" s="112">
        <f t="shared" si="28"/>
        <v>0.00537634408602151</v>
      </c>
    </row>
    <row r="560" spans="1:12">
      <c r="A560" s="109">
        <v>45383</v>
      </c>
      <c r="B560" s="106">
        <f>VLOOKUP(A560,Sheet2!A:C,2,FALSE)</f>
        <v>306</v>
      </c>
      <c r="C560" s="106">
        <v>3750</v>
      </c>
      <c r="D560" s="106">
        <f>VLOOKUP(A560,Sheet4!A:C,2,FALSE)</f>
        <v>932</v>
      </c>
      <c r="E560" s="106">
        <f>VLOOKUP(A560,Sheet5!A:B,2,FALSE)</f>
        <v>7.2308</v>
      </c>
      <c r="F560" s="106">
        <f>VLOOKUP(A560,Sheet6!A:B,2,FALSE)</f>
        <v>105.02</v>
      </c>
      <c r="G560" s="106">
        <f>VLOOKUP(A560,WTI原油期货!A:B,2,FALSE)</f>
        <v>82.82</v>
      </c>
      <c r="H560" s="106">
        <f>VLOOKUP(A560,天然气期货!A:B,2,FALSE)</f>
        <v>2.074</v>
      </c>
      <c r="I560" s="111">
        <f>VLOOKUP(A560,黄金期货!A:B,2,FALSE)</f>
        <v>2245.9</v>
      </c>
      <c r="J560" s="106">
        <f>VLOOKUP(A560,Sheet2!A:C,3,FALSE)</f>
        <v>935</v>
      </c>
      <c r="L560" s="112">
        <f t="shared" si="28"/>
        <v>0</v>
      </c>
    </row>
    <row r="561" spans="1:12">
      <c r="A561" s="109">
        <v>45384</v>
      </c>
      <c r="B561" s="106">
        <f>VLOOKUP(A561,Sheet2!A:C,2,FALSE)</f>
        <v>301</v>
      </c>
      <c r="C561" s="106">
        <v>3750</v>
      </c>
      <c r="D561" s="106">
        <f>VLOOKUP(A561,Sheet4!A:C,2,FALSE)</f>
        <v>933</v>
      </c>
      <c r="E561" s="106">
        <f>VLOOKUP(A561,Sheet5!A:B,2,FALSE)</f>
        <v>7.233</v>
      </c>
      <c r="F561" s="106">
        <f>VLOOKUP(A561,Sheet6!A:B,2,FALSE)</f>
        <v>104.82</v>
      </c>
      <c r="G561" s="106">
        <f>VLOOKUP(A561,WTI原油期货!A:B,2,FALSE)</f>
        <v>84.22</v>
      </c>
      <c r="H561" s="106">
        <f>VLOOKUP(A561,天然气期货!A:B,2,FALSE)</f>
        <v>2.105</v>
      </c>
      <c r="I561" s="111">
        <f>VLOOKUP(A561,黄金期货!A:B,2,FALSE)</f>
        <v>2270.3</v>
      </c>
      <c r="J561" s="106">
        <f>VLOOKUP(A561,Sheet2!A:C,3,FALSE)</f>
        <v>935</v>
      </c>
      <c r="L561" s="112">
        <f t="shared" si="28"/>
        <v>0</v>
      </c>
    </row>
    <row r="562" spans="1:12">
      <c r="A562" s="109">
        <v>45385</v>
      </c>
      <c r="B562" s="106">
        <f>VLOOKUP(A562,Sheet2!A:C,2,FALSE)</f>
        <v>299</v>
      </c>
      <c r="C562" s="106">
        <v>3750</v>
      </c>
      <c r="D562" s="106">
        <f>VLOOKUP(A562,Sheet4!A:C,2,FALSE)</f>
        <v>934</v>
      </c>
      <c r="E562" s="106">
        <f>VLOOKUP(A562,Sheet5!A:B,2,FALSE)</f>
        <v>7.2338</v>
      </c>
      <c r="F562" s="106">
        <f>VLOOKUP(A562,Sheet6!A:B,2,FALSE)</f>
        <v>104.25</v>
      </c>
      <c r="G562" s="106">
        <f>VLOOKUP(A562,WTI原油期货!A:B,2,FALSE)</f>
        <v>84.61</v>
      </c>
      <c r="H562" s="106">
        <f>VLOOKUP(A562,天然气期货!A:B,2,FALSE)</f>
        <v>2.067</v>
      </c>
      <c r="I562" s="111">
        <f>VLOOKUP(A562,黄金期货!A:B,2,FALSE)</f>
        <v>2303.3</v>
      </c>
      <c r="J562" s="106">
        <f>VLOOKUP(A562,Sheet2!A:C,3,FALSE)</f>
        <v>930</v>
      </c>
      <c r="L562" s="112">
        <f t="shared" si="28"/>
        <v>-0.0053475935828877</v>
      </c>
    </row>
    <row r="563" spans="1:12">
      <c r="A563" s="109">
        <v>45389</v>
      </c>
      <c r="B563" s="106">
        <f>VLOOKUP(A563,Sheet2!A:C,2,FALSE)</f>
        <v>301</v>
      </c>
      <c r="C563" s="106">
        <v>3750</v>
      </c>
      <c r="D563" s="106">
        <f>VLOOKUP(A563,Sheet4!A:C,2,FALSE)</f>
        <v>933</v>
      </c>
      <c r="E563" s="106">
        <f>E562</f>
        <v>7.2338</v>
      </c>
      <c r="F563" s="106">
        <f>F562</f>
        <v>104.25</v>
      </c>
      <c r="G563" s="106">
        <f>G562</f>
        <v>84.61</v>
      </c>
      <c r="H563" s="106">
        <f>H562</f>
        <v>2.067</v>
      </c>
      <c r="I563" s="111">
        <f>I562</f>
        <v>2303.3</v>
      </c>
      <c r="J563" s="106">
        <f>VLOOKUP(A563,Sheet2!A:C,3,FALSE)</f>
        <v>935</v>
      </c>
      <c r="L563" s="112">
        <f t="shared" si="28"/>
        <v>0.00537634408602151</v>
      </c>
    </row>
    <row r="564" spans="1:12">
      <c r="A564" s="109">
        <v>45390</v>
      </c>
      <c r="B564" s="106">
        <f>VLOOKUP(A564,Sheet2!A:C,2,FALSE)</f>
        <v>300</v>
      </c>
      <c r="C564" s="106">
        <v>3750</v>
      </c>
      <c r="D564" s="106">
        <f>VLOOKUP(A564,Sheet4!A:C,2,FALSE)</f>
        <v>935</v>
      </c>
      <c r="E564" s="106">
        <f>VLOOKUP(A564,Sheet5!A:B,2,FALSE)</f>
        <v>7.2309</v>
      </c>
      <c r="F564" s="106">
        <f>VLOOKUP(A564,Sheet6!A:B,2,FALSE)</f>
        <v>104.14</v>
      </c>
      <c r="G564" s="106">
        <f>VLOOKUP(A564,WTI原油期货!A:B,2,FALSE)</f>
        <v>85.53</v>
      </c>
      <c r="H564" s="106">
        <f>VLOOKUP(A564,天然气期货!A:B,2,FALSE)</f>
        <v>2.051</v>
      </c>
      <c r="I564" s="111">
        <f>VLOOKUP(A564,黄金期货!A:B,2,FALSE)</f>
        <v>2339</v>
      </c>
      <c r="J564" s="106">
        <f>VLOOKUP(A564,Sheet2!A:C,3,FALSE)</f>
        <v>930</v>
      </c>
      <c r="L564" s="112">
        <f t="shared" si="28"/>
        <v>-0.0053475935828877</v>
      </c>
    </row>
    <row r="565" spans="1:12">
      <c r="A565" s="109">
        <v>45391</v>
      </c>
      <c r="B565" s="106">
        <f>VLOOKUP(A565,Sheet2!A:C,2,FALSE)</f>
        <v>300</v>
      </c>
      <c r="C565" s="106">
        <v>3750</v>
      </c>
      <c r="D565" s="106">
        <f>VLOOKUP(A565,Sheet4!A:C,2,FALSE)</f>
        <v>936</v>
      </c>
      <c r="E565" s="106">
        <f>VLOOKUP(A565,Sheet5!A:B,2,FALSE)</f>
        <v>7.2323</v>
      </c>
      <c r="F565" s="106">
        <f>VLOOKUP(A565,Sheet6!A:B,2,FALSE)</f>
        <v>104.15</v>
      </c>
      <c r="G565" s="106">
        <f>VLOOKUP(A565,WTI原油期货!A:B,2,FALSE)</f>
        <v>84.46</v>
      </c>
      <c r="H565" s="106">
        <f>VLOOKUP(A565,天然气期货!A:B,2,FALSE)</f>
        <v>2.064</v>
      </c>
      <c r="I565" s="111">
        <f>VLOOKUP(A565,黄金期货!A:B,2,FALSE)</f>
        <v>2350.6</v>
      </c>
      <c r="J565" s="106">
        <f>VLOOKUP(A565,Sheet2!A:C,3,FALSE)</f>
        <v>930</v>
      </c>
      <c r="L565" s="112">
        <f t="shared" si="28"/>
        <v>0</v>
      </c>
    </row>
    <row r="566" spans="1:12">
      <c r="A566" s="109">
        <v>45392</v>
      </c>
      <c r="B566" s="106">
        <f>VLOOKUP(A566,Sheet2!A:C,2,FALSE)</f>
        <v>297</v>
      </c>
      <c r="C566" s="106">
        <v>3750</v>
      </c>
      <c r="D566" s="106">
        <f>VLOOKUP(A566,Sheet4!A:C,2,FALSE)</f>
        <v>937</v>
      </c>
      <c r="E566" s="106">
        <f>VLOOKUP(A566,Sheet5!A:B,2,FALSE)</f>
        <v>7.2343</v>
      </c>
      <c r="F566" s="106">
        <f>VLOOKUP(A566,Sheet6!A:B,2,FALSE)</f>
        <v>105.25</v>
      </c>
      <c r="G566" s="106">
        <f>VLOOKUP(A566,WTI原油期货!A:B,2,FALSE)</f>
        <v>85.44</v>
      </c>
      <c r="H566" s="106">
        <f>VLOOKUP(A566,天然气期货!A:B,2,FALSE)</f>
        <v>2.074</v>
      </c>
      <c r="I566" s="111">
        <f>VLOOKUP(A566,黄金期货!A:B,2,FALSE)</f>
        <v>2336.6</v>
      </c>
      <c r="J566" s="106">
        <f>VLOOKUP(A566,Sheet2!A:C,3,FALSE)</f>
        <v>935</v>
      </c>
      <c r="L566" s="112">
        <f t="shared" si="28"/>
        <v>0.00537634408602151</v>
      </c>
    </row>
    <row r="567" spans="1:12">
      <c r="A567" s="109">
        <v>45393</v>
      </c>
      <c r="B567" s="106">
        <f>VLOOKUP(A567,Sheet2!A:C,2,FALSE)</f>
        <v>294</v>
      </c>
      <c r="C567" s="106">
        <v>3750</v>
      </c>
      <c r="D567" s="106">
        <f>VLOOKUP(A567,Sheet4!A:C,2,FALSE)</f>
        <v>939</v>
      </c>
      <c r="E567" s="106">
        <f>VLOOKUP(A567,Sheet5!A:B,2,FALSE)</f>
        <v>7.2374</v>
      </c>
      <c r="F567" s="106">
        <f>VLOOKUP(A567,Sheet6!A:B,2,FALSE)</f>
        <v>105.28</v>
      </c>
      <c r="G567" s="106">
        <f>VLOOKUP(A567,WTI原油期货!A:B,2,FALSE)</f>
        <v>84.45</v>
      </c>
      <c r="H567" s="106">
        <f>VLOOKUP(A567,天然气期货!A:B,2,FALSE)</f>
        <v>2</v>
      </c>
      <c r="I567" s="111">
        <f>VLOOKUP(A567,黄金期货!A:B,2,FALSE)</f>
        <v>2360.8</v>
      </c>
      <c r="J567" s="106">
        <f>VLOOKUP(A567,Sheet2!A:C,3,FALSE)</f>
        <v>935</v>
      </c>
      <c r="L567" s="112">
        <f t="shared" si="28"/>
        <v>0</v>
      </c>
    </row>
    <row r="568" spans="1:12">
      <c r="A568" s="109">
        <v>45394</v>
      </c>
      <c r="B568" s="106">
        <f>VLOOKUP(A568,Sheet2!A:C,2,FALSE)</f>
        <v>295</v>
      </c>
      <c r="C568" s="106">
        <v>3750</v>
      </c>
      <c r="D568" s="106">
        <f>VLOOKUP(A568,Sheet4!A:C,2,FALSE)</f>
        <v>939</v>
      </c>
      <c r="E568" s="106">
        <f>VLOOKUP(A568,Sheet5!A:B,2,FALSE)</f>
        <v>7.2374</v>
      </c>
      <c r="F568" s="106">
        <f>VLOOKUP(A568,Sheet6!A:B,2,FALSE)</f>
        <v>106.04</v>
      </c>
      <c r="G568" s="106">
        <f>VLOOKUP(A568,WTI原油期货!A:B,2,FALSE)</f>
        <v>85.08</v>
      </c>
      <c r="H568" s="106">
        <f>VLOOKUP(A568,天然气期货!A:B,2,FALSE)</f>
        <v>2.029</v>
      </c>
      <c r="I568" s="111">
        <f>VLOOKUP(A568,黄金期货!A:B,2,FALSE)</f>
        <v>2362</v>
      </c>
      <c r="J568" s="106">
        <f>VLOOKUP(A568,Sheet2!A:C,3,FALSE)</f>
        <v>935</v>
      </c>
      <c r="L568" s="112">
        <f t="shared" si="28"/>
        <v>0</v>
      </c>
    </row>
    <row r="569" spans="1:12">
      <c r="A569" s="109">
        <v>45397</v>
      </c>
      <c r="B569" s="106">
        <f>VLOOKUP(A569,Sheet2!A:C,2,FALSE)</f>
        <v>296</v>
      </c>
      <c r="C569" s="106">
        <v>3750</v>
      </c>
      <c r="D569" s="106">
        <f>VLOOKUP(A569,Sheet4!A:C,2,FALSE)</f>
        <v>942</v>
      </c>
      <c r="E569" s="106">
        <f>VLOOKUP(A569,Sheet5!A:B,2,FALSE)</f>
        <v>7.2382</v>
      </c>
      <c r="F569" s="106">
        <f>VLOOKUP(A569,Sheet6!A:B,2,FALSE)</f>
        <v>106.21</v>
      </c>
      <c r="G569" s="106">
        <f>VLOOKUP(A569,WTI原油期货!A:B,2,FALSE)</f>
        <v>84.86</v>
      </c>
      <c r="H569" s="106">
        <f>VLOOKUP(A569,天然气期货!A:B,2,FALSE)</f>
        <v>1.946</v>
      </c>
      <c r="I569" s="111">
        <f>VLOOKUP(A569,黄金期货!A:B,2,FALSE)</f>
        <v>2370.9</v>
      </c>
      <c r="J569" s="106">
        <f>VLOOKUP(A569,Sheet2!A:C,3,FALSE)</f>
        <v>940</v>
      </c>
      <c r="L569" s="112">
        <f t="shared" si="28"/>
        <v>0.0053475935828877</v>
      </c>
    </row>
    <row r="570" spans="1:12">
      <c r="A570" s="109">
        <v>45398</v>
      </c>
      <c r="B570" s="106">
        <f>VLOOKUP(A570,Sheet2!A:C,2,FALSE)</f>
        <v>294</v>
      </c>
      <c r="C570" s="106">
        <v>3750</v>
      </c>
      <c r="D570" s="106">
        <f>VLOOKUP(A570,Sheet4!A:C,2,FALSE)</f>
        <v>943</v>
      </c>
      <c r="E570" s="106">
        <f>VLOOKUP(A570,Sheet5!A:B,2,FALSE)</f>
        <v>7.2378</v>
      </c>
      <c r="F570" s="106">
        <f>VLOOKUP(A570,Sheet6!A:B,2,FALSE)</f>
        <v>106.26</v>
      </c>
      <c r="G570" s="106">
        <f>VLOOKUP(A570,WTI原油期货!A:B,2,FALSE)</f>
        <v>84.83</v>
      </c>
      <c r="H570" s="106">
        <f>VLOOKUP(A570,天然气期货!A:B,2,FALSE)</f>
        <v>1.988</v>
      </c>
      <c r="I570" s="111">
        <f>VLOOKUP(A570,黄金期货!A:B,2,FALSE)</f>
        <v>2395.5</v>
      </c>
      <c r="J570" s="106">
        <f>VLOOKUP(A570,Sheet2!A:C,3,FALSE)</f>
        <v>940</v>
      </c>
      <c r="L570" s="112">
        <f t="shared" si="28"/>
        <v>0</v>
      </c>
    </row>
    <row r="571" spans="1:12">
      <c r="A571" s="109">
        <v>45399</v>
      </c>
      <c r="B571" s="106">
        <f>VLOOKUP(A571,Sheet2!A:C,2,FALSE)</f>
        <v>291</v>
      </c>
      <c r="C571" s="106">
        <v>3700</v>
      </c>
      <c r="D571" s="106">
        <f>VLOOKUP(A571,Sheet4!A:C,2,FALSE)</f>
        <v>943</v>
      </c>
      <c r="E571" s="106">
        <f>VLOOKUP(A571,Sheet5!A:B,2,FALSE)</f>
        <v>7.2389</v>
      </c>
      <c r="F571" s="106">
        <f>VLOOKUP(A571,Sheet6!A:B,2,FALSE)</f>
        <v>105.95</v>
      </c>
      <c r="G571" s="106">
        <f>VLOOKUP(A571,WTI原油期货!A:B,2,FALSE)</f>
        <v>82.15</v>
      </c>
      <c r="H571" s="106">
        <f>VLOOKUP(A571,天然气期货!A:B,2,FALSE)</f>
        <v>1.962</v>
      </c>
      <c r="I571" s="111">
        <f>VLOOKUP(A571,黄金期货!A:B,2,FALSE)</f>
        <v>2376.2</v>
      </c>
      <c r="J571" s="106">
        <f>VLOOKUP(A571,Sheet2!A:C,3,FALSE)</f>
        <v>940</v>
      </c>
      <c r="L571" s="112">
        <f t="shared" si="28"/>
        <v>0</v>
      </c>
    </row>
    <row r="572" spans="1:12">
      <c r="A572" s="109">
        <v>45400</v>
      </c>
      <c r="B572" s="106">
        <f>VLOOKUP(A572,Sheet2!A:C,2,FALSE)</f>
        <v>289</v>
      </c>
      <c r="C572" s="106">
        <v>3700</v>
      </c>
      <c r="D572" s="106">
        <f>VLOOKUP(A572,Sheet4!A:C,2,FALSE)</f>
        <v>944</v>
      </c>
      <c r="E572" s="106">
        <f>VLOOKUP(A572,Sheet5!A:B,2,FALSE)</f>
        <v>7.2387</v>
      </c>
      <c r="F572" s="106">
        <f>VLOOKUP(A572,Sheet6!A:B,2,FALSE)</f>
        <v>106.15</v>
      </c>
      <c r="G572" s="106">
        <f>VLOOKUP(A572,WTI原油期货!A:B,2,FALSE)</f>
        <v>82.1</v>
      </c>
      <c r="H572" s="106">
        <f>VLOOKUP(A572,天然气期货!A:B,2,FALSE)</f>
        <v>1.986</v>
      </c>
      <c r="I572" s="111">
        <f>VLOOKUP(A572,黄金期货!A:B,2,FALSE)</f>
        <v>2385.8</v>
      </c>
      <c r="J572" s="106">
        <f>VLOOKUP(A572,Sheet2!A:C,3,FALSE)</f>
        <v>935</v>
      </c>
      <c r="L572" s="112">
        <f t="shared" si="28"/>
        <v>-0.00531914893617021</v>
      </c>
    </row>
    <row r="573" spans="1:12">
      <c r="A573" s="109">
        <v>45401</v>
      </c>
      <c r="B573" s="106">
        <f>VLOOKUP(A573,Sheet2!A:C,2,FALSE)</f>
        <v>288</v>
      </c>
      <c r="C573" s="106">
        <v>3700</v>
      </c>
      <c r="D573" s="106">
        <f>VLOOKUP(A573,Sheet4!A:C,2,FALSE)</f>
        <v>946</v>
      </c>
      <c r="E573" s="106">
        <f>VLOOKUP(A573,Sheet5!A:B,2,FALSE)</f>
        <v>7.2404</v>
      </c>
      <c r="F573" s="106">
        <f>VLOOKUP(A573,Sheet6!A:B,2,FALSE)</f>
        <v>106.15</v>
      </c>
      <c r="G573" s="106">
        <f>VLOOKUP(A573,WTI原油期货!A:B,2,FALSE)</f>
        <v>82.22</v>
      </c>
      <c r="H573" s="106">
        <f>VLOOKUP(A573,天然气期货!A:B,2,FALSE)</f>
        <v>1.988</v>
      </c>
      <c r="I573" s="111">
        <f>VLOOKUP(A573,黄金期货!A:B,2,FALSE)</f>
        <v>2401.4</v>
      </c>
      <c r="J573" s="106">
        <f>VLOOKUP(A573,Sheet2!A:C,3,FALSE)</f>
        <v>935</v>
      </c>
      <c r="L573" s="112">
        <f t="shared" si="28"/>
        <v>0</v>
      </c>
    </row>
    <row r="574" spans="1:12">
      <c r="A574" s="109">
        <v>45404</v>
      </c>
      <c r="B574" s="106">
        <f>VLOOKUP(A574,Sheet2!A:C,2,FALSE)</f>
        <v>287</v>
      </c>
      <c r="C574" s="106">
        <v>3700</v>
      </c>
      <c r="D574" s="106">
        <f>VLOOKUP(A574,Sheet4!A:C,2,FALSE)</f>
        <v>949</v>
      </c>
      <c r="E574" s="106">
        <f>VLOOKUP(A574,Sheet5!A:B,2,FALSE)</f>
        <v>7.2435</v>
      </c>
      <c r="F574" s="106">
        <f>VLOOKUP(A574,Sheet6!A:B,2,FALSE)</f>
        <v>106.08</v>
      </c>
      <c r="G574" s="106">
        <f>VLOOKUP(A574,WTI原油期货!A:B,2,FALSE)</f>
        <v>81.9</v>
      </c>
      <c r="H574" s="106">
        <f>VLOOKUP(A574,天然气期货!A:B,2,FALSE)</f>
        <v>2.065</v>
      </c>
      <c r="I574" s="111">
        <f>VLOOKUP(A574,黄金期货!A:B,2,FALSE)</f>
        <v>2334.6</v>
      </c>
      <c r="J574" s="106">
        <f>VLOOKUP(A574,Sheet2!A:C,3,FALSE)</f>
        <v>930</v>
      </c>
      <c r="L574" s="112">
        <f t="shared" si="28"/>
        <v>-0.0053475935828877</v>
      </c>
    </row>
    <row r="575" spans="1:12">
      <c r="A575" s="109">
        <v>45405</v>
      </c>
      <c r="B575" s="106">
        <f>VLOOKUP(A575,Sheet2!A:C,2,FALSE)</f>
        <v>288</v>
      </c>
      <c r="C575" s="106">
        <v>3700</v>
      </c>
      <c r="D575" s="106">
        <f>VLOOKUP(A575,Sheet4!A:C,2,FALSE)</f>
        <v>948</v>
      </c>
      <c r="E575" s="106">
        <f>VLOOKUP(A575,Sheet5!A:B,2,FALSE)</f>
        <v>7.2453</v>
      </c>
      <c r="F575" s="106">
        <f>VLOOKUP(A575,Sheet6!A:B,2,FALSE)</f>
        <v>105.68</v>
      </c>
      <c r="G575" s="106">
        <f>VLOOKUP(A575,WTI原油期货!A:B,2,FALSE)</f>
        <v>82.56</v>
      </c>
      <c r="H575" s="106">
        <f>VLOOKUP(A575,天然气期货!A:B,2,FALSE)</f>
        <v>2.094</v>
      </c>
      <c r="I575" s="111">
        <f>VLOOKUP(A575,黄金期货!A:B,2,FALSE)</f>
        <v>2329.9</v>
      </c>
      <c r="J575" s="106">
        <f>VLOOKUP(A575,Sheet2!A:C,3,FALSE)</f>
        <v>925</v>
      </c>
      <c r="L575" s="112">
        <f t="shared" si="28"/>
        <v>-0.00537634408602151</v>
      </c>
    </row>
    <row r="576" spans="1:12">
      <c r="A576" s="109">
        <v>45406</v>
      </c>
      <c r="B576" s="106">
        <f>VLOOKUP(A576,Sheet2!A:C,2,FALSE)</f>
        <v>288</v>
      </c>
      <c r="C576" s="106">
        <v>3700</v>
      </c>
      <c r="D576" s="106">
        <f>VLOOKUP(A576,Sheet4!A:C,2,FALSE)</f>
        <v>946</v>
      </c>
      <c r="E576" s="106">
        <f>VLOOKUP(A576,Sheet5!A:B,2,FALSE)</f>
        <v>7.2461</v>
      </c>
      <c r="F576" s="106">
        <f>VLOOKUP(A576,Sheet6!A:B,2,FALSE)</f>
        <v>105.86</v>
      </c>
      <c r="G576" s="106">
        <f>VLOOKUP(A576,WTI原油期货!A:B,2,FALSE)</f>
        <v>82.09</v>
      </c>
      <c r="H576" s="106">
        <f>VLOOKUP(A576,天然气期货!A:B,2,FALSE)</f>
        <v>1.979</v>
      </c>
      <c r="I576" s="111">
        <f>VLOOKUP(A576,黄金期货!A:B,2,FALSE)</f>
        <v>2326</v>
      </c>
      <c r="J576" s="106">
        <f>VLOOKUP(A576,Sheet2!A:C,3,FALSE)</f>
        <v>915</v>
      </c>
      <c r="L576" s="112">
        <f t="shared" si="28"/>
        <v>-0.0108108108108108</v>
      </c>
    </row>
    <row r="577" spans="1:12">
      <c r="A577" s="109">
        <v>45407</v>
      </c>
      <c r="B577" s="106">
        <f>VLOOKUP(A577,Sheet2!A:C,2,FALSE)</f>
        <v>286</v>
      </c>
      <c r="C577" s="106">
        <v>3700</v>
      </c>
      <c r="D577" s="106">
        <f>VLOOKUP(A577,Sheet4!A:C,2,FALSE)</f>
        <v>946</v>
      </c>
      <c r="E577" s="106">
        <f>VLOOKUP(A577,Sheet5!A:B,2,FALSE)</f>
        <v>7.2399</v>
      </c>
      <c r="F577" s="106">
        <f>VLOOKUP(A577,Sheet6!A:B,2,FALSE)</f>
        <v>105.6</v>
      </c>
      <c r="G577" s="106">
        <f>VLOOKUP(A577,WTI原油期货!A:B,2,FALSE)</f>
        <v>82.75</v>
      </c>
      <c r="H577" s="106">
        <f>VLOOKUP(A577,天然气期货!A:B,2,FALSE)</f>
        <v>1.986</v>
      </c>
      <c r="I577" s="111">
        <f>VLOOKUP(A577,黄金期货!A:B,2,FALSE)</f>
        <v>2330.3</v>
      </c>
      <c r="J577" s="106">
        <f>VLOOKUP(A577,Sheet2!A:C,3,FALSE)</f>
        <v>915</v>
      </c>
      <c r="L577" s="112">
        <f t="shared" si="28"/>
        <v>0</v>
      </c>
    </row>
    <row r="578" spans="1:12">
      <c r="A578" s="109">
        <v>45408</v>
      </c>
      <c r="B578" s="106">
        <f>VLOOKUP(A578,Sheet2!A:C,2,FALSE)</f>
        <v>285</v>
      </c>
      <c r="C578" s="106">
        <v>3700</v>
      </c>
      <c r="D578" s="106">
        <f>VLOOKUP(A578,Sheet4!A:C,2,FALSE)</f>
        <v>948</v>
      </c>
      <c r="E578" s="106">
        <f>VLOOKUP(A578,Sheet5!A:B,2,FALSE)</f>
        <v>7.2465</v>
      </c>
      <c r="F578" s="106">
        <f>VLOOKUP(A578,Sheet6!A:B,2,FALSE)</f>
        <v>105.94</v>
      </c>
      <c r="G578" s="106">
        <f>VLOOKUP(A578,WTI原油期货!A:B,2,FALSE)</f>
        <v>83.13</v>
      </c>
      <c r="H578" s="106">
        <f>VLOOKUP(A578,天然气期货!A:B,2,FALSE)</f>
        <v>1.923</v>
      </c>
      <c r="I578" s="111">
        <f>VLOOKUP(A578,黄金期货!A:B,2,FALSE)</f>
        <v>2335</v>
      </c>
      <c r="J578" s="106">
        <f>VLOOKUP(A578,Sheet2!A:C,3,FALSE)</f>
        <v>915</v>
      </c>
      <c r="L578" s="112">
        <f t="shared" si="28"/>
        <v>0</v>
      </c>
    </row>
    <row r="579" spans="1:12">
      <c r="A579" s="109">
        <v>45410</v>
      </c>
      <c r="B579" s="106">
        <f>VLOOKUP(A579,Sheet2!A:C,2,FALSE)</f>
        <v>280</v>
      </c>
      <c r="C579" s="106">
        <v>3700</v>
      </c>
      <c r="D579" s="106">
        <f>VLOOKUP(A579,Sheet4!A:C,2,FALSE)</f>
        <v>948</v>
      </c>
      <c r="E579" s="106">
        <f>E578</f>
        <v>7.2465</v>
      </c>
      <c r="F579" s="106">
        <f>F578</f>
        <v>105.94</v>
      </c>
      <c r="G579" s="106">
        <f>G578</f>
        <v>83.13</v>
      </c>
      <c r="H579" s="106">
        <f>H578</f>
        <v>1.923</v>
      </c>
      <c r="I579" s="111">
        <f>I578</f>
        <v>2335</v>
      </c>
      <c r="J579" s="106">
        <f>VLOOKUP(A579,Sheet2!A:C,3,FALSE)</f>
        <v>915</v>
      </c>
      <c r="L579" s="112">
        <f t="shared" ref="L579:L642" si="29">(J579-J578)/J578</f>
        <v>0</v>
      </c>
    </row>
    <row r="580" spans="1:12">
      <c r="A580" s="109">
        <v>45411</v>
      </c>
      <c r="B580" s="106">
        <f>VLOOKUP(A580,Sheet2!A:C,2,FALSE)</f>
        <v>278</v>
      </c>
      <c r="C580" s="106">
        <v>3700</v>
      </c>
      <c r="D580" s="106">
        <f>VLOOKUP(A580,Sheet4!A:C,2,FALSE)</f>
        <v>948</v>
      </c>
      <c r="E580" s="106">
        <f>VLOOKUP(A580,Sheet5!A:B,2,FALSE)</f>
        <v>7.2322</v>
      </c>
      <c r="F580" s="106">
        <f>VLOOKUP(A580,Sheet6!A:B,2,FALSE)</f>
        <v>105.58</v>
      </c>
      <c r="G580" s="106">
        <f>VLOOKUP(A580,WTI原油期货!A:B,2,FALSE)</f>
        <v>82.03</v>
      </c>
      <c r="H580" s="106">
        <f>VLOOKUP(A580,天然气期货!A:B,2,FALSE)</f>
        <v>2.373</v>
      </c>
      <c r="I580" s="111">
        <f>VLOOKUP(A580,黄金期货!A:B,2,FALSE)</f>
        <v>2357.7</v>
      </c>
      <c r="J580" s="106">
        <f>VLOOKUP(A580,Sheet2!A:C,3,FALSE)</f>
        <v>920</v>
      </c>
      <c r="L580" s="112">
        <f t="shared" si="29"/>
        <v>0.00546448087431694</v>
      </c>
    </row>
    <row r="581" spans="1:12">
      <c r="A581" s="109">
        <v>45412</v>
      </c>
      <c r="B581" s="106">
        <f>VLOOKUP(A581,Sheet2!A:C,2,FALSE)</f>
        <v>280</v>
      </c>
      <c r="C581" s="106">
        <v>3700</v>
      </c>
      <c r="D581" s="106">
        <f>VLOOKUP(A581,Sheet4!A:C,2,FALSE)</f>
        <v>949</v>
      </c>
      <c r="E581" s="106">
        <f>VLOOKUP(A581,Sheet5!A:B,2,FALSE)</f>
        <v>7.2411</v>
      </c>
      <c r="F581" s="106">
        <f>VLOOKUP(A581,Sheet6!A:B,2,FALSE)</f>
        <v>106.22</v>
      </c>
      <c r="G581" s="106">
        <f>VLOOKUP(A581,WTI原油期货!A:B,2,FALSE)</f>
        <v>81.28</v>
      </c>
      <c r="H581" s="106">
        <f>VLOOKUP(A581,天然气期货!A:B,2,FALSE)</f>
        <v>2.319</v>
      </c>
      <c r="I581" s="111">
        <f>VLOOKUP(A581,黄金期货!A:B,2,FALSE)</f>
        <v>2302.9</v>
      </c>
      <c r="J581" s="106">
        <f>VLOOKUP(A581,Sheet2!A:C,3,FALSE)</f>
        <v>920</v>
      </c>
      <c r="L581" s="112">
        <f t="shared" si="29"/>
        <v>0</v>
      </c>
    </row>
    <row r="582" spans="1:12">
      <c r="A582" s="109">
        <v>45418</v>
      </c>
      <c r="B582" s="106">
        <f>VLOOKUP(A582,Sheet2!A:C,2,FALSE)</f>
        <v>279</v>
      </c>
      <c r="C582" s="106">
        <v>3700</v>
      </c>
      <c r="D582" s="106">
        <f>VLOOKUP(A582,Sheet4!A:C,2,FALSE)</f>
        <v>948</v>
      </c>
      <c r="E582" s="106">
        <f>VLOOKUP(A582,Sheet5!A:B,2,FALSE)</f>
        <v>7.2089</v>
      </c>
      <c r="F582" s="106">
        <f>VLOOKUP(A582,Sheet6!A:B,2,FALSE)</f>
        <v>105.05</v>
      </c>
      <c r="G582" s="106">
        <f>VLOOKUP(A582,WTI原油期货!A:B,2,FALSE)</f>
        <v>78.14</v>
      </c>
      <c r="H582" s="106">
        <f>VLOOKUP(A582,天然气期货!A:B,2,FALSE)</f>
        <v>2.463</v>
      </c>
      <c r="I582" s="111">
        <f>VLOOKUP(A582,黄金期货!A:B,2,FALSE)</f>
        <v>2331.2</v>
      </c>
      <c r="J582" s="106">
        <f>VLOOKUP(A582,Sheet2!A:C,3,FALSE)</f>
        <v>920</v>
      </c>
      <c r="L582" s="112">
        <f t="shared" si="29"/>
        <v>0</v>
      </c>
    </row>
    <row r="583" spans="1:12">
      <c r="A583" s="109">
        <v>45419</v>
      </c>
      <c r="B583" s="106">
        <f>VLOOKUP(A583,Sheet2!A:C,2,FALSE)</f>
        <v>281</v>
      </c>
      <c r="C583" s="106">
        <v>3700</v>
      </c>
      <c r="D583" s="106">
        <f>VLOOKUP(A583,Sheet4!A:C,2,FALSE)</f>
        <v>949</v>
      </c>
      <c r="E583" s="106">
        <f>VLOOKUP(A583,Sheet5!A:B,2,FALSE)</f>
        <v>7.2187</v>
      </c>
      <c r="F583" s="106">
        <f>VLOOKUP(A583,Sheet6!A:B,2,FALSE)</f>
        <v>105.41</v>
      </c>
      <c r="G583" s="106">
        <f>VLOOKUP(A583,WTI原油期货!A:B,2,FALSE)</f>
        <v>78.06</v>
      </c>
      <c r="H583" s="106">
        <f>VLOOKUP(A583,天然气期货!A:B,2,FALSE)</f>
        <v>2.471</v>
      </c>
      <c r="I583" s="111">
        <f>VLOOKUP(A583,黄金期货!A:B,2,FALSE)</f>
        <v>2324.2</v>
      </c>
      <c r="J583" s="106">
        <f>VLOOKUP(A583,Sheet2!A:C,3,FALSE)</f>
        <v>930</v>
      </c>
      <c r="L583" s="112">
        <f t="shared" si="29"/>
        <v>0.0108695652173913</v>
      </c>
    </row>
    <row r="584" spans="1:12">
      <c r="A584" s="109">
        <v>45420</v>
      </c>
      <c r="B584" s="106">
        <f>VLOOKUP(A584,Sheet2!A:C,2,FALSE)</f>
        <v>279</v>
      </c>
      <c r="C584" s="106">
        <v>3700</v>
      </c>
      <c r="D584" s="106">
        <f>VLOOKUP(A584,Sheet4!A:C,2,FALSE)</f>
        <v>948</v>
      </c>
      <c r="E584" s="106">
        <f>VLOOKUP(A584,Sheet5!A:B,2,FALSE)</f>
        <v>7.225</v>
      </c>
      <c r="F584" s="106">
        <f>VLOOKUP(A584,Sheet6!A:B,2,FALSE)</f>
        <v>105.55</v>
      </c>
      <c r="G584" s="106">
        <f>VLOOKUP(A584,WTI原油期货!A:B,2,FALSE)</f>
        <v>78.56</v>
      </c>
      <c r="H584" s="106">
        <f>VLOOKUP(A584,天然气期货!A:B,2,FALSE)</f>
        <v>2.474</v>
      </c>
      <c r="I584" s="111">
        <f>VLOOKUP(A584,黄金期货!A:B,2,FALSE)</f>
        <v>2322.3</v>
      </c>
      <c r="J584" s="106">
        <f>VLOOKUP(A584,Sheet2!A:C,3,FALSE)</f>
        <v>930</v>
      </c>
      <c r="L584" s="112">
        <f t="shared" si="29"/>
        <v>0</v>
      </c>
    </row>
    <row r="585" spans="1:12">
      <c r="A585" s="109">
        <v>45421</v>
      </c>
      <c r="B585" s="106">
        <f>VLOOKUP(A585,Sheet2!A:C,2,FALSE)</f>
        <v>279</v>
      </c>
      <c r="C585" s="106">
        <v>3700</v>
      </c>
      <c r="D585" s="106">
        <f>VLOOKUP(A585,Sheet4!A:C,2,FALSE)</f>
        <v>948</v>
      </c>
      <c r="E585" s="106">
        <f>VLOOKUP(A585,Sheet5!A:B,2,FALSE)</f>
        <v>7.2214</v>
      </c>
      <c r="F585" s="106">
        <f>VLOOKUP(A585,Sheet6!A:B,2,FALSE)</f>
        <v>105.23</v>
      </c>
      <c r="G585" s="106">
        <f>VLOOKUP(A585,WTI原油期货!A:B,2,FALSE)</f>
        <v>78.8</v>
      </c>
      <c r="H585" s="106">
        <f>VLOOKUP(A585,天然气期货!A:B,2,FALSE)</f>
        <v>2.537</v>
      </c>
      <c r="I585" s="111">
        <f>VLOOKUP(A585,黄金期货!A:B,2,FALSE)</f>
        <v>2340.3</v>
      </c>
      <c r="J585" s="106">
        <f>VLOOKUP(A585,Sheet2!A:C,3,FALSE)</f>
        <v>925</v>
      </c>
      <c r="L585" s="112">
        <f t="shared" si="29"/>
        <v>-0.00537634408602151</v>
      </c>
    </row>
    <row r="586" spans="1:12">
      <c r="A586" s="109">
        <v>45422</v>
      </c>
      <c r="B586" s="106">
        <f>VLOOKUP(A586,Sheet2!A:C,2,FALSE)</f>
        <v>287</v>
      </c>
      <c r="C586" s="106">
        <v>3700</v>
      </c>
      <c r="D586" s="106">
        <f>VLOOKUP(A586,Sheet4!A:C,2,FALSE)</f>
        <v>948</v>
      </c>
      <c r="E586" s="106">
        <f>VLOOKUP(A586,Sheet5!A:B,2,FALSE)</f>
        <v>7.2268</v>
      </c>
      <c r="F586" s="106">
        <f>VLOOKUP(A586,Sheet6!A:B,2,FALSE)</f>
        <v>105.3</v>
      </c>
      <c r="G586" s="106">
        <f>VLOOKUP(A586,WTI原油期货!A:B,2,FALSE)</f>
        <v>77.84</v>
      </c>
      <c r="H586" s="106">
        <f>VLOOKUP(A586,天然气期货!A:B,2,FALSE)</f>
        <v>2.484</v>
      </c>
      <c r="I586" s="111">
        <f>VLOOKUP(A586,黄金期货!A:B,2,FALSE)</f>
        <v>2375</v>
      </c>
      <c r="J586" s="106">
        <f>VLOOKUP(A586,Sheet2!A:C,3,FALSE)</f>
        <v>925</v>
      </c>
      <c r="L586" s="112">
        <f t="shared" si="29"/>
        <v>0</v>
      </c>
    </row>
    <row r="587" spans="1:12">
      <c r="A587" s="109">
        <v>45423</v>
      </c>
      <c r="B587" s="106">
        <f>VLOOKUP(A587,Sheet2!A:C,2,FALSE)</f>
        <v>285</v>
      </c>
      <c r="C587" s="106">
        <v>3670</v>
      </c>
      <c r="D587" s="106">
        <f>VLOOKUP(A587,Sheet4!A:C,2,FALSE)</f>
        <v>948</v>
      </c>
      <c r="E587" s="106">
        <f>E586</f>
        <v>7.2268</v>
      </c>
      <c r="F587" s="106">
        <f>F586</f>
        <v>105.3</v>
      </c>
      <c r="G587" s="106">
        <f>G586</f>
        <v>77.84</v>
      </c>
      <c r="H587" s="106">
        <f>H586</f>
        <v>2.484</v>
      </c>
      <c r="I587" s="111">
        <f>I586</f>
        <v>2375</v>
      </c>
      <c r="J587" s="106">
        <f>VLOOKUP(A587,Sheet2!A:C,3,FALSE)</f>
        <v>925</v>
      </c>
      <c r="L587" s="112">
        <f t="shared" si="29"/>
        <v>0</v>
      </c>
    </row>
    <row r="588" spans="1:12">
      <c r="A588" s="109">
        <v>45425</v>
      </c>
      <c r="B588" s="106">
        <f>VLOOKUP(A588,Sheet2!A:C,2,FALSE)</f>
        <v>285</v>
      </c>
      <c r="C588" s="106">
        <v>3670</v>
      </c>
      <c r="D588" s="106">
        <f>VLOOKUP(A588,Sheet4!A:C,2,FALSE)</f>
        <v>948</v>
      </c>
      <c r="E588" s="106">
        <f>VLOOKUP(A588,Sheet5!A:B,2,FALSE)</f>
        <v>7.2329</v>
      </c>
      <c r="F588" s="106">
        <f>VLOOKUP(A588,Sheet6!A:B,2,FALSE)</f>
        <v>105.22</v>
      </c>
      <c r="G588" s="106">
        <f>VLOOKUP(A588,WTI原油期货!A:B,2,FALSE)</f>
        <v>78.6</v>
      </c>
      <c r="H588" s="106">
        <f>VLOOKUP(A588,天然气期货!A:B,2,FALSE)</f>
        <v>2.587</v>
      </c>
      <c r="I588" s="111">
        <f>VLOOKUP(A588,黄金期货!A:B,2,FALSE)</f>
        <v>2343</v>
      </c>
      <c r="J588" s="106">
        <f>VLOOKUP(A588,Sheet2!A:C,3,FALSE)</f>
        <v>925</v>
      </c>
      <c r="L588" s="112">
        <f t="shared" si="29"/>
        <v>0</v>
      </c>
    </row>
    <row r="589" spans="1:12">
      <c r="A589" s="109">
        <v>45426</v>
      </c>
      <c r="B589" s="106">
        <f>VLOOKUP(A589,Sheet2!A:C,2,FALSE)</f>
        <v>291</v>
      </c>
      <c r="C589" s="106">
        <v>3650</v>
      </c>
      <c r="D589" s="106">
        <f>VLOOKUP(A589,Sheet4!A:C,2,FALSE)</f>
        <v>951</v>
      </c>
      <c r="E589" s="106">
        <f>VLOOKUP(A589,Sheet5!A:B,2,FALSE)</f>
        <v>7.2337</v>
      </c>
      <c r="F589" s="106">
        <f>VLOOKUP(A589,Sheet6!A:B,2,FALSE)</f>
        <v>105.01</v>
      </c>
      <c r="G589" s="106">
        <f>VLOOKUP(A589,WTI原油期货!A:B,2,FALSE)</f>
        <v>77.65</v>
      </c>
      <c r="H589" s="106">
        <f>VLOOKUP(A589,天然气期货!A:B,2,FALSE)</f>
        <v>2.559</v>
      </c>
      <c r="I589" s="111">
        <f>VLOOKUP(A589,黄金期货!A:B,2,FALSE)</f>
        <v>2359.9</v>
      </c>
      <c r="J589" s="106">
        <f>VLOOKUP(A589,Sheet2!A:C,3,FALSE)</f>
        <v>925</v>
      </c>
      <c r="L589" s="112">
        <f t="shared" si="29"/>
        <v>0</v>
      </c>
    </row>
    <row r="590" spans="1:12">
      <c r="A590" s="109">
        <v>45427</v>
      </c>
      <c r="B590" s="106">
        <f>VLOOKUP(A590,Sheet2!A:C,2,FALSE)</f>
        <v>288</v>
      </c>
      <c r="C590" s="106">
        <v>3650</v>
      </c>
      <c r="D590" s="106">
        <f>VLOOKUP(A590,Sheet4!A:C,2,FALSE)</f>
        <v>951</v>
      </c>
      <c r="E590" s="106">
        <f>VLOOKUP(A590,Sheet5!A:B,2,FALSE)</f>
        <v>7.2195</v>
      </c>
      <c r="F590" s="106">
        <f>VLOOKUP(A590,Sheet6!A:B,2,FALSE)</f>
        <v>104.35</v>
      </c>
      <c r="G590" s="106">
        <f>VLOOKUP(A590,WTI原油期货!A:B,2,FALSE)</f>
        <v>78.16</v>
      </c>
      <c r="H590" s="106">
        <f>VLOOKUP(A590,天然气期货!A:B,2,FALSE)</f>
        <v>2.631</v>
      </c>
      <c r="I590" s="111">
        <f>VLOOKUP(A590,黄金期货!A:B,2,FALSE)</f>
        <v>2394.9</v>
      </c>
      <c r="J590" s="106">
        <f>VLOOKUP(A590,Sheet2!A:C,3,FALSE)</f>
        <v>925</v>
      </c>
      <c r="L590" s="112">
        <f t="shared" si="29"/>
        <v>0</v>
      </c>
    </row>
    <row r="591" spans="1:12">
      <c r="A591" s="109">
        <v>45428</v>
      </c>
      <c r="B591" s="106">
        <f>VLOOKUP(A591,Sheet2!A:C,2,FALSE)</f>
        <v>288</v>
      </c>
      <c r="C591" s="106">
        <v>3650</v>
      </c>
      <c r="D591" s="106">
        <f>VLOOKUP(A591,Sheet4!A:C,2,FALSE)</f>
        <v>951</v>
      </c>
      <c r="E591" s="106">
        <f>VLOOKUP(A591,Sheet5!A:B,2,FALSE)</f>
        <v>7.2191</v>
      </c>
      <c r="F591" s="106">
        <f>VLOOKUP(A591,Sheet6!A:B,2,FALSE)</f>
        <v>104.46</v>
      </c>
      <c r="G591" s="106">
        <f>VLOOKUP(A591,WTI原油期货!A:B,2,FALSE)</f>
        <v>78.74</v>
      </c>
      <c r="H591" s="106">
        <f>VLOOKUP(A591,天然气期货!A:B,2,FALSE)</f>
        <v>2.687</v>
      </c>
      <c r="I591" s="111">
        <f>VLOOKUP(A591,黄金期货!A:B,2,FALSE)</f>
        <v>2385.5</v>
      </c>
      <c r="J591" s="106">
        <f>VLOOKUP(A591,Sheet2!A:C,3,FALSE)</f>
        <v>925</v>
      </c>
      <c r="L591" s="112">
        <f t="shared" si="29"/>
        <v>0</v>
      </c>
    </row>
    <row r="592" spans="1:12">
      <c r="A592" s="109">
        <v>45429</v>
      </c>
      <c r="B592" s="106">
        <f>VLOOKUP(A592,Sheet2!A:C,2,FALSE)</f>
        <v>283</v>
      </c>
      <c r="C592" s="106">
        <v>3650</v>
      </c>
      <c r="D592" s="106">
        <f>VLOOKUP(A592,Sheet4!A:C,2,FALSE)</f>
        <v>952</v>
      </c>
      <c r="E592" s="106">
        <f>VLOOKUP(A592,Sheet5!A:B,2,FALSE)</f>
        <v>7.2243</v>
      </c>
      <c r="F592" s="106">
        <f>VLOOKUP(A592,Sheet6!A:B,2,FALSE)</f>
        <v>104.44</v>
      </c>
      <c r="G592" s="106">
        <f>VLOOKUP(A592,WTI原油期货!A:B,2,FALSE)</f>
        <v>79.58</v>
      </c>
      <c r="H592" s="106">
        <f>VLOOKUP(A592,天然气期货!A:B,2,FALSE)</f>
        <v>2.789</v>
      </c>
      <c r="I592" s="111">
        <f>VLOOKUP(A592,黄金期货!A:B,2,FALSE)</f>
        <v>2417.4</v>
      </c>
      <c r="J592" s="106">
        <f>VLOOKUP(A592,Sheet2!A:C,3,FALSE)</f>
        <v>920</v>
      </c>
      <c r="L592" s="112">
        <f t="shared" si="29"/>
        <v>-0.00540540540540541</v>
      </c>
    </row>
    <row r="593" spans="1:12">
      <c r="A593" s="109">
        <v>45432</v>
      </c>
      <c r="B593" s="106">
        <f>VLOOKUP(A593,Sheet2!A:C,2,FALSE)</f>
        <v>278.8</v>
      </c>
      <c r="C593" s="106">
        <v>3650</v>
      </c>
      <c r="D593" s="106">
        <f>VLOOKUP(A593,Sheet4!A:C,2,FALSE)</f>
        <v>957</v>
      </c>
      <c r="E593" s="106">
        <f>VLOOKUP(A593,Sheet5!A:B,2,FALSE)</f>
        <v>7.2351</v>
      </c>
      <c r="F593" s="106">
        <f>VLOOKUP(A593,Sheet6!A:B,2,FALSE)</f>
        <v>104.57</v>
      </c>
      <c r="G593" s="106">
        <f>VLOOKUP(A593,WTI原油期货!A:B,2,FALSE)</f>
        <v>79.3</v>
      </c>
      <c r="H593" s="106">
        <f>VLOOKUP(A593,天然气期货!A:B,2,FALSE)</f>
        <v>2.901</v>
      </c>
      <c r="I593" s="111">
        <f>VLOOKUP(A593,黄金期货!A:B,2,FALSE)</f>
        <v>2438.5</v>
      </c>
      <c r="J593" s="106">
        <f>VLOOKUP(A593,Sheet2!A:C,3,FALSE)</f>
        <v>910</v>
      </c>
      <c r="L593" s="112">
        <f t="shared" si="29"/>
        <v>-0.0108695652173913</v>
      </c>
    </row>
    <row r="594" spans="1:12">
      <c r="A594" s="109">
        <v>45433</v>
      </c>
      <c r="B594" s="106">
        <f>VLOOKUP(A594,Sheet2!A:C,2,FALSE)</f>
        <v>275.7</v>
      </c>
      <c r="C594" s="106">
        <v>3650</v>
      </c>
      <c r="D594" s="106">
        <f>VLOOKUP(A594,Sheet4!A:C,2,FALSE)</f>
        <v>957</v>
      </c>
      <c r="E594" s="106">
        <f>VLOOKUP(A594,Sheet5!A:B,2,FALSE)</f>
        <v>7.2379</v>
      </c>
      <c r="F594" s="106">
        <f>VLOOKUP(A594,Sheet6!A:B,2,FALSE)</f>
        <v>104.66</v>
      </c>
      <c r="G594" s="106">
        <f>VLOOKUP(A594,WTI原油期货!A:B,2,FALSE)</f>
        <v>78.66</v>
      </c>
      <c r="H594" s="106">
        <f>VLOOKUP(A594,天然气期货!A:B,2,FALSE)</f>
        <v>2.839</v>
      </c>
      <c r="I594" s="111">
        <f>VLOOKUP(A594,黄金期货!A:B,2,FALSE)</f>
        <v>2425.9</v>
      </c>
      <c r="J594" s="106">
        <f>VLOOKUP(A594,Sheet2!A:C,3,FALSE)</f>
        <v>910</v>
      </c>
      <c r="L594" s="112">
        <f t="shared" si="29"/>
        <v>0</v>
      </c>
    </row>
    <row r="595" spans="1:12">
      <c r="A595" s="109">
        <v>45434</v>
      </c>
      <c r="B595" s="106">
        <f>VLOOKUP(A595,Sheet2!A:C,2,FALSE)</f>
        <v>275.3</v>
      </c>
      <c r="C595" s="106">
        <v>3650</v>
      </c>
      <c r="D595" s="106">
        <f>VLOOKUP(A595,Sheet4!A:C,2,FALSE)</f>
        <v>958</v>
      </c>
      <c r="E595" s="106">
        <f>VLOOKUP(A595,Sheet5!A:B,2,FALSE)</f>
        <v>7.2413</v>
      </c>
      <c r="F595" s="106">
        <f>VLOOKUP(A595,Sheet6!A:B,2,FALSE)</f>
        <v>104.93</v>
      </c>
      <c r="G595" s="106">
        <f>VLOOKUP(A595,WTI原油期货!A:B,2,FALSE)</f>
        <v>77.15</v>
      </c>
      <c r="H595" s="106">
        <f>VLOOKUP(A595,天然气期货!A:B,2,FALSE)</f>
        <v>3.052</v>
      </c>
      <c r="I595" s="111">
        <f>VLOOKUP(A595,黄金期货!A:B,2,FALSE)</f>
        <v>2392.9</v>
      </c>
      <c r="J595" s="106">
        <f>VLOOKUP(A595,Sheet2!A:C,3,FALSE)</f>
        <v>915</v>
      </c>
      <c r="L595" s="112">
        <f t="shared" si="29"/>
        <v>0.00549450549450549</v>
      </c>
    </row>
    <row r="596" spans="1:12">
      <c r="A596" s="109">
        <v>45435</v>
      </c>
      <c r="B596" s="106">
        <f>VLOOKUP(A596,Sheet2!A:C,2,FALSE)</f>
        <v>274.3</v>
      </c>
      <c r="C596" s="106">
        <v>3650</v>
      </c>
      <c r="D596" s="106">
        <f>VLOOKUP(A596,Sheet4!A:C,2,FALSE)</f>
        <v>956</v>
      </c>
      <c r="E596" s="106">
        <f>VLOOKUP(A596,Sheet5!A:B,2,FALSE)</f>
        <v>7.2419</v>
      </c>
      <c r="F596" s="106">
        <f>VLOOKUP(A596,Sheet6!A:B,2,FALSE)</f>
        <v>105.11</v>
      </c>
      <c r="G596" s="106">
        <f>VLOOKUP(A596,WTI原油期货!A:B,2,FALSE)</f>
        <v>76.46</v>
      </c>
      <c r="H596" s="106">
        <f>VLOOKUP(A596,天然气期货!A:B,2,FALSE)</f>
        <v>2.923</v>
      </c>
      <c r="I596" s="111">
        <f>VLOOKUP(A596,黄金期货!A:B,2,FALSE)</f>
        <v>2337.2</v>
      </c>
      <c r="J596" s="106">
        <f>VLOOKUP(A596,Sheet2!A:C,3,FALSE)</f>
        <v>915</v>
      </c>
      <c r="L596" s="112">
        <f t="shared" si="29"/>
        <v>0</v>
      </c>
    </row>
    <row r="597" spans="1:12">
      <c r="A597" s="109">
        <v>45436</v>
      </c>
      <c r="B597" s="106">
        <f>VLOOKUP(A597,Sheet2!A:C,2,FALSE)</f>
        <v>278.8</v>
      </c>
      <c r="C597" s="106">
        <v>3650</v>
      </c>
      <c r="D597" s="106">
        <f>VLOOKUP(A597,Sheet4!A:C,2,FALSE)</f>
        <v>955</v>
      </c>
      <c r="E597" s="106">
        <f>VLOOKUP(A597,Sheet5!A:B,2,FALSE)</f>
        <v>7.243</v>
      </c>
      <c r="F597" s="106">
        <f>VLOOKUP(A597,Sheet6!A:B,2,FALSE)</f>
        <v>104.72</v>
      </c>
      <c r="G597" s="106">
        <f>VLOOKUP(A597,WTI原油期货!A:B,2,FALSE)</f>
        <v>77.23</v>
      </c>
      <c r="H597" s="106">
        <f>VLOOKUP(A597,天然气期货!A:B,2,FALSE)</f>
        <v>2.773</v>
      </c>
      <c r="I597" s="111">
        <f>VLOOKUP(A597,黄金期货!A:B,2,FALSE)</f>
        <v>2334.5</v>
      </c>
      <c r="J597" s="106">
        <f>VLOOKUP(A597,Sheet2!A:C,3,FALSE)</f>
        <v>915</v>
      </c>
      <c r="L597" s="112">
        <f t="shared" si="29"/>
        <v>0</v>
      </c>
    </row>
    <row r="598" spans="1:12">
      <c r="A598" s="109">
        <v>45439</v>
      </c>
      <c r="B598" s="106">
        <f>VLOOKUP(A598,Sheet2!A:C,2,FALSE)</f>
        <v>286.8</v>
      </c>
      <c r="C598" s="106">
        <v>3650</v>
      </c>
      <c r="D598" s="106">
        <f>VLOOKUP(A598,Sheet4!A:C,2,FALSE)</f>
        <v>956</v>
      </c>
      <c r="E598" s="106">
        <f>VLOOKUP(A598,Sheet5!A:B,2,FALSE)</f>
        <v>7.2445</v>
      </c>
      <c r="F598" s="106">
        <f>VLOOKUP(A598,Sheet6!A:B,2,FALSE)</f>
        <v>104.6</v>
      </c>
      <c r="G598" s="106">
        <f>VLOOKUP(A598,WTI原油期货!A:B,2,FALSE)</f>
        <v>78.65</v>
      </c>
      <c r="H598" s="106">
        <f>VLOOKUP(A598,天然气期货!A:B,2,FALSE)</f>
        <v>2.78</v>
      </c>
      <c r="I598" s="111">
        <f>VLOOKUP(A598,黄金期货!A:B,2,FALSE)</f>
        <v>2356.5</v>
      </c>
      <c r="J598" s="106">
        <f>VLOOKUP(A598,Sheet2!A:C,3,FALSE)</f>
        <v>915</v>
      </c>
      <c r="L598" s="112">
        <f t="shared" si="29"/>
        <v>0</v>
      </c>
    </row>
    <row r="599" spans="1:12">
      <c r="A599" s="109">
        <v>45440</v>
      </c>
      <c r="B599" s="106">
        <f>VLOOKUP(A599,Sheet2!A:C,2,FALSE)</f>
        <v>284.9</v>
      </c>
      <c r="C599" s="106">
        <v>3650</v>
      </c>
      <c r="D599" s="106">
        <f>VLOOKUP(A599,Sheet4!A:C,2,FALSE)</f>
        <v>959</v>
      </c>
      <c r="E599" s="106">
        <f>VLOOKUP(A599,Sheet5!A:B,2,FALSE)</f>
        <v>7.245</v>
      </c>
      <c r="F599" s="106">
        <f>VLOOKUP(A599,Sheet6!A:B,2,FALSE)</f>
        <v>104.61</v>
      </c>
      <c r="G599" s="106">
        <f>VLOOKUP(A599,WTI原油期货!A:B,2,FALSE)</f>
        <v>79.35</v>
      </c>
      <c r="H599" s="106">
        <f>VLOOKUP(A599,天然气期货!A:B,2,FALSE)</f>
        <v>2.825</v>
      </c>
      <c r="I599" s="111">
        <f>VLOOKUP(A599,黄金期货!A:B,2,FALSE)</f>
        <v>2356.5</v>
      </c>
      <c r="J599" s="106">
        <f>VLOOKUP(A599,Sheet2!A:C,3,FALSE)</f>
        <v>915</v>
      </c>
      <c r="L599" s="112">
        <f t="shared" si="29"/>
        <v>0</v>
      </c>
    </row>
    <row r="600" spans="1:12">
      <c r="A600" s="109">
        <v>45441</v>
      </c>
      <c r="B600" s="106">
        <f>VLOOKUP(A600,Sheet2!A:C,2,FALSE)</f>
        <v>283.2</v>
      </c>
      <c r="C600" s="106">
        <v>3600</v>
      </c>
      <c r="D600" s="106">
        <f>VLOOKUP(A600,Sheet4!A:C,2,FALSE)</f>
        <v>959</v>
      </c>
      <c r="E600" s="106">
        <f>VLOOKUP(A600,Sheet5!A:B,2,FALSE)</f>
        <v>7.2492</v>
      </c>
      <c r="F600" s="106">
        <f>VLOOKUP(A600,Sheet6!A:B,2,FALSE)</f>
        <v>105.1</v>
      </c>
      <c r="G600" s="106">
        <f>VLOOKUP(A600,WTI原油期货!A:B,2,FALSE)</f>
        <v>78.8</v>
      </c>
      <c r="H600" s="106">
        <f>VLOOKUP(A600,天然气期货!A:B,2,FALSE)</f>
        <v>2.666</v>
      </c>
      <c r="I600" s="111">
        <f>VLOOKUP(A600,黄金期货!A:B,2,FALSE)</f>
        <v>2341.2</v>
      </c>
      <c r="J600" s="106">
        <f>VLOOKUP(A600,Sheet2!A:C,3,FALSE)</f>
        <v>920</v>
      </c>
      <c r="L600" s="112">
        <f t="shared" si="29"/>
        <v>0.00546448087431694</v>
      </c>
    </row>
    <row r="601" spans="1:12">
      <c r="A601" s="109">
        <v>45442</v>
      </c>
      <c r="B601" s="106">
        <f>VLOOKUP(A601,Sheet2!A:C,2,FALSE)</f>
        <v>280.9</v>
      </c>
      <c r="C601" s="106">
        <v>3650</v>
      </c>
      <c r="D601" s="106">
        <f>VLOOKUP(A601,Sheet4!A:C,2,FALSE)</f>
        <v>960</v>
      </c>
      <c r="E601" s="106">
        <f>VLOOKUP(A601,Sheet5!A:B,2,FALSE)</f>
        <v>7.2326</v>
      </c>
      <c r="F601" s="106">
        <f>VLOOKUP(A601,Sheet6!A:B,2,FALSE)</f>
        <v>104.72</v>
      </c>
      <c r="G601" s="106">
        <f>VLOOKUP(A601,WTI原油期货!A:B,2,FALSE)</f>
        <v>77.54</v>
      </c>
      <c r="H601" s="106">
        <f>VLOOKUP(A601,天然气期货!A:B,2,FALSE)</f>
        <v>2.647</v>
      </c>
      <c r="I601" s="111">
        <f>VLOOKUP(A601,黄金期货!A:B,2,FALSE)</f>
        <v>2354.7</v>
      </c>
      <c r="J601" s="106">
        <f>VLOOKUP(A601,Sheet2!A:C,3,FALSE)</f>
        <v>920</v>
      </c>
      <c r="L601" s="112">
        <f t="shared" si="29"/>
        <v>0</v>
      </c>
    </row>
    <row r="602" spans="1:12">
      <c r="A602" s="109">
        <v>45443</v>
      </c>
      <c r="B602" s="106">
        <f>VLOOKUP(A602,Sheet2!A:C,2,FALSE)</f>
        <v>279.3</v>
      </c>
      <c r="C602" s="106">
        <v>3650</v>
      </c>
      <c r="D602" s="106">
        <f>VLOOKUP(A602,Sheet4!A:C,2,FALSE)</f>
        <v>959</v>
      </c>
      <c r="E602" s="106">
        <f>VLOOKUP(A602,Sheet5!A:B,2,FALSE)</f>
        <v>7.2418</v>
      </c>
      <c r="F602" s="106">
        <f>VLOOKUP(A602,Sheet6!A:B,2,FALSE)</f>
        <v>104.67</v>
      </c>
      <c r="G602" s="106">
        <f>VLOOKUP(A602,WTI原油期货!A:B,2,FALSE)</f>
        <v>76.73</v>
      </c>
      <c r="H602" s="106">
        <f>VLOOKUP(A602,天然气期货!A:B,2,FALSE)</f>
        <v>2.662</v>
      </c>
      <c r="I602" s="111">
        <f>VLOOKUP(A602,黄金期货!A:B,2,FALSE)</f>
        <v>2333.9</v>
      </c>
      <c r="J602" s="106">
        <f>VLOOKUP(A602,Sheet2!A:C,3,FALSE)</f>
        <v>915</v>
      </c>
      <c r="L602" s="112">
        <f t="shared" si="29"/>
        <v>-0.00543478260869565</v>
      </c>
    </row>
    <row r="603" spans="1:12">
      <c r="A603" s="109">
        <v>45446</v>
      </c>
      <c r="B603" s="106">
        <f>VLOOKUP(A603,Sheet2!A:C,2,FALSE)</f>
        <v>280.4</v>
      </c>
      <c r="C603" s="106">
        <v>3650</v>
      </c>
      <c r="D603" s="106">
        <f>VLOOKUP(A603,Sheet4!A:C,2,FALSE)</f>
        <v>957</v>
      </c>
      <c r="E603" s="106">
        <f>VLOOKUP(A603,Sheet5!A:B,2,FALSE)</f>
        <v>7.2423</v>
      </c>
      <c r="F603" s="106">
        <f>VLOOKUP(A603,Sheet6!A:B,2,FALSE)</f>
        <v>104.14</v>
      </c>
      <c r="G603" s="106">
        <f>VLOOKUP(A603,WTI原油期货!A:B,2,FALSE)</f>
        <v>74.09</v>
      </c>
      <c r="H603" s="106">
        <f>VLOOKUP(A603,天然气期货!A:B,2,FALSE)</f>
        <v>2.804</v>
      </c>
      <c r="I603" s="111">
        <f>VLOOKUP(A603,黄金期货!A:B,2,FALSE)</f>
        <v>2357.5</v>
      </c>
      <c r="J603" s="106">
        <f>VLOOKUP(A603,Sheet2!A:C,3,FALSE)</f>
        <v>915</v>
      </c>
      <c r="L603" s="112">
        <f t="shared" si="29"/>
        <v>0</v>
      </c>
    </row>
    <row r="604" spans="1:12">
      <c r="A604" s="109">
        <v>45447</v>
      </c>
      <c r="B604" s="106">
        <f>VLOOKUP(A604,Sheet2!A:C,2,FALSE)</f>
        <v>279.7</v>
      </c>
      <c r="C604" s="106">
        <v>3650</v>
      </c>
      <c r="D604" s="106">
        <f>VLOOKUP(A604,Sheet4!A:C,2,FALSE)</f>
        <v>956</v>
      </c>
      <c r="E604" s="106">
        <f>VLOOKUP(A604,Sheet5!A:B,2,FALSE)</f>
        <v>7.2398</v>
      </c>
      <c r="F604" s="106">
        <f>VLOOKUP(A604,Sheet6!A:B,2,FALSE)</f>
        <v>104.11</v>
      </c>
      <c r="G604" s="106">
        <f>VLOOKUP(A604,WTI原油期货!A:B,2,FALSE)</f>
        <v>73.06</v>
      </c>
      <c r="H604" s="106">
        <f>VLOOKUP(A604,天然气期货!A:B,2,FALSE)</f>
        <v>2.67</v>
      </c>
      <c r="I604" s="111">
        <f>VLOOKUP(A604,黄金期货!A:B,2,FALSE)</f>
        <v>2335.7</v>
      </c>
      <c r="J604" s="106">
        <f>VLOOKUP(A604,Sheet2!A:C,3,FALSE)</f>
        <v>915</v>
      </c>
      <c r="L604" s="112">
        <f t="shared" si="29"/>
        <v>0</v>
      </c>
    </row>
    <row r="605" spans="1:12">
      <c r="A605" s="109">
        <v>45448</v>
      </c>
      <c r="B605" s="106">
        <f>VLOOKUP(A605,Sheet2!A:C,2,FALSE)</f>
        <v>279</v>
      </c>
      <c r="C605" s="106">
        <v>3650</v>
      </c>
      <c r="D605" s="106">
        <f>VLOOKUP(A605,Sheet4!A:C,2,FALSE)</f>
        <v>955</v>
      </c>
      <c r="E605" s="106">
        <f>VLOOKUP(A605,Sheet5!A:B,2,FALSE)</f>
        <v>7.2477</v>
      </c>
      <c r="F605" s="106">
        <f>VLOOKUP(A605,Sheet6!A:B,2,FALSE)</f>
        <v>104.27</v>
      </c>
      <c r="G605" s="106">
        <f>VLOOKUP(A605,WTI原油期货!A:B,2,FALSE)</f>
        <v>73.82</v>
      </c>
      <c r="H605" s="106">
        <f>VLOOKUP(A605,天然气期货!A:B,2,FALSE)</f>
        <v>2.828</v>
      </c>
      <c r="I605" s="111">
        <f>VLOOKUP(A605,黄金期货!A:B,2,FALSE)</f>
        <v>2363.6</v>
      </c>
      <c r="J605" s="106">
        <f>VLOOKUP(A605,Sheet2!A:C,3,FALSE)</f>
        <v>915</v>
      </c>
      <c r="L605" s="112">
        <f t="shared" si="29"/>
        <v>0</v>
      </c>
    </row>
    <row r="606" spans="1:12">
      <c r="A606" s="109">
        <v>45449</v>
      </c>
      <c r="B606" s="106">
        <f>VLOOKUP(A606,Sheet2!A:C,2,FALSE)</f>
        <v>276.1</v>
      </c>
      <c r="C606" s="106">
        <v>3650</v>
      </c>
      <c r="D606" s="106">
        <f>VLOOKUP(A606,Sheet4!A:C,2,FALSE)</f>
        <v>955</v>
      </c>
      <c r="E606" s="106">
        <f>VLOOKUP(A606,Sheet5!A:B,2,FALSE)</f>
        <v>7.2451</v>
      </c>
      <c r="F606" s="106">
        <f>VLOOKUP(A606,Sheet6!A:B,2,FALSE)</f>
        <v>104.1</v>
      </c>
      <c r="G606" s="106">
        <f>VLOOKUP(A606,WTI原油期货!A:B,2,FALSE)</f>
        <v>75.24</v>
      </c>
      <c r="H606" s="106">
        <f>VLOOKUP(A606,天然气期货!A:B,2,FALSE)</f>
        <v>2.892</v>
      </c>
      <c r="I606" s="111">
        <f>VLOOKUP(A606,黄金期货!A:B,2,FALSE)</f>
        <v>2378.9</v>
      </c>
      <c r="J606" s="106">
        <f>VLOOKUP(A606,Sheet2!A:C,3,FALSE)</f>
        <v>915</v>
      </c>
      <c r="L606" s="112">
        <f t="shared" si="29"/>
        <v>0</v>
      </c>
    </row>
    <row r="607" spans="1:12">
      <c r="A607" s="109">
        <v>45450</v>
      </c>
      <c r="B607" s="106">
        <f>VLOOKUP(A607,Sheet2!A:C,2,FALSE)</f>
        <v>274.3</v>
      </c>
      <c r="C607" s="106">
        <v>3650</v>
      </c>
      <c r="D607" s="106">
        <f>VLOOKUP(A607,Sheet4!A:C,2,FALSE)</f>
        <v>956</v>
      </c>
      <c r="E607" s="106">
        <f>VLOOKUP(A607,Sheet5!A:B,2,FALSE)</f>
        <v>7.2478</v>
      </c>
      <c r="F607" s="106">
        <f>VLOOKUP(A607,Sheet6!A:B,2,FALSE)</f>
        <v>104.89</v>
      </c>
      <c r="G607" s="106">
        <f>VLOOKUP(A607,WTI原油期货!A:B,2,FALSE)</f>
        <v>75.22</v>
      </c>
      <c r="H607" s="106">
        <f>VLOOKUP(A607,天然气期货!A:B,2,FALSE)</f>
        <v>2.996</v>
      </c>
      <c r="I607" s="111">
        <f>VLOOKUP(A607,黄金期货!A:B,2,FALSE)</f>
        <v>2313.2</v>
      </c>
      <c r="J607" s="106">
        <f>VLOOKUP(A607,Sheet2!A:C,3,FALSE)</f>
        <v>915</v>
      </c>
      <c r="L607" s="112">
        <f t="shared" si="29"/>
        <v>0</v>
      </c>
    </row>
    <row r="608" spans="1:12">
      <c r="A608" s="109">
        <v>45454</v>
      </c>
      <c r="B608" s="106">
        <f>VLOOKUP(A608,Sheet2!A:C,2,FALSE)</f>
        <v>277</v>
      </c>
      <c r="C608" s="106">
        <v>3650</v>
      </c>
      <c r="D608" s="106">
        <f>VLOOKUP(A608,Sheet4!A:C,2,FALSE)</f>
        <v>955</v>
      </c>
      <c r="E608" s="106">
        <f>VLOOKUP(A608,Sheet5!A:B,2,FALSE)</f>
        <v>7.2545</v>
      </c>
      <c r="F608" s="106">
        <f>VLOOKUP(A608,Sheet6!A:B,2,FALSE)</f>
        <v>105.23</v>
      </c>
      <c r="G608" s="106">
        <f>VLOOKUP(A608,WTI原油期货!A:B,2,FALSE)</f>
        <v>77.55</v>
      </c>
      <c r="H608" s="106">
        <f>VLOOKUP(A608,天然气期货!A:B,2,FALSE)</f>
        <v>3.193</v>
      </c>
      <c r="I608" s="111">
        <f>VLOOKUP(A608,黄金期货!A:B,2,FALSE)</f>
        <v>2314.6</v>
      </c>
      <c r="J608" s="106">
        <f>VLOOKUP(A608,Sheet2!A:C,3,FALSE)</f>
        <v>915</v>
      </c>
      <c r="L608" s="112">
        <f t="shared" si="29"/>
        <v>0</v>
      </c>
    </row>
    <row r="609" spans="1:12">
      <c r="A609" s="109">
        <v>45455</v>
      </c>
      <c r="B609" s="106">
        <f>VLOOKUP(A609,Sheet2!A:C,2,FALSE)</f>
        <v>275.7</v>
      </c>
      <c r="C609" s="106">
        <v>3650</v>
      </c>
      <c r="D609" s="106">
        <f>VLOOKUP(A609,Sheet4!A:C,2,FALSE)</f>
        <v>955</v>
      </c>
      <c r="E609" s="106">
        <f>VLOOKUP(A609,Sheet5!A:B,2,FALSE)</f>
        <v>7.2398</v>
      </c>
      <c r="F609" s="106">
        <f>VLOOKUP(A609,Sheet6!A:B,2,FALSE)</f>
        <v>104.64</v>
      </c>
      <c r="G609" s="106">
        <f>VLOOKUP(A609,WTI原油期货!A:B,2,FALSE)</f>
        <v>78.15</v>
      </c>
      <c r="H609" s="106">
        <f>VLOOKUP(A609,天然气期货!A:B,2,FALSE)</f>
        <v>3.122</v>
      </c>
      <c r="I609" s="111">
        <f>VLOOKUP(A609,黄金期货!A:B,2,FALSE)</f>
        <v>2342.7</v>
      </c>
      <c r="J609" s="106">
        <f>VLOOKUP(A609,Sheet2!A:C,3,FALSE)</f>
        <v>915</v>
      </c>
      <c r="L609" s="112">
        <f t="shared" si="29"/>
        <v>0</v>
      </c>
    </row>
    <row r="610" spans="1:12">
      <c r="A610" s="109">
        <v>45456</v>
      </c>
      <c r="B610" s="106">
        <f>VLOOKUP(A610,Sheet2!A:C,2,FALSE)</f>
        <v>278.8</v>
      </c>
      <c r="C610" s="106">
        <v>3650</v>
      </c>
      <c r="D610" s="106">
        <f>VLOOKUP(A610,Sheet4!A:C,2,FALSE)</f>
        <v>955</v>
      </c>
      <c r="E610" s="106">
        <f>VLOOKUP(A610,Sheet5!A:B,2,FALSE)</f>
        <v>7.2525</v>
      </c>
      <c r="F610" s="106">
        <f>VLOOKUP(A610,Sheet6!A:B,2,FALSE)</f>
        <v>105.2</v>
      </c>
      <c r="G610" s="106">
        <f>VLOOKUP(A610,WTI原油期货!A:B,2,FALSE)</f>
        <v>78.26</v>
      </c>
      <c r="H610" s="106">
        <f>VLOOKUP(A610,天然气期货!A:B,2,FALSE)</f>
        <v>3.037</v>
      </c>
      <c r="I610" s="111">
        <f>VLOOKUP(A610,黄金期货!A:B,2,FALSE)</f>
        <v>2305.9</v>
      </c>
      <c r="J610" s="106">
        <f>VLOOKUP(A610,Sheet2!A:C,3,FALSE)</f>
        <v>915</v>
      </c>
      <c r="L610" s="112">
        <f t="shared" si="29"/>
        <v>0</v>
      </c>
    </row>
    <row r="611" spans="1:12">
      <c r="A611" s="109">
        <v>45457</v>
      </c>
      <c r="B611" s="106">
        <f>VLOOKUP(A611,Sheet2!A:C,2,FALSE)</f>
        <v>276.3</v>
      </c>
      <c r="C611" s="106">
        <v>3650</v>
      </c>
      <c r="D611" s="106">
        <f>VLOOKUP(A611,Sheet4!A:C,2,FALSE)</f>
        <v>954</v>
      </c>
      <c r="E611" s="106">
        <f>VLOOKUP(A611,Sheet5!A:B,2,FALSE)</f>
        <v>7.2558</v>
      </c>
      <c r="F611" s="106">
        <f>VLOOKUP(A611,Sheet6!A:B,2,FALSE)</f>
        <v>105.55</v>
      </c>
      <c r="G611" s="106">
        <f>VLOOKUP(A611,WTI原油期货!A:B,2,FALSE)</f>
        <v>78.05</v>
      </c>
      <c r="H611" s="106">
        <f>VLOOKUP(A611,天然气期货!A:B,2,FALSE)</f>
        <v>2.963</v>
      </c>
      <c r="I611" s="111">
        <f>VLOOKUP(A611,黄金期货!A:B,2,FALSE)</f>
        <v>2337</v>
      </c>
      <c r="J611" s="106">
        <f>VLOOKUP(A611,Sheet2!A:C,3,FALSE)</f>
        <v>915</v>
      </c>
      <c r="L611" s="112">
        <f t="shared" si="29"/>
        <v>0</v>
      </c>
    </row>
    <row r="612" spans="1:12">
      <c r="A612" s="109">
        <v>45460</v>
      </c>
      <c r="B612" s="106">
        <f>VLOOKUP(A612,Sheet2!A:C,2,FALSE)</f>
        <v>272.1</v>
      </c>
      <c r="C612" s="106">
        <v>3650</v>
      </c>
      <c r="D612" s="106">
        <f>VLOOKUP(A612,Sheet4!A:C,2,FALSE)</f>
        <v>953</v>
      </c>
      <c r="E612" s="106">
        <f>VLOOKUP(A612,Sheet5!A:B,2,FALSE)</f>
        <v>7.2562</v>
      </c>
      <c r="F612" s="106">
        <f>VLOOKUP(A612,Sheet6!A:B,2,FALSE)</f>
        <v>105.32</v>
      </c>
      <c r="G612" s="106">
        <f>VLOOKUP(A612,WTI原油期货!A:B,2,FALSE)</f>
        <v>79.72</v>
      </c>
      <c r="H612" s="106">
        <f>VLOOKUP(A612,天然气期货!A:B,2,FALSE)</f>
        <v>2.867</v>
      </c>
      <c r="I612" s="111">
        <f>VLOOKUP(A612,黄金期货!A:B,2,FALSE)</f>
        <v>2316.9</v>
      </c>
      <c r="J612" s="106">
        <f>VLOOKUP(A612,Sheet2!A:C,3,FALSE)</f>
        <v>925</v>
      </c>
      <c r="L612" s="112">
        <f t="shared" si="29"/>
        <v>0.0109289617486339</v>
      </c>
    </row>
    <row r="613" spans="1:12">
      <c r="A613" s="109">
        <v>45461</v>
      </c>
      <c r="B613" s="106">
        <f>VLOOKUP(A613,Sheet2!A:C,2,FALSE)</f>
        <v>272.8</v>
      </c>
      <c r="C613" s="106">
        <v>3650</v>
      </c>
      <c r="D613" s="106">
        <f>VLOOKUP(A613,Sheet4!A:C,2,FALSE)</f>
        <v>952</v>
      </c>
      <c r="E613" s="106">
        <f>VLOOKUP(A613,Sheet5!A:B,2,FALSE)</f>
        <v>7.2545</v>
      </c>
      <c r="F613" s="106">
        <f>VLOOKUP(A613,Sheet6!A:B,2,FALSE)</f>
        <v>105.26</v>
      </c>
      <c r="G613" s="106">
        <f>VLOOKUP(A613,WTI原油期货!A:B,2,FALSE)</f>
        <v>80.71</v>
      </c>
      <c r="H613" s="106">
        <f>VLOOKUP(A613,天然气期货!A:B,2,FALSE)</f>
        <v>2.99</v>
      </c>
      <c r="I613" s="111">
        <f>VLOOKUP(A613,黄金期货!A:B,2,FALSE)</f>
        <v>2334.8</v>
      </c>
      <c r="J613" s="106">
        <f>VLOOKUP(A613,Sheet2!A:C,3,FALSE)</f>
        <v>935</v>
      </c>
      <c r="L613" s="112">
        <f t="shared" si="29"/>
        <v>0.0108108108108108</v>
      </c>
    </row>
    <row r="614" spans="1:12">
      <c r="A614" s="109">
        <v>45462</v>
      </c>
      <c r="B614" s="106">
        <f>VLOOKUP(A614,Sheet2!A:C,2,FALSE)</f>
        <v>270</v>
      </c>
      <c r="C614" s="106">
        <v>3650</v>
      </c>
      <c r="D614" s="106">
        <f>VLOOKUP(A614,Sheet4!A:C,2,FALSE)</f>
        <v>952</v>
      </c>
      <c r="E614" s="106">
        <f>VLOOKUP(A614,Sheet5!A:B,2,FALSE)</f>
        <v>7.257</v>
      </c>
      <c r="F614" s="106">
        <f>VLOOKUP(A614,Sheet6!A:B,2,FALSE)</f>
        <v>105.25</v>
      </c>
      <c r="G614" s="106">
        <f>VLOOKUP(A614,WTI原油期货!A:B,2,FALSE)</f>
        <v>80.59</v>
      </c>
      <c r="H614" s="106">
        <f>VLOOKUP(A614,天然气期货!A:B,2,FALSE)</f>
        <v>2.916</v>
      </c>
      <c r="I614" s="111">
        <f>VLOOKUP(A614,黄金期货!A:B,2,FALSE)</f>
        <v>2343</v>
      </c>
      <c r="J614" s="106">
        <f>VLOOKUP(A614,Sheet2!A:C,3,FALSE)</f>
        <v>935</v>
      </c>
      <c r="L614" s="112">
        <f t="shared" si="29"/>
        <v>0</v>
      </c>
    </row>
    <row r="615" spans="1:12">
      <c r="A615" s="109">
        <v>45463</v>
      </c>
      <c r="B615" s="106">
        <f>VLOOKUP(A615,Sheet2!A:C,2,FALSE)</f>
        <v>269</v>
      </c>
      <c r="C615" s="106">
        <v>3650</v>
      </c>
      <c r="D615" s="106">
        <f>VLOOKUP(A615,Sheet4!A:C,2,FALSE)</f>
        <v>952</v>
      </c>
      <c r="E615" s="106">
        <f>VLOOKUP(A615,Sheet5!A:B,2,FALSE)</f>
        <v>7.2605</v>
      </c>
      <c r="F615" s="106">
        <f>VLOOKUP(A615,Sheet6!A:B,2,FALSE)</f>
        <v>105.59</v>
      </c>
      <c r="G615" s="106">
        <f>VLOOKUP(A615,WTI原油期货!A:B,2,FALSE)</f>
        <v>81.29</v>
      </c>
      <c r="H615" s="106">
        <f>VLOOKUP(A615,天然气期货!A:B,2,FALSE)</f>
        <v>2.854</v>
      </c>
      <c r="I615" s="111">
        <f>VLOOKUP(A615,黄金期货!A:B,2,FALSE)</f>
        <v>2357</v>
      </c>
      <c r="J615" s="106">
        <f>VLOOKUP(A615,Sheet2!A:C,3,FALSE)</f>
        <v>935</v>
      </c>
      <c r="L615" s="112">
        <f t="shared" si="29"/>
        <v>0</v>
      </c>
    </row>
    <row r="616" spans="1:12">
      <c r="A616" s="109">
        <v>45464</v>
      </c>
      <c r="B616" s="106">
        <f>VLOOKUP(A616,Sheet2!A:C,2,FALSE)</f>
        <v>267</v>
      </c>
      <c r="C616" s="106">
        <v>3650</v>
      </c>
      <c r="D616" s="106">
        <f>VLOOKUP(A616,Sheet4!A:C,2,FALSE)</f>
        <v>951</v>
      </c>
      <c r="E616" s="106">
        <f>VLOOKUP(A616,Sheet5!A:B,2,FALSE)</f>
        <v>7.261</v>
      </c>
      <c r="F616" s="106">
        <f>VLOOKUP(A616,Sheet6!A:B,2,FALSE)</f>
        <v>105.8</v>
      </c>
      <c r="G616" s="106">
        <f>VLOOKUP(A616,WTI原油期货!A:B,2,FALSE)</f>
        <v>79.96</v>
      </c>
      <c r="H616" s="106">
        <f>VLOOKUP(A616,天然气期货!A:B,2,FALSE)</f>
        <v>2.836</v>
      </c>
      <c r="I616" s="111">
        <f>VLOOKUP(A616,黄金期货!A:B,2,FALSE)</f>
        <v>2319.1</v>
      </c>
      <c r="J616" s="106">
        <f>VLOOKUP(A616,Sheet2!A:C,3,FALSE)</f>
        <v>935</v>
      </c>
      <c r="L616" s="112">
        <f t="shared" si="29"/>
        <v>0</v>
      </c>
    </row>
    <row r="617" spans="1:12">
      <c r="A617" s="109">
        <v>45467</v>
      </c>
      <c r="B617" s="106">
        <f>VLOOKUP(A617,Sheet2!A:C,2,FALSE)</f>
        <v>267.4</v>
      </c>
      <c r="C617" s="106">
        <v>3650</v>
      </c>
      <c r="D617" s="106">
        <f>VLOOKUP(A617,Sheet4!A:C,2,FALSE)</f>
        <v>950</v>
      </c>
      <c r="E617" s="106">
        <f>VLOOKUP(A617,Sheet5!A:B,2,FALSE)</f>
        <v>7.2592</v>
      </c>
      <c r="F617" s="106">
        <f>VLOOKUP(A617,Sheet6!A:B,2,FALSE)</f>
        <v>105.47</v>
      </c>
      <c r="G617" s="106">
        <f>VLOOKUP(A617,WTI原油期货!A:B,2,FALSE)</f>
        <v>80.86</v>
      </c>
      <c r="H617" s="106">
        <f>VLOOKUP(A617,天然气期货!A:B,2,FALSE)</f>
        <v>2.948</v>
      </c>
      <c r="I617" s="111">
        <f>VLOOKUP(A617,黄金期货!A:B,2,FALSE)</f>
        <v>2332.4</v>
      </c>
      <c r="J617" s="106">
        <f>VLOOKUP(A617,Sheet2!A:C,3,FALSE)</f>
        <v>940</v>
      </c>
      <c r="L617" s="112">
        <f t="shared" si="29"/>
        <v>0.0053475935828877</v>
      </c>
    </row>
    <row r="618" spans="1:12">
      <c r="A618" s="109">
        <v>45468</v>
      </c>
      <c r="B618" s="106">
        <f>VLOOKUP(A618,Sheet2!A:C,2,FALSE)</f>
        <v>267.1</v>
      </c>
      <c r="C618" s="106">
        <v>3650</v>
      </c>
      <c r="D618" s="106">
        <f>VLOOKUP(A618,Sheet4!A:C,2,FALSE)</f>
        <v>949</v>
      </c>
      <c r="E618" s="106">
        <f>VLOOKUP(A618,Sheet5!A:B,2,FALSE)</f>
        <v>7.263</v>
      </c>
      <c r="F618" s="106">
        <f>VLOOKUP(A618,Sheet6!A:B,2,FALSE)</f>
        <v>105.61</v>
      </c>
      <c r="G618" s="106">
        <f>VLOOKUP(A618,WTI原油期货!A:B,2,FALSE)</f>
        <v>80.07</v>
      </c>
      <c r="H618" s="106">
        <f>VLOOKUP(A618,天然气期货!A:B,2,FALSE)</f>
        <v>2.863</v>
      </c>
      <c r="I618" s="111">
        <f>VLOOKUP(A618,黄金期货!A:B,2,FALSE)</f>
        <v>2318.4</v>
      </c>
      <c r="J618" s="106">
        <f>VLOOKUP(A618,Sheet2!A:C,3,FALSE)</f>
        <v>940</v>
      </c>
      <c r="L618" s="112">
        <f t="shared" si="29"/>
        <v>0</v>
      </c>
    </row>
    <row r="619" spans="1:12">
      <c r="A619" s="109">
        <v>45469</v>
      </c>
      <c r="B619" s="106">
        <f>VLOOKUP(A619,Sheet2!A:C,2,FALSE)</f>
        <v>266.3</v>
      </c>
      <c r="C619" s="106">
        <v>3650</v>
      </c>
      <c r="D619" s="106">
        <f>VLOOKUP(A619,Sheet4!A:C,2,FALSE)</f>
        <v>947</v>
      </c>
      <c r="E619" s="106">
        <f>VLOOKUP(A619,Sheet5!A:B,2,FALSE)</f>
        <v>7.2667</v>
      </c>
      <c r="F619" s="106">
        <f>VLOOKUP(A619,Sheet6!A:B,2,FALSE)</f>
        <v>106.05</v>
      </c>
      <c r="G619" s="106">
        <f>VLOOKUP(A619,WTI原油期货!A:B,2,FALSE)</f>
        <v>80.19</v>
      </c>
      <c r="H619" s="106">
        <f>VLOOKUP(A619,天然气期货!A:B,2,FALSE)</f>
        <v>2.745</v>
      </c>
      <c r="I619" s="111">
        <f>VLOOKUP(A619,黄金期货!A:B,2,FALSE)</f>
        <v>2301</v>
      </c>
      <c r="J619" s="106">
        <f>VLOOKUP(A619,Sheet2!A:C,3,FALSE)</f>
        <v>945</v>
      </c>
      <c r="L619" s="112">
        <f t="shared" si="29"/>
        <v>0.00531914893617021</v>
      </c>
    </row>
    <row r="620" spans="1:12">
      <c r="A620" s="109">
        <v>45470</v>
      </c>
      <c r="B620" s="106">
        <f>VLOOKUP(A620,Sheet2!A:C,2,FALSE)</f>
        <v>265.6</v>
      </c>
      <c r="C620" s="106">
        <v>3650</v>
      </c>
      <c r="D620" s="106">
        <f>VLOOKUP(A620,Sheet4!A:C,2,FALSE)</f>
        <v>947</v>
      </c>
      <c r="E620" s="106">
        <f>VLOOKUP(A620,Sheet5!A:B,2,FALSE)</f>
        <v>7.2689</v>
      </c>
      <c r="F620" s="106">
        <f>VLOOKUP(A620,Sheet6!A:B,2,FALSE)</f>
        <v>105.91</v>
      </c>
      <c r="G620" s="106">
        <f>VLOOKUP(A620,WTI原油期货!A:B,2,FALSE)</f>
        <v>80.83</v>
      </c>
      <c r="H620" s="106">
        <f>VLOOKUP(A620,天然气期货!A:B,2,FALSE)</f>
        <v>2.675</v>
      </c>
      <c r="I620" s="111">
        <f>VLOOKUP(A620,黄金期货!A:B,2,FALSE)</f>
        <v>2336.6</v>
      </c>
      <c r="J620" s="106">
        <f>VLOOKUP(A620,Sheet2!A:C,3,FALSE)</f>
        <v>950</v>
      </c>
      <c r="L620" s="112">
        <f t="shared" si="29"/>
        <v>0.00529100529100529</v>
      </c>
    </row>
    <row r="621" spans="1:12">
      <c r="A621" s="109">
        <v>45471</v>
      </c>
      <c r="B621" s="106">
        <f>VLOOKUP(A621,Sheet2!A:C,2,FALSE)</f>
        <v>272</v>
      </c>
      <c r="C621" s="106">
        <v>3650</v>
      </c>
      <c r="D621" s="106">
        <f>VLOOKUP(A621,Sheet4!A:C,2,FALSE)</f>
        <v>948</v>
      </c>
      <c r="E621" s="106">
        <f>VLOOKUP(A621,Sheet5!A:B,2,FALSE)</f>
        <v>7.2673</v>
      </c>
      <c r="F621" s="106">
        <f>VLOOKUP(A621,Sheet6!A:B,2,FALSE)</f>
        <v>105.87</v>
      </c>
      <c r="G621" s="106">
        <f>VLOOKUP(A621,WTI原油期货!A:B,2,FALSE)</f>
        <v>80.64</v>
      </c>
      <c r="H621" s="106">
        <f>VLOOKUP(A621,天然气期货!A:B,2,FALSE)</f>
        <v>2.598</v>
      </c>
      <c r="I621" s="111">
        <f>VLOOKUP(A621,黄金期货!A:B,2,FALSE)</f>
        <v>2339.6</v>
      </c>
      <c r="J621" s="106">
        <f>VLOOKUP(A621,Sheet2!A:C,3,FALSE)</f>
        <v>965</v>
      </c>
      <c r="L621" s="112">
        <f t="shared" si="29"/>
        <v>0.0157894736842105</v>
      </c>
    </row>
    <row r="622" spans="1:12">
      <c r="A622" s="109">
        <v>45474</v>
      </c>
      <c r="B622" s="106">
        <f>VLOOKUP(A622,Sheet2!A:C,2,FALSE)</f>
        <v>270.2</v>
      </c>
      <c r="C622" s="106">
        <v>3650</v>
      </c>
      <c r="D622" s="106">
        <f>VLOOKUP(A622,Sheet4!A:C,2,FALSE)</f>
        <v>943</v>
      </c>
      <c r="E622" s="106">
        <f>VLOOKUP(A622,Sheet5!A:B,2,FALSE)</f>
        <v>7.2684</v>
      </c>
      <c r="F622" s="106">
        <f>VLOOKUP(A622,Sheet6!A:B,2,FALSE)</f>
        <v>105.9</v>
      </c>
      <c r="G622" s="106">
        <f>VLOOKUP(A622,WTI原油期货!A:B,2,FALSE)</f>
        <v>82.32</v>
      </c>
      <c r="H622" s="106">
        <f>VLOOKUP(A622,天然气期货!A:B,2,FALSE)</f>
        <v>2.492</v>
      </c>
      <c r="I622" s="111">
        <f>VLOOKUP(A622,黄金期货!A:B,2,FALSE)</f>
        <v>2338.9</v>
      </c>
      <c r="J622" s="106">
        <f>VLOOKUP(A622,Sheet2!A:C,3,FALSE)</f>
        <v>980</v>
      </c>
      <c r="L622" s="112">
        <f t="shared" si="29"/>
        <v>0.0155440414507772</v>
      </c>
    </row>
    <row r="623" spans="1:12">
      <c r="A623" s="109">
        <v>45475</v>
      </c>
      <c r="B623" s="106">
        <f>VLOOKUP(A623,Sheet2!A:C,2,FALSE)</f>
        <v>266.5</v>
      </c>
      <c r="C623" s="106">
        <v>3650</v>
      </c>
      <c r="D623" s="106">
        <f>VLOOKUP(A623,Sheet4!A:C,2,FALSE)</f>
        <v>943</v>
      </c>
      <c r="E623" s="106">
        <f>VLOOKUP(A623,Sheet5!A:B,2,FALSE)</f>
        <v>7.2713</v>
      </c>
      <c r="F623" s="106">
        <f>VLOOKUP(A623,Sheet6!A:B,2,FALSE)</f>
        <v>105.72</v>
      </c>
      <c r="G623" s="106">
        <f>VLOOKUP(A623,WTI原油期货!A:B,2,FALSE)</f>
        <v>81.91</v>
      </c>
      <c r="H623" s="106">
        <f>VLOOKUP(A623,天然气期货!A:B,2,FALSE)</f>
        <v>2.454</v>
      </c>
      <c r="I623" s="111">
        <f>VLOOKUP(A623,黄金期货!A:B,2,FALSE)</f>
        <v>2333.4</v>
      </c>
      <c r="J623" s="106">
        <f>VLOOKUP(A623,Sheet2!A:C,3,FALSE)</f>
        <v>1000</v>
      </c>
      <c r="L623" s="112">
        <f t="shared" si="29"/>
        <v>0.0204081632653061</v>
      </c>
    </row>
    <row r="624" spans="1:12">
      <c r="A624" s="109">
        <v>45476</v>
      </c>
      <c r="B624" s="106">
        <f>VLOOKUP(A624,Sheet2!A:C,2,FALSE)</f>
        <v>265.4</v>
      </c>
      <c r="C624" s="106">
        <v>3650</v>
      </c>
      <c r="D624" s="106">
        <f>VLOOKUP(A624,Sheet4!A:C,2,FALSE)</f>
        <v>942</v>
      </c>
      <c r="E624" s="106">
        <f>VLOOKUP(A624,Sheet5!A:B,2,FALSE)</f>
        <v>7.2703</v>
      </c>
      <c r="F624" s="106">
        <f>VLOOKUP(A624,Sheet6!A:B,2,FALSE)</f>
        <v>105.4</v>
      </c>
      <c r="G624" s="106">
        <f>VLOOKUP(A624,WTI原油期货!A:B,2,FALSE)</f>
        <v>83.02</v>
      </c>
      <c r="H624" s="106">
        <f>VLOOKUP(A624,天然气期货!A:B,2,FALSE)</f>
        <v>2.447</v>
      </c>
      <c r="I624" s="111">
        <f>VLOOKUP(A624,黄金期货!A:B,2,FALSE)</f>
        <v>2369.4</v>
      </c>
      <c r="J624" s="106">
        <f>VLOOKUP(A624,Sheet2!A:C,3,FALSE)</f>
        <v>1040</v>
      </c>
      <c r="L624" s="112">
        <f t="shared" si="29"/>
        <v>0.04</v>
      </c>
    </row>
    <row r="625" spans="1:12">
      <c r="A625" s="109">
        <v>45477</v>
      </c>
      <c r="B625" s="106">
        <f>VLOOKUP(A625,Sheet2!A:C,2,FALSE)</f>
        <v>263.1</v>
      </c>
      <c r="C625" s="106">
        <v>3650</v>
      </c>
      <c r="D625" s="106">
        <f>VLOOKUP(A625,Sheet4!A:C,2,FALSE)</f>
        <v>942</v>
      </c>
      <c r="E625" s="106">
        <f>VLOOKUP(A625,Sheet5!A:B,2,FALSE)</f>
        <v>7.2682</v>
      </c>
      <c r="F625" s="106">
        <f>VLOOKUP(A625,Sheet6!A:B,2,FALSE)</f>
        <v>105.13</v>
      </c>
      <c r="G625" s="106">
        <f>VLOOKUP(A625,WTI原油期货!A:B,2,FALSE)</f>
        <v>83.94</v>
      </c>
      <c r="H625" s="106">
        <f>VLOOKUP(A625,天然气期货!A:B,2,FALSE)</f>
        <v>2.371</v>
      </c>
      <c r="I625" s="111">
        <f>VLOOKUP(A625,黄金期货!A:B,2,FALSE)</f>
        <v>2364.6</v>
      </c>
      <c r="J625" s="106">
        <f>VLOOKUP(A625,Sheet2!A:C,3,FALSE)</f>
        <v>1060</v>
      </c>
      <c r="L625" s="112">
        <f t="shared" si="29"/>
        <v>0.0192307692307692</v>
      </c>
    </row>
    <row r="626" spans="1:12">
      <c r="A626" s="109">
        <v>45478</v>
      </c>
      <c r="B626" s="106">
        <f>VLOOKUP(A626,Sheet2!A:C,2,FALSE)</f>
        <v>263.1</v>
      </c>
      <c r="C626" s="106">
        <v>3650</v>
      </c>
      <c r="D626" s="106">
        <f>VLOOKUP(A626,Sheet4!A:C,2,FALSE)</f>
        <v>942</v>
      </c>
      <c r="E626" s="106">
        <f>VLOOKUP(A626,Sheet5!A:B,2,FALSE)</f>
        <v>7.2684</v>
      </c>
      <c r="F626" s="106">
        <f>VLOOKUP(A626,Sheet6!A:B,2,FALSE)</f>
        <v>104.88</v>
      </c>
      <c r="G626" s="106">
        <f>VLOOKUP(A626,WTI原油期货!A:B,2,FALSE)</f>
        <v>82.26</v>
      </c>
      <c r="H626" s="106">
        <f>VLOOKUP(A626,天然气期货!A:B,2,FALSE)</f>
        <v>2.35</v>
      </c>
      <c r="I626" s="111">
        <f>VLOOKUP(A626,黄金期货!A:B,2,FALSE)</f>
        <v>2397.7</v>
      </c>
      <c r="J626" s="106">
        <f>VLOOKUP(A626,Sheet2!A:C,3,FALSE)</f>
        <v>1070</v>
      </c>
      <c r="L626" s="112">
        <f t="shared" si="29"/>
        <v>0.00943396226415094</v>
      </c>
    </row>
    <row r="627" spans="1:12">
      <c r="A627" s="109">
        <v>45481</v>
      </c>
      <c r="B627" s="106">
        <f>VLOOKUP(A627,Sheet2!A:C,2,FALSE)</f>
        <v>267.7</v>
      </c>
      <c r="C627" s="106">
        <v>3650</v>
      </c>
      <c r="D627" s="106">
        <f>VLOOKUP(A627,Sheet4!A:C,2,FALSE)</f>
        <v>942</v>
      </c>
      <c r="E627" s="106">
        <f>VLOOKUP(A627,Sheet5!A:B,2,FALSE)</f>
        <v>7.2687</v>
      </c>
      <c r="F627" s="106">
        <f>VLOOKUP(A627,Sheet6!A:B,2,FALSE)</f>
        <v>105</v>
      </c>
      <c r="G627" s="106">
        <f>VLOOKUP(A627,WTI原油期货!A:B,2,FALSE)</f>
        <v>81.52</v>
      </c>
      <c r="H627" s="106">
        <f>VLOOKUP(A627,天然气期货!A:B,2,FALSE)</f>
        <v>2.382</v>
      </c>
      <c r="I627" s="111">
        <f>VLOOKUP(A627,黄金期货!A:B,2,FALSE)</f>
        <v>2363.5</v>
      </c>
      <c r="J627" s="106">
        <f>VLOOKUP(A627,Sheet2!A:C,3,FALSE)</f>
        <v>1075</v>
      </c>
      <c r="L627" s="112">
        <f t="shared" si="29"/>
        <v>0.00467289719626168</v>
      </c>
    </row>
    <row r="628" spans="1:12">
      <c r="A628" s="109">
        <v>45482</v>
      </c>
      <c r="B628" s="106">
        <f>VLOOKUP(A628,Sheet2!A:C,2,FALSE)</f>
        <v>259.7</v>
      </c>
      <c r="C628" s="106">
        <v>3650</v>
      </c>
      <c r="D628" s="106">
        <f>VLOOKUP(A628,Sheet4!A:C,2,FALSE)</f>
        <v>939</v>
      </c>
      <c r="E628" s="106">
        <f>VLOOKUP(A628,Sheet5!A:B,2,FALSE)</f>
        <v>7.2726</v>
      </c>
      <c r="F628" s="106">
        <f>VLOOKUP(A628,Sheet6!A:B,2,FALSE)</f>
        <v>105.13</v>
      </c>
      <c r="G628" s="106">
        <f>VLOOKUP(A628,WTI原油期货!A:B,2,FALSE)</f>
        <v>80.56</v>
      </c>
      <c r="H628" s="106">
        <f>VLOOKUP(A628,天然气期货!A:B,2,FALSE)</f>
        <v>2.36</v>
      </c>
      <c r="I628" s="111">
        <f>VLOOKUP(A628,黄金期货!A:B,2,FALSE)</f>
        <v>2367.9</v>
      </c>
      <c r="J628" s="106">
        <f>VLOOKUP(A628,Sheet2!A:C,3,FALSE)</f>
        <v>1080</v>
      </c>
      <c r="L628" s="112">
        <f t="shared" si="29"/>
        <v>0.00465116279069767</v>
      </c>
    </row>
    <row r="629" spans="1:12">
      <c r="A629" s="109">
        <v>45483</v>
      </c>
      <c r="B629" s="106">
        <f>VLOOKUP(A629,Sheet2!A:C,2,FALSE)</f>
        <v>260</v>
      </c>
      <c r="C629" s="106">
        <v>3650</v>
      </c>
      <c r="D629" s="106">
        <f>VLOOKUP(A629,Sheet4!A:C,2,FALSE)</f>
        <v>936</v>
      </c>
      <c r="E629" s="106">
        <f>VLOOKUP(A629,Sheet5!A:B,2,FALSE)</f>
        <v>7.2761</v>
      </c>
      <c r="F629" s="106">
        <f>VLOOKUP(A629,Sheet6!A:B,2,FALSE)</f>
        <v>105.05</v>
      </c>
      <c r="G629" s="106">
        <f>VLOOKUP(A629,WTI原油期货!A:B,2,FALSE)</f>
        <v>81.07</v>
      </c>
      <c r="H629" s="106">
        <f>VLOOKUP(A629,天然气期货!A:B,2,FALSE)</f>
        <v>2.345</v>
      </c>
      <c r="I629" s="111">
        <f>VLOOKUP(A629,黄金期货!A:B,2,FALSE)</f>
        <v>2379.7</v>
      </c>
      <c r="J629" s="106">
        <f>VLOOKUP(A629,Sheet2!A:C,3,FALSE)</f>
        <v>1075</v>
      </c>
      <c r="L629" s="112">
        <f t="shared" si="29"/>
        <v>-0.00462962962962963</v>
      </c>
    </row>
    <row r="630" spans="1:12">
      <c r="A630" s="109">
        <v>45484</v>
      </c>
      <c r="B630" s="106">
        <f>VLOOKUP(A630,Sheet2!A:C,2,FALSE)</f>
        <v>257.4</v>
      </c>
      <c r="C630" s="106">
        <v>3650</v>
      </c>
      <c r="D630" s="106">
        <f>VLOOKUP(A630,Sheet4!A:C,2,FALSE)</f>
        <v>936</v>
      </c>
      <c r="E630" s="106">
        <f>VLOOKUP(A630,Sheet5!A:B,2,FALSE)</f>
        <v>7.2579</v>
      </c>
      <c r="F630" s="106">
        <f>VLOOKUP(A630,Sheet6!A:B,2,FALSE)</f>
        <v>104.44</v>
      </c>
      <c r="G630" s="106">
        <f>VLOOKUP(A630,WTI原油期货!A:B,2,FALSE)</f>
        <v>81.38</v>
      </c>
      <c r="H630" s="106">
        <f>VLOOKUP(A630,天然气期货!A:B,2,FALSE)</f>
        <v>2.282</v>
      </c>
      <c r="I630" s="111">
        <f>VLOOKUP(A630,黄金期货!A:B,2,FALSE)</f>
        <v>2421.9</v>
      </c>
      <c r="J630" s="106">
        <f>VLOOKUP(A630,Sheet2!A:C,3,FALSE)</f>
        <v>1070</v>
      </c>
      <c r="L630" s="112">
        <f t="shared" si="29"/>
        <v>-0.00465116279069767</v>
      </c>
    </row>
    <row r="631" spans="1:12">
      <c r="A631" s="109">
        <v>45485</v>
      </c>
      <c r="B631" s="106">
        <f>VLOOKUP(A631,Sheet2!A:C,2,FALSE)</f>
        <v>255.15</v>
      </c>
      <c r="C631" s="106">
        <v>3650</v>
      </c>
      <c r="D631" s="106">
        <f>VLOOKUP(A631,Sheet4!A:C,2,FALSE)</f>
        <v>937</v>
      </c>
      <c r="E631" s="106">
        <f>VLOOKUP(A631,Sheet5!A:B,2,FALSE)</f>
        <v>7.2504</v>
      </c>
      <c r="F631" s="106">
        <f>VLOOKUP(A631,Sheet6!A:B,2,FALSE)</f>
        <v>104.09</v>
      </c>
      <c r="G631" s="106">
        <f>VLOOKUP(A631,WTI原油期货!A:B,2,FALSE)</f>
        <v>81.02</v>
      </c>
      <c r="H631" s="106">
        <f>VLOOKUP(A631,天然气期货!A:B,2,FALSE)</f>
        <v>2.331</v>
      </c>
      <c r="I631" s="111">
        <f>VLOOKUP(A631,黄金期货!A:B,2,FALSE)</f>
        <v>2420.7</v>
      </c>
      <c r="J631" s="106">
        <f>VLOOKUP(A631,Sheet2!A:C,3,FALSE)</f>
        <v>1065</v>
      </c>
      <c r="L631" s="112">
        <f t="shared" si="29"/>
        <v>-0.00467289719626168</v>
      </c>
    </row>
    <row r="632" spans="1:12">
      <c r="A632" s="109">
        <v>45488</v>
      </c>
      <c r="B632" s="106">
        <f>VLOOKUP(A632,Sheet2!A:C,2,FALSE)</f>
        <v>253.8</v>
      </c>
      <c r="C632" s="106">
        <v>3650</v>
      </c>
      <c r="D632" s="106">
        <f>VLOOKUP(A632,Sheet4!A:C,2,FALSE)</f>
        <v>935</v>
      </c>
      <c r="E632" s="106">
        <f>VLOOKUP(A632,Sheet5!A:B,2,FALSE)</f>
        <v>7.2599</v>
      </c>
      <c r="F632" s="106">
        <f>VLOOKUP(A632,Sheet6!A:B,2,FALSE)</f>
        <v>104.19</v>
      </c>
      <c r="G632" s="106">
        <f>VLOOKUP(A632,WTI原油期货!A:B,2,FALSE)</f>
        <v>80.84</v>
      </c>
      <c r="H632" s="106">
        <f>VLOOKUP(A632,天然气期货!A:B,2,FALSE)</f>
        <v>2.178</v>
      </c>
      <c r="I632" s="111">
        <f>VLOOKUP(A632,黄金期货!A:B,2,FALSE)</f>
        <v>2428.9</v>
      </c>
      <c r="J632" s="106">
        <f>VLOOKUP(A632,Sheet2!A:C,3,FALSE)</f>
        <v>1060</v>
      </c>
      <c r="L632" s="112">
        <f t="shared" si="29"/>
        <v>-0.00469483568075117</v>
      </c>
    </row>
    <row r="633" spans="1:12">
      <c r="A633" s="109">
        <v>45489</v>
      </c>
      <c r="B633" s="106">
        <f>VLOOKUP(A633,Sheet2!A:C,2,FALSE)</f>
        <v>255.6</v>
      </c>
      <c r="C633" s="106">
        <v>3650</v>
      </c>
      <c r="D633" s="106">
        <f>VLOOKUP(A633,Sheet4!A:C,2,FALSE)</f>
        <v>933</v>
      </c>
      <c r="E633" s="106">
        <f>VLOOKUP(A633,Sheet5!A:B,2,FALSE)</f>
        <v>7.2686</v>
      </c>
      <c r="F633" s="106">
        <f>VLOOKUP(A633,Sheet6!A:B,2,FALSE)</f>
        <v>104.27</v>
      </c>
      <c r="G633" s="106">
        <f>VLOOKUP(A633,WTI原油期货!A:B,2,FALSE)</f>
        <v>79.71</v>
      </c>
      <c r="H633" s="106">
        <f>VLOOKUP(A633,天然气期货!A:B,2,FALSE)</f>
        <v>2.206</v>
      </c>
      <c r="I633" s="111">
        <f>VLOOKUP(A633,黄金期货!A:B,2,FALSE)</f>
        <v>2467.8</v>
      </c>
      <c r="J633" s="106">
        <f>VLOOKUP(A633,Sheet2!A:C,3,FALSE)</f>
        <v>1060</v>
      </c>
      <c r="L633" s="112">
        <f t="shared" si="29"/>
        <v>0</v>
      </c>
    </row>
    <row r="634" spans="1:12">
      <c r="A634" s="109">
        <v>45490</v>
      </c>
      <c r="B634" s="106">
        <f>VLOOKUP(A634,Sheet2!A:C,2,FALSE)</f>
        <v>255.9</v>
      </c>
      <c r="C634" s="106">
        <v>3650</v>
      </c>
      <c r="D634" s="106">
        <f>VLOOKUP(A634,Sheet4!A:C,2,FALSE)</f>
        <v>932</v>
      </c>
      <c r="E634" s="106">
        <f>VLOOKUP(A634,Sheet5!A:B,2,FALSE)</f>
        <v>7.2614</v>
      </c>
      <c r="F634" s="106">
        <f>VLOOKUP(A634,Sheet6!A:B,2,FALSE)</f>
        <v>103.75</v>
      </c>
      <c r="G634" s="106">
        <f>VLOOKUP(A634,WTI原油期货!A:B,2,FALSE)</f>
        <v>81.44</v>
      </c>
      <c r="H634" s="106">
        <f>VLOOKUP(A634,天然气期货!A:B,2,FALSE)</f>
        <v>2.071</v>
      </c>
      <c r="I634" s="111">
        <f>VLOOKUP(A634,黄金期货!A:B,2,FALSE)</f>
        <v>2459.9</v>
      </c>
      <c r="J634" s="106">
        <f>VLOOKUP(A634,Sheet2!A:C,3,FALSE)</f>
        <v>1060</v>
      </c>
      <c r="L634" s="112">
        <f t="shared" si="29"/>
        <v>0</v>
      </c>
    </row>
    <row r="635" spans="1:12">
      <c r="A635" s="109">
        <v>45491</v>
      </c>
      <c r="B635" s="106">
        <f>VLOOKUP(A635,Sheet2!A:C,2,FALSE)</f>
        <v>257.5</v>
      </c>
      <c r="C635" s="106">
        <v>3650</v>
      </c>
      <c r="D635" s="106">
        <f>VLOOKUP(A635,Sheet4!A:C,2,FALSE)</f>
        <v>930</v>
      </c>
      <c r="E635" s="106">
        <f>VLOOKUP(A635,Sheet5!A:B,2,FALSE)</f>
        <v>7.2605</v>
      </c>
      <c r="F635" s="106">
        <f>VLOOKUP(A635,Sheet6!A:B,2,FALSE)</f>
        <v>104.17</v>
      </c>
      <c r="G635" s="106">
        <f>VLOOKUP(A635,WTI原油期货!A:B,2,FALSE)</f>
        <v>81.3</v>
      </c>
      <c r="H635" s="106">
        <f>VLOOKUP(A635,天然气期货!A:B,2,FALSE)</f>
        <v>2.168</v>
      </c>
      <c r="I635" s="111">
        <f>VLOOKUP(A635,黄金期货!A:B,2,FALSE)</f>
        <v>2456.4</v>
      </c>
      <c r="J635" s="106">
        <f>VLOOKUP(A635,Sheet2!A:C,3,FALSE)</f>
        <v>1065</v>
      </c>
      <c r="L635" s="112">
        <f t="shared" si="29"/>
        <v>0.00471698113207547</v>
      </c>
    </row>
    <row r="636" spans="1:12">
      <c r="A636" s="109">
        <v>45492</v>
      </c>
      <c r="B636" s="106">
        <f>VLOOKUP(A636,Sheet2!A:C,2,FALSE)</f>
        <v>261.4</v>
      </c>
      <c r="C636" s="106">
        <v>3650</v>
      </c>
      <c r="D636" s="106">
        <f>VLOOKUP(A636,Sheet4!A:C,2,FALSE)</f>
        <v>929</v>
      </c>
      <c r="E636" s="106">
        <f>VLOOKUP(A636,Sheet5!A:B,2,FALSE)</f>
        <v>7.2697</v>
      </c>
      <c r="F636" s="106">
        <f>VLOOKUP(A636,Sheet6!A:B,2,FALSE)</f>
        <v>104.4</v>
      </c>
      <c r="G636" s="106">
        <f>VLOOKUP(A636,WTI原油期货!A:B,2,FALSE)</f>
        <v>78.64</v>
      </c>
      <c r="H636" s="106">
        <f>VLOOKUP(A636,天然气期货!A:B,2,FALSE)</f>
        <v>2.165</v>
      </c>
      <c r="I636" s="111">
        <f>VLOOKUP(A636,黄金期货!A:B,2,FALSE)</f>
        <v>2399.1</v>
      </c>
      <c r="J636" s="106">
        <f>VLOOKUP(A636,Sheet2!A:C,3,FALSE)</f>
        <v>1090</v>
      </c>
      <c r="L636" s="112">
        <f t="shared" si="29"/>
        <v>0.0234741784037559</v>
      </c>
    </row>
    <row r="637" spans="1:12">
      <c r="A637" s="109">
        <v>45495</v>
      </c>
      <c r="B637" s="106">
        <f>VLOOKUP(A637,Sheet2!A:C,2,FALSE)</f>
        <v>261</v>
      </c>
      <c r="C637" s="106">
        <v>3650</v>
      </c>
      <c r="D637" s="106">
        <f>VLOOKUP(A637,Sheet4!A:C,2,FALSE)</f>
        <v>927</v>
      </c>
      <c r="E637" s="106">
        <f>VLOOKUP(A637,Sheet5!A:B,2,FALSE)</f>
        <v>7.2737</v>
      </c>
      <c r="F637" s="106">
        <f>VLOOKUP(A637,Sheet6!A:B,2,FALSE)</f>
        <v>104.31</v>
      </c>
      <c r="G637" s="106">
        <f>VLOOKUP(A637,WTI原油期货!A:B,2,FALSE)</f>
        <v>78.4</v>
      </c>
      <c r="H637" s="106">
        <f>VLOOKUP(A637,天然气期货!A:B,2,FALSE)</f>
        <v>2.286</v>
      </c>
      <c r="I637" s="111">
        <f>VLOOKUP(A637,黄金期货!A:B,2,FALSE)</f>
        <v>2394.7</v>
      </c>
      <c r="J637" s="106">
        <f>VLOOKUP(A637,Sheet2!A:C,3,FALSE)</f>
        <v>1110</v>
      </c>
      <c r="L637" s="112">
        <f t="shared" si="29"/>
        <v>0.018348623853211</v>
      </c>
    </row>
    <row r="638" spans="1:12">
      <c r="A638" s="109">
        <v>45496</v>
      </c>
      <c r="B638" s="106">
        <f>VLOOKUP(A638,Sheet2!A:C,2,FALSE)</f>
        <v>264.3</v>
      </c>
      <c r="C638" s="106">
        <v>3650</v>
      </c>
      <c r="D638" s="106">
        <f>VLOOKUP(A638,Sheet4!A:C,2,FALSE)</f>
        <v>926</v>
      </c>
      <c r="E638" s="106">
        <f>VLOOKUP(A638,Sheet5!A:B,2,FALSE)</f>
        <v>7.2749</v>
      </c>
      <c r="F638" s="106">
        <f>VLOOKUP(A638,Sheet6!A:B,2,FALSE)</f>
        <v>104.45</v>
      </c>
      <c r="G638" s="106">
        <f>VLOOKUP(A638,WTI原油期货!A:B,2,FALSE)</f>
        <v>75.92</v>
      </c>
      <c r="H638" s="106">
        <f>VLOOKUP(A638,天然气期货!A:B,2,FALSE)</f>
        <v>2.224</v>
      </c>
      <c r="I638" s="111">
        <f>VLOOKUP(A638,黄金期货!A:B,2,FALSE)</f>
        <v>2407.3</v>
      </c>
      <c r="J638" s="106">
        <f>VLOOKUP(A638,Sheet2!A:C,3,FALSE)</f>
        <v>1140</v>
      </c>
      <c r="L638" s="112">
        <f t="shared" si="29"/>
        <v>0.027027027027027</v>
      </c>
    </row>
    <row r="639" spans="1:12">
      <c r="A639" s="109">
        <v>45497</v>
      </c>
      <c r="B639" s="106">
        <f>VLOOKUP(A639,Sheet2!A:C,2,FALSE)</f>
        <v>265.4</v>
      </c>
      <c r="C639" s="106">
        <v>3650</v>
      </c>
      <c r="D639" s="106">
        <f>VLOOKUP(A639,Sheet4!A:C,2,FALSE)</f>
        <v>924</v>
      </c>
      <c r="E639" s="106">
        <f>VLOOKUP(A639,Sheet5!A:B,2,FALSE)</f>
        <v>7.2629</v>
      </c>
      <c r="F639" s="106">
        <f>VLOOKUP(A639,Sheet6!A:B,2,FALSE)</f>
        <v>104.39</v>
      </c>
      <c r="G639" s="106">
        <f>VLOOKUP(A639,WTI原油期货!A:B,2,FALSE)</f>
        <v>76.58</v>
      </c>
      <c r="H639" s="106">
        <f>VLOOKUP(A639,天然气期货!A:B,2,FALSE)</f>
        <v>2.158</v>
      </c>
      <c r="I639" s="111">
        <f>VLOOKUP(A639,黄金期货!A:B,2,FALSE)</f>
        <v>2415.7</v>
      </c>
      <c r="J639" s="106">
        <f>VLOOKUP(A639,Sheet2!A:C,3,FALSE)</f>
        <v>1170</v>
      </c>
      <c r="L639" s="112">
        <f t="shared" si="29"/>
        <v>0.0263157894736842</v>
      </c>
    </row>
    <row r="640" spans="1:12">
      <c r="A640" s="109">
        <v>45498</v>
      </c>
      <c r="B640" s="106">
        <f>VLOOKUP(A640,Sheet2!A:C,2,FALSE)</f>
        <v>264.4</v>
      </c>
      <c r="C640" s="106">
        <v>3650</v>
      </c>
      <c r="D640" s="106">
        <f>VLOOKUP(A640,Sheet4!A:C,2,FALSE)</f>
        <v>921</v>
      </c>
      <c r="E640" s="106">
        <f>VLOOKUP(A640,Sheet5!A:B,2,FALSE)</f>
        <v>7.2316</v>
      </c>
      <c r="F640" s="106">
        <f>VLOOKUP(A640,Sheet6!A:B,2,FALSE)</f>
        <v>104.36</v>
      </c>
      <c r="G640" s="106">
        <f>VLOOKUP(A640,WTI原油期货!A:B,2,FALSE)</f>
        <v>77.11</v>
      </c>
      <c r="H640" s="106">
        <f>VLOOKUP(A640,天然气期货!A:B,2,FALSE)</f>
        <v>2.072</v>
      </c>
      <c r="I640" s="111">
        <f>VLOOKUP(A640,黄金期货!A:B,2,FALSE)</f>
        <v>2353.5</v>
      </c>
      <c r="J640" s="106">
        <f>VLOOKUP(A640,Sheet2!A:C,3,FALSE)</f>
        <v>1160</v>
      </c>
      <c r="L640" s="112">
        <f t="shared" si="29"/>
        <v>-0.00854700854700855</v>
      </c>
    </row>
    <row r="641" spans="1:12">
      <c r="A641" s="109">
        <v>45499</v>
      </c>
      <c r="B641" s="106">
        <f>VLOOKUP(A641,Sheet2!A:C,2,FALSE)</f>
        <v>267.8</v>
      </c>
      <c r="C641" s="106">
        <v>3650</v>
      </c>
      <c r="D641" s="106">
        <f>VLOOKUP(A641,Sheet4!A:C,2,FALSE)</f>
        <v>921</v>
      </c>
      <c r="E641" s="106">
        <f>VLOOKUP(A641,Sheet5!A:B,2,FALSE)</f>
        <v>7.2511</v>
      </c>
      <c r="F641" s="106">
        <f>VLOOKUP(A641,Sheet6!A:B,2,FALSE)</f>
        <v>104.32</v>
      </c>
      <c r="G641" s="106">
        <f>VLOOKUP(A641,WTI原油期货!A:B,2,FALSE)</f>
        <v>76</v>
      </c>
      <c r="H641" s="106">
        <f>VLOOKUP(A641,天然气期货!A:B,2,FALSE)</f>
        <v>2.051</v>
      </c>
      <c r="I641" s="111">
        <f>VLOOKUP(A641,黄金期货!A:B,2,FALSE)</f>
        <v>2381</v>
      </c>
      <c r="J641" s="106">
        <f>VLOOKUP(A641,Sheet2!A:C,3,FALSE)</f>
        <v>1155</v>
      </c>
      <c r="L641" s="112">
        <f t="shared" si="29"/>
        <v>-0.00431034482758621</v>
      </c>
    </row>
    <row r="642" spans="1:12">
      <c r="A642" s="109">
        <v>45502</v>
      </c>
      <c r="B642" s="106">
        <f>VLOOKUP(A642,Sheet2!A:C,2,FALSE)</f>
        <v>269.8</v>
      </c>
      <c r="C642" s="106">
        <v>3650</v>
      </c>
      <c r="D642" s="106">
        <f>VLOOKUP(A642,Sheet4!A:C,2,FALSE)</f>
        <v>919</v>
      </c>
      <c r="E642" s="106">
        <f>VLOOKUP(A642,Sheet5!A:B,2,FALSE)</f>
        <v>7.2601</v>
      </c>
      <c r="F642" s="106">
        <f>VLOOKUP(A642,Sheet6!A:B,2,FALSE)</f>
        <v>104.56</v>
      </c>
      <c r="G642" s="106">
        <f>VLOOKUP(A642,WTI原油期货!A:B,2,FALSE)</f>
        <v>74.8</v>
      </c>
      <c r="H642" s="106">
        <f>VLOOKUP(A642,天然气期货!A:B,2,FALSE)</f>
        <v>2.036</v>
      </c>
      <c r="I642" s="111">
        <f>VLOOKUP(A642,黄金期货!A:B,2,FALSE)</f>
        <v>2377.8</v>
      </c>
      <c r="J642" s="106">
        <f>VLOOKUP(A642,Sheet2!A:C,3,FALSE)</f>
        <v>1160</v>
      </c>
      <c r="L642" s="112">
        <f t="shared" si="29"/>
        <v>0.00432900432900433</v>
      </c>
    </row>
    <row r="643" spans="1:12">
      <c r="A643" s="109">
        <v>45503</v>
      </c>
      <c r="B643" s="106">
        <f>VLOOKUP(A643,Sheet2!A:C,2,FALSE)</f>
        <v>263.6</v>
      </c>
      <c r="C643" s="106">
        <v>3650</v>
      </c>
      <c r="D643" s="106">
        <f>VLOOKUP(A643,Sheet4!A:C,2,FALSE)</f>
        <v>915</v>
      </c>
      <c r="E643" s="106">
        <f>VLOOKUP(A643,Sheet5!A:B,2,FALSE)</f>
        <v>7.2512</v>
      </c>
      <c r="F643" s="106">
        <f>VLOOKUP(A643,Sheet6!A:B,2,FALSE)</f>
        <v>104.55</v>
      </c>
      <c r="G643" s="106">
        <f>VLOOKUP(A643,WTI原油期货!A:B,2,FALSE)</f>
        <v>73.88</v>
      </c>
      <c r="H643" s="106">
        <f>VLOOKUP(A643,天然气期货!A:B,2,FALSE)</f>
        <v>2.244</v>
      </c>
      <c r="I643" s="111">
        <f>VLOOKUP(A643,黄金期货!A:B,2,FALSE)</f>
        <v>2417.6</v>
      </c>
      <c r="J643" s="106">
        <f>VLOOKUP(A643,Sheet2!A:C,3,FALSE)</f>
        <v>1190</v>
      </c>
      <c r="L643" s="112">
        <f t="shared" ref="L643:L706" si="30">(J643-J642)/J642</f>
        <v>0.0258620689655172</v>
      </c>
    </row>
    <row r="644" spans="1:12">
      <c r="A644" s="109">
        <v>45504</v>
      </c>
      <c r="B644" s="106">
        <f>VLOOKUP(A644,Sheet2!A:C,2,FALSE)</f>
        <v>264.1</v>
      </c>
      <c r="C644" s="106">
        <v>3650</v>
      </c>
      <c r="D644" s="106">
        <f>VLOOKUP(A644,Sheet4!A:C,2,FALSE)</f>
        <v>915</v>
      </c>
      <c r="E644" s="106">
        <f>VLOOKUP(A644,Sheet5!A:B,2,FALSE)</f>
        <v>7.2198</v>
      </c>
      <c r="F644" s="106">
        <f>VLOOKUP(A644,Sheet6!A:B,2,FALSE)</f>
        <v>104.1</v>
      </c>
      <c r="G644" s="106">
        <f>VLOOKUP(A644,WTI原油期货!A:B,2,FALSE)</f>
        <v>76.84</v>
      </c>
      <c r="H644" s="106">
        <f>VLOOKUP(A644,天然气期货!A:B,2,FALSE)</f>
        <v>2.162</v>
      </c>
      <c r="I644" s="111">
        <f>VLOOKUP(A644,黄金期货!A:B,2,FALSE)</f>
        <v>2438.5</v>
      </c>
      <c r="J644" s="106">
        <f>VLOOKUP(A644,Sheet2!A:C,3,FALSE)</f>
        <v>1195</v>
      </c>
      <c r="L644" s="112">
        <f t="shared" si="30"/>
        <v>0.00420168067226891</v>
      </c>
    </row>
    <row r="645" spans="1:12">
      <c r="A645" s="109">
        <v>45505</v>
      </c>
      <c r="B645" s="106">
        <f>VLOOKUP(A645,Sheet2!A:C,2,FALSE)</f>
        <v>264.5</v>
      </c>
      <c r="C645" s="106">
        <v>3650</v>
      </c>
      <c r="D645" s="106">
        <f>VLOOKUP(A645,Sheet4!A:C,2,FALSE)</f>
        <v>915</v>
      </c>
      <c r="E645" s="106">
        <f>VLOOKUP(A645,Sheet5!A:B,2,FALSE)</f>
        <v>7.2444</v>
      </c>
      <c r="F645" s="106">
        <f>VLOOKUP(A645,Sheet6!A:B,2,FALSE)</f>
        <v>104.42</v>
      </c>
      <c r="G645" s="106">
        <f>VLOOKUP(A645,WTI原油期货!A:B,2,FALSE)</f>
        <v>75.4</v>
      </c>
      <c r="H645" s="106">
        <f>VLOOKUP(A645,天然气期货!A:B,2,FALSE)</f>
        <v>2.096</v>
      </c>
      <c r="I645" s="111">
        <f>VLOOKUP(A645,黄金期货!A:B,2,FALSE)</f>
        <v>2445.9</v>
      </c>
      <c r="J645" s="106">
        <f>VLOOKUP(A645,Sheet2!A:C,3,FALSE)</f>
        <v>1200</v>
      </c>
      <c r="L645" s="112">
        <f t="shared" si="30"/>
        <v>0.00418410041841004</v>
      </c>
    </row>
    <row r="646" spans="1:12">
      <c r="A646" s="109">
        <v>45506</v>
      </c>
      <c r="B646" s="106">
        <f>VLOOKUP(A646,Sheet2!A:C,2,FALSE)</f>
        <v>263.9</v>
      </c>
      <c r="C646" s="106">
        <v>3650</v>
      </c>
      <c r="D646" s="106">
        <f>VLOOKUP(A646,Sheet4!A:C,2,FALSE)</f>
        <v>914</v>
      </c>
      <c r="E646" s="106">
        <f>VLOOKUP(A646,Sheet5!A:B,2,FALSE)</f>
        <v>7.1603</v>
      </c>
      <c r="F646" s="106">
        <f>VLOOKUP(A646,Sheet6!A:B,2,FALSE)</f>
        <v>103.21</v>
      </c>
      <c r="G646" s="106">
        <f>VLOOKUP(A646,WTI原油期货!A:B,2,FALSE)</f>
        <v>72.59</v>
      </c>
      <c r="H646" s="106">
        <f>VLOOKUP(A646,天然气期货!A:B,2,FALSE)</f>
        <v>2.078</v>
      </c>
      <c r="I646" s="111">
        <f>VLOOKUP(A646,黄金期货!A:B,2,FALSE)</f>
        <v>2436.2</v>
      </c>
      <c r="J646" s="106">
        <f>VLOOKUP(A646,Sheet2!A:C,3,FALSE)</f>
        <v>1200</v>
      </c>
      <c r="L646" s="112">
        <f t="shared" si="30"/>
        <v>0</v>
      </c>
    </row>
    <row r="647" spans="1:12">
      <c r="A647" s="109">
        <v>45509</v>
      </c>
      <c r="B647" s="106">
        <f>VLOOKUP(A647,Sheet2!A:C,2,FALSE)</f>
        <v>260.4</v>
      </c>
      <c r="C647" s="106">
        <v>3650</v>
      </c>
      <c r="D647" s="106">
        <f>VLOOKUP(A647,Sheet4!A:C,2,FALSE)</f>
        <v>912</v>
      </c>
      <c r="E647" s="106">
        <f>VLOOKUP(A647,Sheet5!A:B,2,FALSE)</f>
        <v>7.1303</v>
      </c>
      <c r="F647" s="106">
        <f>VLOOKUP(A647,Sheet6!A:B,2,FALSE)</f>
        <v>102.69</v>
      </c>
      <c r="G647" s="106">
        <f>VLOOKUP(A647,WTI原油期货!A:B,2,FALSE)</f>
        <v>72.2</v>
      </c>
      <c r="H647" s="106">
        <f>VLOOKUP(A647,天然气期货!A:B,2,FALSE)</f>
        <v>2.045</v>
      </c>
      <c r="I647" s="111">
        <f>VLOOKUP(A647,黄金期货!A:B,2,FALSE)</f>
        <v>2411.8</v>
      </c>
      <c r="J647" s="106">
        <f>VLOOKUP(A647,Sheet2!A:C,3,FALSE)</f>
        <v>1195</v>
      </c>
      <c r="L647" s="112">
        <f t="shared" si="30"/>
        <v>-0.00416666666666667</v>
      </c>
    </row>
    <row r="648" spans="1:12">
      <c r="A648" s="109">
        <v>45510</v>
      </c>
      <c r="B648" s="106">
        <f>VLOOKUP(A648,Sheet2!A:C,2,FALSE)</f>
        <v>259.3</v>
      </c>
      <c r="C648" s="106">
        <v>3650</v>
      </c>
      <c r="D648" s="106">
        <f>VLOOKUP(A648,Sheet4!A:C,2,FALSE)</f>
        <v>908</v>
      </c>
      <c r="E648" s="106">
        <f>VLOOKUP(A648,Sheet5!A:B,2,FALSE)</f>
        <v>7.157</v>
      </c>
      <c r="F648" s="106">
        <f>VLOOKUP(A648,Sheet6!A:B,2,FALSE)</f>
        <v>102.97</v>
      </c>
      <c r="G648" s="106">
        <f>VLOOKUP(A648,WTI原油期货!A:B,2,FALSE)</f>
        <v>72.34</v>
      </c>
      <c r="H648" s="106">
        <f>VLOOKUP(A648,天然气期货!A:B,2,FALSE)</f>
        <v>2.121</v>
      </c>
      <c r="I648" s="111">
        <f>VLOOKUP(A648,黄金期货!A:B,2,FALSE)</f>
        <v>2398.9</v>
      </c>
      <c r="J648" s="106">
        <f>VLOOKUP(A648,Sheet2!A:C,3,FALSE)</f>
        <v>1180</v>
      </c>
      <c r="L648" s="112">
        <f t="shared" si="30"/>
        <v>-0.0125523012552301</v>
      </c>
    </row>
    <row r="649" spans="1:12">
      <c r="A649" s="109">
        <v>45511</v>
      </c>
      <c r="B649" s="106">
        <f>VLOOKUP(A649,Sheet2!A:C,2,FALSE)</f>
        <v>261.9</v>
      </c>
      <c r="C649" s="106">
        <v>3650</v>
      </c>
      <c r="D649" s="106">
        <f>VLOOKUP(A649,Sheet4!A:C,2,FALSE)</f>
        <v>906</v>
      </c>
      <c r="E649" s="106">
        <f>VLOOKUP(A649,Sheet5!A:B,2,FALSE)</f>
        <v>7.1769</v>
      </c>
      <c r="F649" s="106">
        <f>VLOOKUP(A649,Sheet6!A:B,2,FALSE)</f>
        <v>103.2</v>
      </c>
      <c r="G649" s="106">
        <f>VLOOKUP(A649,WTI原油期货!A:B,2,FALSE)</f>
        <v>74.17</v>
      </c>
      <c r="H649" s="106">
        <f>VLOOKUP(A649,天然气期货!A:B,2,FALSE)</f>
        <v>2.239</v>
      </c>
      <c r="I649" s="111">
        <f>VLOOKUP(A649,黄金期货!A:B,2,FALSE)</f>
        <v>2400</v>
      </c>
      <c r="J649" s="106">
        <f>VLOOKUP(A649,Sheet2!A:C,3,FALSE)</f>
        <v>1175</v>
      </c>
      <c r="L649" s="112">
        <f t="shared" si="30"/>
        <v>-0.00423728813559322</v>
      </c>
    </row>
    <row r="650" spans="1:12">
      <c r="A650" s="109">
        <v>45512</v>
      </c>
      <c r="B650" s="106">
        <f>VLOOKUP(A650,Sheet2!A:C,2,FALSE)</f>
        <v>262.7</v>
      </c>
      <c r="C650" s="106">
        <v>3650</v>
      </c>
      <c r="D650" s="106">
        <f>VLOOKUP(A650,Sheet4!A:C,2,FALSE)</f>
        <v>905</v>
      </c>
      <c r="E650" s="106">
        <f>VLOOKUP(A650,Sheet5!A:B,2,FALSE)</f>
        <v>7.1762</v>
      </c>
      <c r="F650" s="106">
        <f>VLOOKUP(A650,Sheet6!A:B,2,FALSE)</f>
        <v>103.21</v>
      </c>
      <c r="G650" s="106">
        <f>VLOOKUP(A650,WTI原油期货!A:B,2,FALSE)</f>
        <v>75.04</v>
      </c>
      <c r="H650" s="106">
        <f>VLOOKUP(A650,天然气期货!A:B,2,FALSE)</f>
        <v>2.27</v>
      </c>
      <c r="I650" s="111">
        <f>VLOOKUP(A650,黄金期货!A:B,2,FALSE)</f>
        <v>2430.3</v>
      </c>
      <c r="J650" s="106">
        <f>VLOOKUP(A650,Sheet2!A:C,3,FALSE)</f>
        <v>1180</v>
      </c>
      <c r="L650" s="112">
        <f t="shared" si="30"/>
        <v>0.00425531914893617</v>
      </c>
    </row>
    <row r="651" spans="1:12">
      <c r="A651" s="109">
        <v>45513</v>
      </c>
      <c r="B651" s="106">
        <f>VLOOKUP(A651,Sheet2!A:C,2,FALSE)</f>
        <v>264.05</v>
      </c>
      <c r="C651" s="106">
        <v>3650</v>
      </c>
      <c r="D651" s="106">
        <f>VLOOKUP(A651,Sheet4!A:C,2,FALSE)</f>
        <v>906</v>
      </c>
      <c r="E651" s="106">
        <f>VLOOKUP(A651,Sheet5!A:B,2,FALSE)</f>
        <v>7.1673</v>
      </c>
      <c r="F651" s="106">
        <f>VLOOKUP(A651,Sheet6!A:B,2,FALSE)</f>
        <v>103.14</v>
      </c>
      <c r="G651" s="106">
        <f>VLOOKUP(A651,WTI原油期货!A:B,2,FALSE)</f>
        <v>75.61</v>
      </c>
      <c r="H651" s="106">
        <f>VLOOKUP(A651,天然气期货!A:B,2,FALSE)</f>
        <v>2.292</v>
      </c>
      <c r="I651" s="111">
        <f>VLOOKUP(A651,黄金期货!A:B,2,FALSE)</f>
        <v>2439.8</v>
      </c>
      <c r="J651" s="106">
        <f>VLOOKUP(A651,Sheet2!A:C,3,FALSE)</f>
        <v>1180</v>
      </c>
      <c r="L651" s="112">
        <f t="shared" si="30"/>
        <v>0</v>
      </c>
    </row>
    <row r="652" spans="1:12">
      <c r="A652" s="109">
        <v>45516</v>
      </c>
      <c r="B652" s="106">
        <f>VLOOKUP(A652,Sheet2!A:C,2,FALSE)</f>
        <v>274.8</v>
      </c>
      <c r="C652" s="106">
        <v>3700</v>
      </c>
      <c r="D652" s="106">
        <f>VLOOKUP(A652,Sheet4!A:C,2,FALSE)</f>
        <v>904</v>
      </c>
      <c r="E652" s="106">
        <f>VLOOKUP(A652,Sheet5!A:B,2,FALSE)</f>
        <v>7.175</v>
      </c>
      <c r="F652" s="106">
        <f>VLOOKUP(A652,Sheet6!A:B,2,FALSE)</f>
        <v>103.14</v>
      </c>
      <c r="G652" s="106">
        <f>VLOOKUP(A652,WTI原油期货!A:B,2,FALSE)</f>
        <v>78.46</v>
      </c>
      <c r="H652" s="106">
        <f>VLOOKUP(A652,天然气期货!A:B,2,FALSE)</f>
        <v>2.342</v>
      </c>
      <c r="I652" s="111">
        <f>VLOOKUP(A652,黄金期货!A:B,2,FALSE)</f>
        <v>2469.9</v>
      </c>
      <c r="J652" s="106">
        <f>VLOOKUP(A652,Sheet2!A:C,3,FALSE)</f>
        <v>1175</v>
      </c>
      <c r="L652" s="112">
        <f t="shared" si="30"/>
        <v>-0.00423728813559322</v>
      </c>
    </row>
    <row r="653" spans="1:12">
      <c r="A653" s="109">
        <v>45517</v>
      </c>
      <c r="B653" s="106">
        <f>VLOOKUP(A653,Sheet2!A:C,2,FALSE)</f>
        <v>270.1</v>
      </c>
      <c r="C653" s="106">
        <v>3700</v>
      </c>
      <c r="D653" s="106">
        <f>VLOOKUP(A653,Sheet4!A:C,2,FALSE)</f>
        <v>902</v>
      </c>
      <c r="E653" s="106">
        <f>VLOOKUP(A653,Sheet5!A:B,2,FALSE)</f>
        <v>7.1556</v>
      </c>
      <c r="F653" s="106">
        <f>VLOOKUP(A653,Sheet6!A:B,2,FALSE)</f>
        <v>102.56</v>
      </c>
      <c r="G653" s="106">
        <f>VLOOKUP(A653,WTI原油期货!A:B,2,FALSE)</f>
        <v>76.8</v>
      </c>
      <c r="H653" s="106">
        <f>VLOOKUP(A653,天然气期货!A:B,2,FALSE)</f>
        <v>2.28</v>
      </c>
      <c r="I653" s="111">
        <f>VLOOKUP(A653,黄金期货!A:B,2,FALSE)</f>
        <v>2473.9</v>
      </c>
      <c r="J653" s="106">
        <f>VLOOKUP(A653,Sheet2!A:C,3,FALSE)</f>
        <v>1170</v>
      </c>
      <c r="L653" s="112">
        <f t="shared" si="30"/>
        <v>-0.00425531914893617</v>
      </c>
    </row>
    <row r="654" spans="1:12">
      <c r="A654" s="109">
        <v>45518</v>
      </c>
      <c r="B654" s="106">
        <f>VLOOKUP(A654,Sheet2!A:C,2,FALSE)</f>
        <v>270.6</v>
      </c>
      <c r="C654" s="106">
        <v>3700</v>
      </c>
      <c r="D654" s="106">
        <f>VLOOKUP(A654,Sheet4!A:C,2,FALSE)</f>
        <v>900</v>
      </c>
      <c r="E654" s="106">
        <f>VLOOKUP(A654,Sheet5!A:B,2,FALSE)</f>
        <v>7.1387</v>
      </c>
      <c r="F654" s="106">
        <f>VLOOKUP(A654,Sheet6!A:B,2,FALSE)</f>
        <v>102.57</v>
      </c>
      <c r="G654" s="106">
        <f>VLOOKUP(A654,WTI原油期货!A:B,2,FALSE)</f>
        <v>75.84</v>
      </c>
      <c r="H654" s="106">
        <f>VLOOKUP(A654,天然气期货!A:B,2,FALSE)</f>
        <v>2.343</v>
      </c>
      <c r="I654" s="111">
        <f>VLOOKUP(A654,黄金期货!A:B,2,FALSE)</f>
        <v>2446.2</v>
      </c>
      <c r="J654" s="106">
        <f>VLOOKUP(A654,Sheet2!A:C,3,FALSE)</f>
        <v>1170</v>
      </c>
      <c r="L654" s="112">
        <f t="shared" si="30"/>
        <v>0</v>
      </c>
    </row>
    <row r="655" spans="1:12">
      <c r="A655" s="109">
        <v>45519</v>
      </c>
      <c r="B655" s="106">
        <f>VLOOKUP(A655,Sheet2!A:C,2,FALSE)</f>
        <v>272.9</v>
      </c>
      <c r="C655" s="106">
        <v>3700</v>
      </c>
      <c r="D655" s="106">
        <f>VLOOKUP(A655,Sheet4!A:C,2,FALSE)</f>
        <v>899</v>
      </c>
      <c r="E655" s="106">
        <f>VLOOKUP(A655,Sheet5!A:B,2,FALSE)</f>
        <v>7.1747</v>
      </c>
      <c r="F655" s="106">
        <f>VLOOKUP(A655,Sheet6!A:B,2,FALSE)</f>
        <v>102.98</v>
      </c>
      <c r="G655" s="106">
        <f>VLOOKUP(A655,WTI原油期货!A:B,2,FALSE)</f>
        <v>76.99</v>
      </c>
      <c r="H655" s="106">
        <f>VLOOKUP(A655,天然气期货!A:B,2,FALSE)</f>
        <v>2.332</v>
      </c>
      <c r="I655" s="111">
        <f>VLOOKUP(A655,黄金期货!A:B,2,FALSE)</f>
        <v>2458.6</v>
      </c>
      <c r="J655" s="106">
        <f>VLOOKUP(A655,Sheet2!A:C,3,FALSE)</f>
        <v>1170</v>
      </c>
      <c r="L655" s="112">
        <f t="shared" si="30"/>
        <v>0</v>
      </c>
    </row>
    <row r="656" spans="1:12">
      <c r="A656" s="109">
        <v>45520</v>
      </c>
      <c r="B656" s="106">
        <f>VLOOKUP(A656,Sheet2!A:C,2,FALSE)</f>
        <v>267.1</v>
      </c>
      <c r="C656" s="106">
        <v>3700</v>
      </c>
      <c r="D656" s="106">
        <f>VLOOKUP(A656,Sheet4!A:C,2,FALSE)</f>
        <v>899</v>
      </c>
      <c r="E656" s="106">
        <f>VLOOKUP(A656,Sheet5!A:B,2,FALSE)</f>
        <v>7.1649</v>
      </c>
      <c r="F656" s="106">
        <f>VLOOKUP(A656,Sheet6!A:B,2,FALSE)</f>
        <v>102.46</v>
      </c>
      <c r="G656" s="106">
        <f>VLOOKUP(A656,WTI原油期货!A:B,2,FALSE)</f>
        <v>75.54</v>
      </c>
      <c r="H656" s="106">
        <f>VLOOKUP(A656,天然气期货!A:B,2,FALSE)</f>
        <v>2.247</v>
      </c>
      <c r="I656" s="111">
        <f>VLOOKUP(A656,黄金期货!A:B,2,FALSE)</f>
        <v>2503.6</v>
      </c>
      <c r="J656" s="106">
        <f>VLOOKUP(A656,Sheet2!A:C,3,FALSE)</f>
        <v>1170</v>
      </c>
      <c r="L656" s="112">
        <f t="shared" si="30"/>
        <v>0</v>
      </c>
    </row>
    <row r="657" spans="1:12">
      <c r="A657" s="109">
        <v>45523</v>
      </c>
      <c r="B657" s="106">
        <f>VLOOKUP(A657,Sheet2!A:C,2,FALSE)</f>
        <v>267.2</v>
      </c>
      <c r="C657" s="106">
        <v>3700</v>
      </c>
      <c r="D657" s="106">
        <f>VLOOKUP(A657,Sheet4!A:C,2,FALSE)</f>
        <v>898</v>
      </c>
      <c r="E657" s="106">
        <f>VLOOKUP(A657,Sheet5!A:B,2,FALSE)</f>
        <v>7.14</v>
      </c>
      <c r="F657" s="106">
        <f>VLOOKUP(A657,Sheet6!A:B,2,FALSE)</f>
        <v>101.89</v>
      </c>
      <c r="G657" s="106">
        <f>VLOOKUP(A657,WTI原油期货!A:B,2,FALSE)</f>
        <v>73.66</v>
      </c>
      <c r="H657" s="106">
        <f>VLOOKUP(A657,天然气期货!A:B,2,FALSE)</f>
        <v>2.357</v>
      </c>
      <c r="I657" s="111">
        <f>VLOOKUP(A657,黄金期货!A:B,2,FALSE)</f>
        <v>2506.8</v>
      </c>
      <c r="J657" s="106">
        <f>VLOOKUP(A657,Sheet2!A:C,3,FALSE)</f>
        <v>1160</v>
      </c>
      <c r="L657" s="112">
        <f t="shared" si="30"/>
        <v>-0.00854700854700855</v>
      </c>
    </row>
    <row r="658" spans="1:12">
      <c r="A658" s="109">
        <v>45524</v>
      </c>
      <c r="B658" s="106">
        <f>VLOOKUP(A658,Sheet2!A:C,2,FALSE)</f>
        <v>265.1</v>
      </c>
      <c r="C658" s="106">
        <v>3700</v>
      </c>
      <c r="D658" s="106">
        <f>VLOOKUP(A658,Sheet4!A:C,2,FALSE)</f>
        <v>896</v>
      </c>
      <c r="E658" s="106">
        <f>VLOOKUP(A658,Sheet5!A:B,2,FALSE)</f>
        <v>7.1328</v>
      </c>
      <c r="F658" s="106">
        <f>VLOOKUP(A658,Sheet6!A:B,2,FALSE)</f>
        <v>101.44</v>
      </c>
      <c r="G658" s="106">
        <f>VLOOKUP(A658,WTI原油期货!A:B,2,FALSE)</f>
        <v>73.17</v>
      </c>
      <c r="H658" s="106">
        <f>VLOOKUP(A658,天然气期货!A:B,2,FALSE)</f>
        <v>2.33</v>
      </c>
      <c r="I658" s="111">
        <f>VLOOKUP(A658,黄金期货!A:B,2,FALSE)</f>
        <v>2516.1</v>
      </c>
      <c r="J658" s="106">
        <f>VLOOKUP(A658,Sheet2!A:C,3,FALSE)</f>
        <v>1160</v>
      </c>
      <c r="L658" s="112">
        <f t="shared" si="30"/>
        <v>0</v>
      </c>
    </row>
    <row r="659" spans="1:12">
      <c r="A659" s="109">
        <v>45525</v>
      </c>
      <c r="B659" s="106">
        <f>VLOOKUP(A659,Sheet2!A:C,2,FALSE)</f>
        <v>257.8</v>
      </c>
      <c r="C659" s="106">
        <v>3700</v>
      </c>
      <c r="D659" s="106">
        <f>VLOOKUP(A659,Sheet4!A:C,2,FALSE)</f>
        <v>897</v>
      </c>
      <c r="E659" s="106">
        <f>VLOOKUP(A659,Sheet5!A:B,2,FALSE)</f>
        <v>7.1347</v>
      </c>
      <c r="F659" s="106">
        <f>VLOOKUP(A659,Sheet6!A:B,2,FALSE)</f>
        <v>101.04</v>
      </c>
      <c r="G659" s="106">
        <f>VLOOKUP(A659,WTI原油期货!A:B,2,FALSE)</f>
        <v>71.3</v>
      </c>
      <c r="H659" s="106">
        <f>VLOOKUP(A659,天然气期货!A:B,2,FALSE)</f>
        <v>2.314</v>
      </c>
      <c r="I659" s="111">
        <f>VLOOKUP(A659,黄金期货!A:B,2,FALSE)</f>
        <v>2512.8</v>
      </c>
      <c r="J659" s="106">
        <f>VLOOKUP(A659,Sheet2!A:C,3,FALSE)</f>
        <v>1160</v>
      </c>
      <c r="L659" s="112">
        <f t="shared" si="30"/>
        <v>0</v>
      </c>
    </row>
    <row r="660" spans="1:12">
      <c r="A660" s="109">
        <v>45526</v>
      </c>
      <c r="B660" s="106">
        <f>VLOOKUP(A660,Sheet2!A:C,2,FALSE)</f>
        <v>263.4</v>
      </c>
      <c r="C660" s="106">
        <v>3700</v>
      </c>
      <c r="D660" s="106">
        <f>VLOOKUP(A660,Sheet4!A:C,2,FALSE)</f>
        <v>897</v>
      </c>
      <c r="E660" s="106">
        <f>VLOOKUP(A660,Sheet5!A:B,2,FALSE)</f>
        <v>7.1448</v>
      </c>
      <c r="F660" s="106">
        <f>VLOOKUP(A660,Sheet6!A:B,2,FALSE)</f>
        <v>101.51</v>
      </c>
      <c r="G660" s="106">
        <f>VLOOKUP(A660,WTI原油期货!A:B,2,FALSE)</f>
        <v>72.28</v>
      </c>
      <c r="H660" s="106">
        <f>VLOOKUP(A660,天然气期货!A:B,2,FALSE)</f>
        <v>2.194</v>
      </c>
      <c r="I660" s="111">
        <f>VLOOKUP(A660,黄金期货!A:B,2,FALSE)</f>
        <v>2482.1</v>
      </c>
      <c r="J660" s="106">
        <f>VLOOKUP(A660,Sheet2!A:C,3,FALSE)</f>
        <v>1160</v>
      </c>
      <c r="L660" s="112">
        <f t="shared" si="30"/>
        <v>0</v>
      </c>
    </row>
    <row r="661" spans="1:12">
      <c r="A661" s="109">
        <v>45527</v>
      </c>
      <c r="B661" s="106">
        <f>VLOOKUP(A661,Sheet2!A:C,2,FALSE)</f>
        <v>264</v>
      </c>
      <c r="C661" s="106">
        <v>3700</v>
      </c>
      <c r="D661" s="106">
        <f>VLOOKUP(A661,Sheet4!A:C,2,FALSE)</f>
        <v>895</v>
      </c>
      <c r="E661" s="106">
        <f>VLOOKUP(A661,Sheet5!A:B,2,FALSE)</f>
        <v>7.125</v>
      </c>
      <c r="F661" s="106">
        <f>VLOOKUP(A661,Sheet6!A:B,2,FALSE)</f>
        <v>100.72</v>
      </c>
      <c r="G661" s="106">
        <f>VLOOKUP(A661,WTI原油期货!A:B,2,FALSE)</f>
        <v>73.93</v>
      </c>
      <c r="H661" s="106">
        <f>VLOOKUP(A661,天然气期货!A:B,2,FALSE)</f>
        <v>2.18</v>
      </c>
      <c r="I661" s="111">
        <f>VLOOKUP(A661,黄金期货!A:B,2,FALSE)</f>
        <v>2511.2</v>
      </c>
      <c r="J661" s="106">
        <f>VLOOKUP(A661,Sheet2!A:C,3,FALSE)</f>
        <v>1170</v>
      </c>
      <c r="L661" s="112">
        <f t="shared" si="30"/>
        <v>0.00862068965517241</v>
      </c>
    </row>
    <row r="662" spans="1:12">
      <c r="A662" s="109">
        <v>45530</v>
      </c>
      <c r="B662" s="106">
        <f>VLOOKUP(A662,Sheet2!A:C,2,FALSE)</f>
        <v>258.6</v>
      </c>
      <c r="C662" s="106">
        <v>3700</v>
      </c>
      <c r="D662" s="106">
        <f>VLOOKUP(A662,Sheet4!A:C,2,FALSE)</f>
        <v>896</v>
      </c>
      <c r="E662" s="106">
        <f>VLOOKUP(A662,Sheet5!A:B,2,FALSE)</f>
        <v>7.122</v>
      </c>
      <c r="F662" s="106">
        <f>VLOOKUP(A662,Sheet6!A:B,2,FALSE)</f>
        <v>100.85</v>
      </c>
      <c r="G662" s="106">
        <f>VLOOKUP(A662,WTI原油期货!A:B,2,FALSE)</f>
        <v>76.17</v>
      </c>
      <c r="H662" s="106">
        <f>VLOOKUP(A662,天然气期货!A:B,2,FALSE)</f>
        <v>2.13</v>
      </c>
      <c r="I662" s="111">
        <f>VLOOKUP(A662,黄金期货!A:B,2,FALSE)</f>
        <v>2520.2</v>
      </c>
      <c r="J662" s="106">
        <f>VLOOKUP(A662,Sheet2!A:C,3,FALSE)</f>
        <v>1175</v>
      </c>
      <c r="L662" s="112">
        <f t="shared" si="30"/>
        <v>0.00427350427350427</v>
      </c>
    </row>
    <row r="663" spans="1:12">
      <c r="A663" s="109">
        <v>45531</v>
      </c>
      <c r="B663" s="106">
        <f>VLOOKUP(A663,Sheet2!A:C,2,FALSE)</f>
        <v>262.3</v>
      </c>
      <c r="C663" s="106">
        <v>3700</v>
      </c>
      <c r="D663" s="106">
        <f>VLOOKUP(A663,Sheet4!A:C,2,FALSE)</f>
        <v>896</v>
      </c>
      <c r="E663" s="106">
        <f>VLOOKUP(A663,Sheet5!A:B,2,FALSE)</f>
        <v>7.1248</v>
      </c>
      <c r="F663" s="106">
        <f>VLOOKUP(A663,Sheet6!A:B,2,FALSE)</f>
        <v>100.55</v>
      </c>
      <c r="G663" s="106">
        <f>VLOOKUP(A663,WTI原油期货!A:B,2,FALSE)</f>
        <v>74.46</v>
      </c>
      <c r="H663" s="106">
        <f>VLOOKUP(A663,天然气期货!A:B,2,FALSE)</f>
        <v>2.085</v>
      </c>
      <c r="I663" s="111">
        <f>VLOOKUP(A663,黄金期货!A:B,2,FALSE)</f>
        <v>2517.7</v>
      </c>
      <c r="J663" s="106">
        <f>VLOOKUP(A663,Sheet2!A:C,3,FALSE)</f>
        <v>1185</v>
      </c>
      <c r="L663" s="112">
        <f t="shared" si="30"/>
        <v>0.00851063829787234</v>
      </c>
    </row>
    <row r="664" spans="1:12">
      <c r="A664" s="109">
        <v>45532</v>
      </c>
      <c r="B664" s="106">
        <f>VLOOKUP(A664,Sheet2!A:C,2,FALSE)</f>
        <v>259.4</v>
      </c>
      <c r="C664" s="106">
        <v>3700</v>
      </c>
      <c r="D664" s="106">
        <f>VLOOKUP(A664,Sheet4!A:C,2,FALSE)</f>
        <v>897</v>
      </c>
      <c r="E664" s="106">
        <f>VLOOKUP(A664,Sheet5!A:B,2,FALSE)</f>
        <v>7.1256</v>
      </c>
      <c r="F664" s="106">
        <f>VLOOKUP(A664,Sheet6!A:B,2,FALSE)</f>
        <v>101.09</v>
      </c>
      <c r="G664" s="106">
        <f>VLOOKUP(A664,WTI原油期货!A:B,2,FALSE)</f>
        <v>73.44</v>
      </c>
      <c r="H664" s="106">
        <f>VLOOKUP(A664,天然气期货!A:B,2,FALSE)</f>
        <v>2.097</v>
      </c>
      <c r="I664" s="111">
        <f>VLOOKUP(A664,黄金期货!A:B,2,FALSE)</f>
        <v>2502.6</v>
      </c>
      <c r="J664" s="106">
        <f>VLOOKUP(A664,Sheet2!A:C,3,FALSE)</f>
        <v>1190</v>
      </c>
      <c r="L664" s="112">
        <f t="shared" si="30"/>
        <v>0.00421940928270042</v>
      </c>
    </row>
    <row r="665" spans="1:12">
      <c r="A665" s="109">
        <v>45533</v>
      </c>
      <c r="B665" s="106">
        <f>VLOOKUP(A665,Sheet2!A:C,2,FALSE)</f>
        <v>255.6</v>
      </c>
      <c r="C665" s="106">
        <v>3700</v>
      </c>
      <c r="D665" s="106">
        <f>VLOOKUP(A665,Sheet4!A:C,2,FALSE)</f>
        <v>895</v>
      </c>
      <c r="E665" s="106">
        <f>VLOOKUP(A665,Sheet5!A:B,2,FALSE)</f>
        <v>7.0976</v>
      </c>
      <c r="F665" s="106">
        <f>VLOOKUP(A665,Sheet6!A:B,2,FALSE)</f>
        <v>101.34</v>
      </c>
      <c r="G665" s="106">
        <f>VLOOKUP(A665,WTI原油期货!A:B,2,FALSE)</f>
        <v>74.67</v>
      </c>
      <c r="H665" s="106">
        <f>VLOOKUP(A665,天然气期货!A:B,2,FALSE)</f>
        <v>2.529</v>
      </c>
      <c r="I665" s="111">
        <f>VLOOKUP(A665,黄金期货!A:B,2,FALSE)</f>
        <v>2536.7</v>
      </c>
      <c r="J665" s="106">
        <f>VLOOKUP(A665,Sheet2!A:C,3,FALSE)</f>
        <v>1180</v>
      </c>
      <c r="L665" s="112">
        <f t="shared" si="30"/>
        <v>-0.00840336134453781</v>
      </c>
    </row>
    <row r="666" spans="1:12">
      <c r="A666" s="109">
        <v>45534</v>
      </c>
      <c r="B666" s="106">
        <f>VLOOKUP(A666,Sheet2!A:C,2,FALSE)</f>
        <v>253.8</v>
      </c>
      <c r="C666" s="106">
        <v>3700</v>
      </c>
      <c r="D666" s="106">
        <f>VLOOKUP(A666,Sheet4!A:C,2,FALSE)</f>
        <v>896</v>
      </c>
      <c r="E666" s="106">
        <f>VLOOKUP(A666,Sheet5!A:B,2,FALSE)</f>
        <v>7.0908</v>
      </c>
      <c r="F666" s="106">
        <f>VLOOKUP(A666,Sheet6!A:B,2,FALSE)</f>
        <v>101.7</v>
      </c>
      <c r="G666" s="106">
        <f>VLOOKUP(A666,WTI原油期货!A:B,2,FALSE)</f>
        <v>72.65</v>
      </c>
      <c r="H666" s="106">
        <f>VLOOKUP(A666,天然气期货!A:B,2,FALSE)</f>
        <v>2.498</v>
      </c>
      <c r="I666" s="111">
        <f>VLOOKUP(A666,黄金期货!A:B,2,FALSE)</f>
        <v>2504.5</v>
      </c>
      <c r="J666" s="106">
        <f>VLOOKUP(A666,Sheet2!A:C,3,FALSE)</f>
        <v>1180</v>
      </c>
      <c r="L666" s="112">
        <f t="shared" si="30"/>
        <v>0</v>
      </c>
    </row>
    <row r="667" spans="1:12">
      <c r="A667" s="109">
        <v>45537</v>
      </c>
      <c r="B667" s="106">
        <f>VLOOKUP(A667,Sheet2!A:C,2,FALSE)</f>
        <v>246.3</v>
      </c>
      <c r="C667" s="106">
        <v>3700</v>
      </c>
      <c r="D667" s="106">
        <f>VLOOKUP(A667,Sheet4!A:C,2,FALSE)</f>
        <v>894</v>
      </c>
      <c r="E667" s="106">
        <f>VLOOKUP(A667,Sheet5!A:B,2,FALSE)</f>
        <v>7.1175</v>
      </c>
      <c r="F667" s="106">
        <f>VLOOKUP(A667,Sheet6!A:B,2,FALSE)</f>
        <v>101.65</v>
      </c>
      <c r="G667" s="106">
        <f>VLOOKUP(A667,WTI原油期货!A:B,2,FALSE)</f>
        <v>73.78</v>
      </c>
      <c r="H667" s="106">
        <f>H666</f>
        <v>2.498</v>
      </c>
      <c r="I667" s="111">
        <f>I666</f>
        <v>2504.5</v>
      </c>
      <c r="J667" s="106">
        <f>VLOOKUP(A667,Sheet2!A:C,3,FALSE)</f>
        <v>1180</v>
      </c>
      <c r="L667" s="112">
        <f t="shared" si="30"/>
        <v>0</v>
      </c>
    </row>
    <row r="668" spans="1:12">
      <c r="A668" s="109">
        <v>45538</v>
      </c>
      <c r="B668" s="106">
        <f>VLOOKUP(A668,Sheet2!A:C,2,FALSE)</f>
        <v>239.5</v>
      </c>
      <c r="C668" s="106">
        <v>3700</v>
      </c>
      <c r="D668" s="106">
        <f>VLOOKUP(A668,Sheet4!A:C,2,FALSE)</f>
        <v>892</v>
      </c>
      <c r="E668" s="106">
        <f>VLOOKUP(A668,Sheet5!A:B,2,FALSE)</f>
        <v>7.1214</v>
      </c>
      <c r="F668" s="106">
        <f>VLOOKUP(A668,Sheet6!A:B,2,FALSE)</f>
        <v>101.82</v>
      </c>
      <c r="G668" s="106">
        <f>VLOOKUP(A668,WTI原油期货!A:B,2,FALSE)</f>
        <v>69.59</v>
      </c>
      <c r="H668" s="106">
        <f>VLOOKUP(A668,天然气期货!A:B,2,FALSE)</f>
        <v>2.55</v>
      </c>
      <c r="I668" s="111">
        <f>VLOOKUP(A668,黄金期货!A:B,2,FALSE)</f>
        <v>2499.7</v>
      </c>
      <c r="J668" s="106">
        <f>VLOOKUP(A668,Sheet2!A:C,3,FALSE)</f>
        <v>1175</v>
      </c>
      <c r="L668" s="112">
        <f t="shared" si="30"/>
        <v>-0.00423728813559322</v>
      </c>
    </row>
    <row r="669" spans="1:12">
      <c r="A669" s="109">
        <v>45539</v>
      </c>
      <c r="B669" s="106">
        <f>VLOOKUP(A669,Sheet2!A:C,2,FALSE)</f>
        <v>238</v>
      </c>
      <c r="C669" s="106">
        <v>3700</v>
      </c>
      <c r="D669" s="106">
        <f>VLOOKUP(A669,Sheet4!A:C,2,FALSE)</f>
        <v>889</v>
      </c>
      <c r="E669" s="106">
        <f>VLOOKUP(A669,Sheet5!A:B,2,FALSE)</f>
        <v>7.1125</v>
      </c>
      <c r="F669" s="106">
        <f>VLOOKUP(A669,Sheet6!A:B,2,FALSE)</f>
        <v>101.36</v>
      </c>
      <c r="G669" s="106">
        <f>VLOOKUP(A669,WTI原油期货!A:B,2,FALSE)</f>
        <v>68.52</v>
      </c>
      <c r="H669" s="106">
        <f>VLOOKUP(A669,天然气期货!A:B,2,FALSE)</f>
        <v>2.506</v>
      </c>
      <c r="I669" s="111">
        <f>VLOOKUP(A669,黄金期货!A:B,2,FALSE)</f>
        <v>2502.7</v>
      </c>
      <c r="J669" s="106">
        <f>VLOOKUP(A669,Sheet2!A:C,3,FALSE)</f>
        <v>1170</v>
      </c>
      <c r="L669" s="112">
        <f t="shared" si="30"/>
        <v>-0.00425531914893617</v>
      </c>
    </row>
    <row r="670" spans="1:12">
      <c r="A670" s="109">
        <v>45540</v>
      </c>
      <c r="B670" s="106">
        <f>VLOOKUP(A670,Sheet2!A:C,2,FALSE)</f>
        <v>241.67</v>
      </c>
      <c r="C670" s="106">
        <v>3700</v>
      </c>
      <c r="D670" s="106">
        <f>VLOOKUP(A670,Sheet4!A:C,2,FALSE)</f>
        <v>887</v>
      </c>
      <c r="E670" s="106">
        <f>VLOOKUP(A670,Sheet5!A:B,2,FALSE)</f>
        <v>7.0931</v>
      </c>
      <c r="F670" s="106">
        <f>VLOOKUP(A670,Sheet6!A:B,2,FALSE)</f>
        <v>101.11</v>
      </c>
      <c r="G670" s="106">
        <f>VLOOKUP(A670,WTI原油期货!A:B,2,FALSE)</f>
        <v>68.5</v>
      </c>
      <c r="H670" s="106">
        <f>VLOOKUP(A670,天然气期货!A:B,2,FALSE)</f>
        <v>2.579</v>
      </c>
      <c r="I670" s="111">
        <f>VLOOKUP(A670,黄金期货!A:B,2,FALSE)</f>
        <v>2519.7</v>
      </c>
      <c r="J670" s="106">
        <f>VLOOKUP(A670,Sheet2!A:C,3,FALSE)</f>
        <v>1165</v>
      </c>
      <c r="L670" s="112">
        <f t="shared" si="30"/>
        <v>-0.00427350427350427</v>
      </c>
    </row>
    <row r="671" spans="1:12">
      <c r="A671" s="109">
        <v>45541</v>
      </c>
      <c r="B671" s="106">
        <f>VLOOKUP(A671,Sheet2!A:C,2,FALSE)</f>
        <v>241.15</v>
      </c>
      <c r="C671" s="106">
        <v>3700</v>
      </c>
      <c r="D671" s="106">
        <f>VLOOKUP(A671,Sheet4!A:C,2,FALSE)</f>
        <v>885</v>
      </c>
      <c r="E671" s="106">
        <f>VLOOKUP(A671,Sheet5!A:B,2,FALSE)</f>
        <v>7.0888</v>
      </c>
      <c r="F671" s="106">
        <f>VLOOKUP(A671,Sheet6!A:B,2,FALSE)</f>
        <v>101.18</v>
      </c>
      <c r="G671" s="106">
        <f>VLOOKUP(A671,WTI原油期货!A:B,2,FALSE)</f>
        <v>66.98</v>
      </c>
      <c r="H671" s="106">
        <f>VLOOKUP(A671,天然气期货!A:B,2,FALSE)</f>
        <v>2.597</v>
      </c>
      <c r="I671" s="111">
        <f>VLOOKUP(A671,黄金期货!A:B,2,FALSE)</f>
        <v>2501.5</v>
      </c>
      <c r="J671" s="106">
        <f>VLOOKUP(A671,Sheet2!A:C,3,FALSE)</f>
        <v>1170</v>
      </c>
      <c r="L671" s="112">
        <f t="shared" si="30"/>
        <v>0.00429184549356223</v>
      </c>
    </row>
    <row r="672" spans="1:12">
      <c r="A672" s="109">
        <v>45544</v>
      </c>
      <c r="B672" s="106">
        <f>VLOOKUP(A672,Sheet2!A:C,2,FALSE)</f>
        <v>249.26</v>
      </c>
      <c r="C672" s="106">
        <v>3700</v>
      </c>
      <c r="D672" s="106">
        <f>VLOOKUP(A672,Sheet4!A:C,2,FALSE)</f>
        <v>882</v>
      </c>
      <c r="E672" s="106">
        <f>VLOOKUP(A672,Sheet5!A:B,2,FALSE)</f>
        <v>7.1138</v>
      </c>
      <c r="F672" s="106">
        <f>VLOOKUP(A672,Sheet6!A:B,2,FALSE)</f>
        <v>101.55</v>
      </c>
      <c r="G672" s="106">
        <f>VLOOKUP(A672,WTI原油期货!A:B,2,FALSE)</f>
        <v>67.91</v>
      </c>
      <c r="H672" s="106">
        <f>VLOOKUP(A672,天然气期货!A:B,2,FALSE)</f>
        <v>2.527</v>
      </c>
      <c r="I672" s="111">
        <f>VLOOKUP(A672,黄金期货!A:B,2,FALSE)</f>
        <v>2509.3</v>
      </c>
      <c r="J672" s="106">
        <f>VLOOKUP(A672,Sheet2!A:C,3,FALSE)</f>
        <v>1170</v>
      </c>
      <c r="L672" s="112">
        <f t="shared" si="30"/>
        <v>0</v>
      </c>
    </row>
    <row r="673" spans="1:12">
      <c r="A673" s="109">
        <v>45545</v>
      </c>
      <c r="B673" s="106">
        <f>VLOOKUP(A673,Sheet2!A:C,2,FALSE)</f>
        <v>249.1</v>
      </c>
      <c r="C673" s="106">
        <v>3700</v>
      </c>
      <c r="D673" s="106">
        <f>VLOOKUP(A673,Sheet4!A:C,2,FALSE)</f>
        <v>880</v>
      </c>
      <c r="E673" s="106">
        <f>VLOOKUP(A673,Sheet5!A:B,2,FALSE)</f>
        <v>7.1208</v>
      </c>
      <c r="F673" s="106">
        <f>VLOOKUP(A673,Sheet6!A:B,2,FALSE)</f>
        <v>101.63</v>
      </c>
      <c r="G673" s="106">
        <f>VLOOKUP(A673,WTI原油期货!A:B,2,FALSE)</f>
        <v>65.14</v>
      </c>
      <c r="H673" s="106">
        <f>VLOOKUP(A673,天然气期货!A:B,2,FALSE)</f>
        <v>2.545</v>
      </c>
      <c r="I673" s="111">
        <f>VLOOKUP(A673,黄金期货!A:B,2,FALSE)</f>
        <v>2519.5</v>
      </c>
      <c r="J673" s="106">
        <f>VLOOKUP(A673,Sheet2!A:C,3,FALSE)</f>
        <v>1170</v>
      </c>
      <c r="L673" s="112">
        <f t="shared" si="30"/>
        <v>0</v>
      </c>
    </row>
    <row r="674" spans="1:12">
      <c r="A674" s="109">
        <v>45546</v>
      </c>
      <c r="B674" s="106">
        <f>VLOOKUP(A674,Sheet2!A:C,2,FALSE)</f>
        <v>256.2</v>
      </c>
      <c r="C674" s="106">
        <v>3700</v>
      </c>
      <c r="D674" s="106">
        <f>VLOOKUP(A674,Sheet4!A:C,2,FALSE)</f>
        <v>879</v>
      </c>
      <c r="E674" s="106">
        <f>VLOOKUP(A674,Sheet5!A:B,2,FALSE)</f>
        <v>7.1196</v>
      </c>
      <c r="F674" s="106">
        <f>VLOOKUP(A674,Sheet6!A:B,2,FALSE)</f>
        <v>101.68</v>
      </c>
      <c r="G674" s="106">
        <f>VLOOKUP(A674,WTI原油期货!A:B,2,FALSE)</f>
        <v>66.6</v>
      </c>
      <c r="H674" s="106">
        <f>VLOOKUP(A674,天然气期货!A:B,2,FALSE)</f>
        <v>2.577</v>
      </c>
      <c r="I674" s="111">
        <f>VLOOKUP(A674,黄金期货!A:B,2,FALSE)</f>
        <v>2519</v>
      </c>
      <c r="J674" s="106">
        <f>VLOOKUP(A674,Sheet2!A:C,3,FALSE)</f>
        <v>1165</v>
      </c>
      <c r="L674" s="112">
        <f t="shared" si="30"/>
        <v>-0.00427350427350427</v>
      </c>
    </row>
    <row r="675" spans="1:12">
      <c r="A675" s="109">
        <v>45547</v>
      </c>
      <c r="B675" s="106">
        <f>VLOOKUP(A675,Sheet2!A:C,2,FALSE)</f>
        <v>253.35</v>
      </c>
      <c r="C675" s="106">
        <v>3700</v>
      </c>
      <c r="D675" s="106">
        <f>VLOOKUP(A675,Sheet4!A:C,2,FALSE)</f>
        <v>880</v>
      </c>
      <c r="E675" s="106">
        <f>VLOOKUP(A675,Sheet5!A:B,2,FALSE)</f>
        <v>7.1176</v>
      </c>
      <c r="F675" s="106">
        <f>VLOOKUP(A675,Sheet6!A:B,2,FALSE)</f>
        <v>101.37</v>
      </c>
      <c r="G675" s="106">
        <f>VLOOKUP(A675,WTI原油期货!A:B,2,FALSE)</f>
        <v>68.15</v>
      </c>
      <c r="H675" s="106">
        <f>VLOOKUP(A675,天然气期货!A:B,2,FALSE)</f>
        <v>2.633</v>
      </c>
      <c r="I675" s="111">
        <f>VLOOKUP(A675,黄金期货!A:B,2,FALSE)</f>
        <v>2557.1</v>
      </c>
      <c r="J675" s="106">
        <f>VLOOKUP(A675,Sheet2!A:C,3,FALSE)</f>
        <v>1165</v>
      </c>
      <c r="L675" s="112">
        <f t="shared" si="30"/>
        <v>0</v>
      </c>
    </row>
    <row r="676" spans="1:12">
      <c r="A676" s="109">
        <v>45548</v>
      </c>
      <c r="B676" s="106">
        <f>VLOOKUP(A676,Sheet2!A:C,2,FALSE)</f>
        <v>259.4</v>
      </c>
      <c r="C676" s="106">
        <v>3700</v>
      </c>
      <c r="D676" s="106">
        <f>VLOOKUP(A676,Sheet4!A:C,2,FALSE)</f>
        <v>881</v>
      </c>
      <c r="E676" s="106">
        <f>VLOOKUP(A676,Sheet5!A:B,2,FALSE)</f>
        <v>7.0937</v>
      </c>
      <c r="F676" s="106">
        <f>VLOOKUP(A676,Sheet6!A:B,2,FALSE)</f>
        <v>101.11</v>
      </c>
      <c r="G676" s="106">
        <f>VLOOKUP(A676,WTI原油期货!A:B,2,FALSE)</f>
        <v>67.75</v>
      </c>
      <c r="H676" s="106">
        <f>VLOOKUP(A676,天然气期货!A:B,2,FALSE)</f>
        <v>2.589</v>
      </c>
      <c r="I676" s="111">
        <f>VLOOKUP(A676,黄金期货!A:B,2,FALSE)</f>
        <v>2586.8</v>
      </c>
      <c r="J676" s="106">
        <f>VLOOKUP(A676,Sheet2!A:C,3,FALSE)</f>
        <v>1165</v>
      </c>
      <c r="L676" s="112">
        <f t="shared" si="30"/>
        <v>0</v>
      </c>
    </row>
    <row r="677" spans="1:12">
      <c r="A677" s="109">
        <v>45549</v>
      </c>
      <c r="B677" s="106">
        <f>VLOOKUP(A677,Sheet2!A:C,2,FALSE)</f>
        <v>259</v>
      </c>
      <c r="C677" s="106">
        <v>3700</v>
      </c>
      <c r="D677" s="106">
        <f>VLOOKUP(A677,Sheet4!A:C,2,FALSE)</f>
        <v>880</v>
      </c>
      <c r="E677" s="106">
        <f>E676</f>
        <v>7.0937</v>
      </c>
      <c r="F677" s="106">
        <f>F676</f>
        <v>101.11</v>
      </c>
      <c r="G677" s="106">
        <f>G676</f>
        <v>67.75</v>
      </c>
      <c r="H677" s="106">
        <f>H676</f>
        <v>2.589</v>
      </c>
      <c r="I677" s="111">
        <f>I676</f>
        <v>2586.8</v>
      </c>
      <c r="J677" s="106">
        <f>VLOOKUP(A677,Sheet2!A:C,3,FALSE)</f>
        <v>1165</v>
      </c>
      <c r="L677" s="112">
        <f t="shared" si="30"/>
        <v>0</v>
      </c>
    </row>
    <row r="678" spans="1:12">
      <c r="A678" s="109">
        <v>45553</v>
      </c>
      <c r="B678" s="106">
        <f>VLOOKUP(A678,Sheet2!A:C,2,FALSE)</f>
        <v>256.75</v>
      </c>
      <c r="C678" s="106">
        <v>3700</v>
      </c>
      <c r="D678" s="106">
        <f>VLOOKUP(A678,Sheet4!A:C,2,FALSE)</f>
        <v>880</v>
      </c>
      <c r="E678" s="106">
        <f>VLOOKUP(A678,Sheet5!A:B,2,FALSE)</f>
        <v>7.0819</v>
      </c>
      <c r="F678" s="106">
        <f>VLOOKUP(A678,Sheet6!A:B,2,FALSE)</f>
        <v>100.6</v>
      </c>
      <c r="G678" s="106">
        <f>VLOOKUP(A678,WTI原油期货!A:B,2,FALSE)</f>
        <v>69.88</v>
      </c>
      <c r="H678" s="106">
        <f>VLOOKUP(A678,天然气期货!A:B,2,FALSE)</f>
        <v>2.565</v>
      </c>
      <c r="I678" s="111">
        <f>VLOOKUP(A678,黄金期货!A:B,2,FALSE)</f>
        <v>2574.9</v>
      </c>
      <c r="J678" s="106">
        <f>VLOOKUP(A678,Sheet2!A:C,3,FALSE)</f>
        <v>1160</v>
      </c>
      <c r="L678" s="112">
        <f t="shared" si="30"/>
        <v>-0.00429184549356223</v>
      </c>
    </row>
    <row r="679" spans="1:12">
      <c r="A679" s="109">
        <v>45554</v>
      </c>
      <c r="B679" s="106">
        <f>VLOOKUP(A679,Sheet2!A:C,2,FALSE)</f>
        <v>255.95</v>
      </c>
      <c r="C679" s="106">
        <v>3700</v>
      </c>
      <c r="D679" s="106">
        <f>VLOOKUP(A679,Sheet4!A:C,2,FALSE)</f>
        <v>880</v>
      </c>
      <c r="E679" s="106">
        <f>VLOOKUP(A679,Sheet5!A:B,2,FALSE)</f>
        <v>7.0679</v>
      </c>
      <c r="F679" s="106">
        <f>VLOOKUP(A679,Sheet6!A:B,2,FALSE)</f>
        <v>100.61</v>
      </c>
      <c r="G679" s="106">
        <f>VLOOKUP(A679,WTI原油期货!A:B,2,FALSE)</f>
        <v>71.16</v>
      </c>
      <c r="H679" s="106">
        <f>VLOOKUP(A679,天然气期货!A:B,2,FALSE)</f>
        <v>2.595</v>
      </c>
      <c r="I679" s="111">
        <f>VLOOKUP(A679,黄金期货!A:B,2,FALSE)</f>
        <v>2590.9</v>
      </c>
      <c r="J679" s="106">
        <f>VLOOKUP(A679,Sheet2!A:C,3,FALSE)</f>
        <v>1160</v>
      </c>
      <c r="L679" s="112">
        <f t="shared" si="30"/>
        <v>0</v>
      </c>
    </row>
    <row r="680" spans="1:12">
      <c r="A680" s="109">
        <v>45555</v>
      </c>
      <c r="B680" s="106">
        <f>VLOOKUP(A680,Sheet2!A:C,2,FALSE)</f>
        <v>253.25</v>
      </c>
      <c r="C680" s="106">
        <v>3700</v>
      </c>
      <c r="D680" s="106">
        <f>VLOOKUP(A680,Sheet4!A:C,2,FALSE)</f>
        <v>881</v>
      </c>
      <c r="E680" s="106">
        <f>VLOOKUP(A680,Sheet5!A:B,2,FALSE)</f>
        <v>7.0513</v>
      </c>
      <c r="F680" s="106">
        <f>VLOOKUP(A680,Sheet6!A:B,2,FALSE)</f>
        <v>100.72</v>
      </c>
      <c r="G680" s="106">
        <f>VLOOKUP(A680,WTI原油期货!A:B,2,FALSE)</f>
        <v>71</v>
      </c>
      <c r="H680" s="106">
        <f>VLOOKUP(A680,天然气期货!A:B,2,FALSE)</f>
        <v>2.719</v>
      </c>
      <c r="I680" s="111">
        <f>VLOOKUP(A680,黄金期货!A:B,2,FALSE)</f>
        <v>2622.4</v>
      </c>
      <c r="J680" s="106">
        <f>VLOOKUP(A680,Sheet2!A:C,3,FALSE)</f>
        <v>1150</v>
      </c>
      <c r="L680" s="112">
        <f t="shared" si="30"/>
        <v>-0.00862068965517241</v>
      </c>
    </row>
    <row r="681" spans="1:12">
      <c r="A681" s="109">
        <v>45558</v>
      </c>
      <c r="B681" s="106">
        <f>VLOOKUP(A681,Sheet2!A:C,2,FALSE)</f>
        <v>250.9</v>
      </c>
      <c r="C681" s="106">
        <v>3700</v>
      </c>
      <c r="D681" s="106">
        <f>VLOOKUP(A681,Sheet4!A:C,2,FALSE)</f>
        <v>879</v>
      </c>
      <c r="E681" s="106">
        <f>VLOOKUP(A681,Sheet5!A:B,2,FALSE)</f>
        <v>7.0516</v>
      </c>
      <c r="F681" s="106">
        <f>VLOOKUP(A681,Sheet6!A:B,2,FALSE)</f>
        <v>100.85</v>
      </c>
      <c r="G681" s="106">
        <f>VLOOKUP(A681,WTI原油期货!A:B,2,FALSE)</f>
        <v>69.61</v>
      </c>
      <c r="H681" s="106">
        <f>VLOOKUP(A681,天然气期货!A:B,2,FALSE)</f>
        <v>2.854</v>
      </c>
      <c r="I681" s="111">
        <f>VLOOKUP(A681,黄金期货!A:B,2,FALSE)</f>
        <v>2628.6</v>
      </c>
      <c r="J681" s="106">
        <f>VLOOKUP(A681,Sheet2!A:C,3,FALSE)</f>
        <v>1145</v>
      </c>
      <c r="L681" s="112">
        <f t="shared" si="30"/>
        <v>-0.00434782608695652</v>
      </c>
    </row>
    <row r="682" spans="1:12">
      <c r="A682" s="109">
        <v>45559</v>
      </c>
      <c r="B682" s="106">
        <f>VLOOKUP(A682,Sheet2!A:C,2,FALSE)</f>
        <v>247.35</v>
      </c>
      <c r="C682" s="106">
        <v>3700</v>
      </c>
      <c r="D682" s="106">
        <f>VLOOKUP(A682,Sheet4!A:C,2,FALSE)</f>
        <v>877</v>
      </c>
      <c r="E682" s="106">
        <f>VLOOKUP(A682,Sheet5!A:B,2,FALSE)</f>
        <v>7.0319</v>
      </c>
      <c r="F682" s="106">
        <f>VLOOKUP(A682,Sheet6!A:B,2,FALSE)</f>
        <v>100.47</v>
      </c>
      <c r="G682" s="106">
        <f>VLOOKUP(A682,WTI原油期货!A:B,2,FALSE)</f>
        <v>70.84</v>
      </c>
      <c r="H682" s="106">
        <f>VLOOKUP(A682,天然气期货!A:B,2,FALSE)</f>
        <v>2.791</v>
      </c>
      <c r="I682" s="111">
        <f>VLOOKUP(A682,黄金期货!A:B,2,FALSE)</f>
        <v>2653</v>
      </c>
      <c r="J682" s="106">
        <f>VLOOKUP(A682,Sheet2!A:C,3,FALSE)</f>
        <v>1135</v>
      </c>
      <c r="L682" s="112">
        <f t="shared" si="30"/>
        <v>-0.00873362445414847</v>
      </c>
    </row>
    <row r="683" spans="1:12">
      <c r="A683" s="109">
        <v>45560</v>
      </c>
      <c r="B683" s="106">
        <f>VLOOKUP(A683,Sheet2!A:C,2,FALSE)</f>
        <v>248.4</v>
      </c>
      <c r="C683" s="106">
        <v>3700</v>
      </c>
      <c r="D683" s="106">
        <f>VLOOKUP(A683,Sheet4!A:C,2,FALSE)</f>
        <v>879</v>
      </c>
      <c r="E683" s="106">
        <f>VLOOKUP(A683,Sheet5!A:B,2,FALSE)</f>
        <v>7.0323</v>
      </c>
      <c r="F683" s="106">
        <f>VLOOKUP(A683,Sheet6!A:B,2,FALSE)</f>
        <v>100.91</v>
      </c>
      <c r="G683" s="106">
        <f>VLOOKUP(A683,WTI原油期货!A:B,2,FALSE)</f>
        <v>69.13</v>
      </c>
      <c r="H683" s="106">
        <f>VLOOKUP(A683,天然气期货!A:B,2,FALSE)</f>
        <v>2.817</v>
      </c>
      <c r="I683" s="111">
        <f>VLOOKUP(A683,黄金期货!A:B,2,FALSE)</f>
        <v>2660.7</v>
      </c>
      <c r="J683" s="106">
        <f>VLOOKUP(A683,Sheet2!A:C,3,FALSE)</f>
        <v>1130</v>
      </c>
      <c r="L683" s="112">
        <f t="shared" si="30"/>
        <v>-0.00440528634361234</v>
      </c>
    </row>
    <row r="684" spans="1:12">
      <c r="A684" s="109">
        <v>45561</v>
      </c>
      <c r="B684" s="106">
        <f>VLOOKUP(A684,Sheet2!A:C,2,FALSE)</f>
        <v>248.61</v>
      </c>
      <c r="C684" s="106">
        <v>3700</v>
      </c>
      <c r="D684" s="106">
        <f>VLOOKUP(A684,Sheet4!A:C,2,FALSE)</f>
        <v>881</v>
      </c>
      <c r="E684" s="106">
        <f>VLOOKUP(A684,Sheet5!A:B,2,FALSE)</f>
        <v>7.0111</v>
      </c>
      <c r="F684" s="106">
        <f>VLOOKUP(A684,Sheet6!A:B,2,FALSE)</f>
        <v>100.52</v>
      </c>
      <c r="G684" s="106">
        <f>VLOOKUP(A684,WTI原油期货!A:B,2,FALSE)</f>
        <v>67.19</v>
      </c>
      <c r="H684" s="106">
        <f>VLOOKUP(A684,天然气期货!A:B,2,FALSE)</f>
        <v>2.753</v>
      </c>
      <c r="I684" s="111">
        <f>VLOOKUP(A684,黄金期货!A:B,2,FALSE)</f>
        <v>2670.4</v>
      </c>
      <c r="J684" s="106">
        <f>VLOOKUP(A684,Sheet2!A:C,3,FALSE)</f>
        <v>1125</v>
      </c>
      <c r="L684" s="112">
        <f t="shared" si="30"/>
        <v>-0.00442477876106195</v>
      </c>
    </row>
    <row r="685" spans="1:12">
      <c r="A685" s="109">
        <v>45562</v>
      </c>
      <c r="B685" s="106">
        <f>VLOOKUP(A685,Sheet2!A:C,2,FALSE)</f>
        <v>244.95</v>
      </c>
      <c r="C685" s="106">
        <v>3700</v>
      </c>
      <c r="D685" s="106">
        <f>VLOOKUP(A685,Sheet4!A:C,2,FALSE)</f>
        <v>882</v>
      </c>
      <c r="E685" s="106">
        <f>VLOOKUP(A685,Sheet5!A:B,2,FALSE)</f>
        <v>7.0111</v>
      </c>
      <c r="F685" s="106">
        <f>VLOOKUP(A685,Sheet6!A:B,2,FALSE)</f>
        <v>100.38</v>
      </c>
      <c r="G685" s="106">
        <f>VLOOKUP(A685,WTI原油期货!A:B,2,FALSE)</f>
        <v>67.67</v>
      </c>
      <c r="H685" s="106">
        <f>VLOOKUP(A685,天然气期货!A:B,2,FALSE)</f>
        <v>3.304</v>
      </c>
      <c r="I685" s="111">
        <f>VLOOKUP(A685,黄金期货!A:B,2,FALSE)</f>
        <v>2656.5</v>
      </c>
      <c r="J685" s="106">
        <f>VLOOKUP(A685,Sheet2!A:C,3,FALSE)</f>
        <v>1135</v>
      </c>
      <c r="L685" s="112">
        <f t="shared" si="30"/>
        <v>0.00888888888888889</v>
      </c>
    </row>
    <row r="686" spans="1:12">
      <c r="A686" s="109">
        <v>45564</v>
      </c>
      <c r="B686" s="106">
        <f>VLOOKUP(A686,Sheet2!A:C,2,FALSE)</f>
        <v>248.75</v>
      </c>
      <c r="C686" s="106">
        <v>3700</v>
      </c>
      <c r="D686" s="106">
        <f>VLOOKUP(A686,Sheet4!A:C,2,FALSE)</f>
        <v>884</v>
      </c>
      <c r="E686" s="106">
        <f>E685</f>
        <v>7.0111</v>
      </c>
      <c r="F686" s="106">
        <f>F685</f>
        <v>100.38</v>
      </c>
      <c r="G686" s="106">
        <f>G685</f>
        <v>67.67</v>
      </c>
      <c r="H686" s="106">
        <f>H685</f>
        <v>3.304</v>
      </c>
      <c r="I686" s="111">
        <f>I685</f>
        <v>2656.5</v>
      </c>
      <c r="J686" s="106">
        <f>VLOOKUP(A686,Sheet2!A:C,3,FALSE)</f>
        <v>1140</v>
      </c>
      <c r="L686" s="112">
        <f t="shared" si="30"/>
        <v>0.00440528634361234</v>
      </c>
    </row>
    <row r="687" spans="1:12">
      <c r="A687" s="109">
        <v>45565</v>
      </c>
      <c r="B687" s="106">
        <f>VLOOKUP(A687,Sheet2!A:C,2,FALSE)</f>
        <v>247.7</v>
      </c>
      <c r="C687" s="106">
        <v>3700</v>
      </c>
      <c r="D687" s="106">
        <f>VLOOKUP(A687,Sheet4!A:C,2,FALSE)</f>
        <v>888</v>
      </c>
      <c r="E687" s="106">
        <f>VLOOKUP(A687,Sheet5!A:B,2,FALSE)</f>
        <v>7.0185</v>
      </c>
      <c r="F687" s="106">
        <f>VLOOKUP(A687,Sheet6!A:B,2,FALSE)</f>
        <v>100.78</v>
      </c>
      <c r="G687" s="106">
        <f>VLOOKUP(A687,WTI原油期货!A:B,2,FALSE)</f>
        <v>67.77</v>
      </c>
      <c r="H687" s="106">
        <f>VLOOKUP(A687,天然气期货!A:B,2,FALSE)</f>
        <v>3.345</v>
      </c>
      <c r="I687" s="111">
        <f>VLOOKUP(A687,黄金期货!A:B,2,FALSE)</f>
        <v>2647.9</v>
      </c>
      <c r="J687" s="106">
        <f>VLOOKUP(A687,Sheet2!A:C,3,FALSE)</f>
        <v>1140</v>
      </c>
      <c r="L687" s="112">
        <f t="shared" si="30"/>
        <v>0</v>
      </c>
    </row>
    <row r="688" spans="1:12">
      <c r="A688" s="109">
        <v>45573</v>
      </c>
      <c r="B688" s="106">
        <f>VLOOKUP(A688,Sheet2!A:C,2,FALSE)</f>
        <v>235.6</v>
      </c>
      <c r="C688" s="106">
        <v>3700</v>
      </c>
      <c r="D688" s="106">
        <f>VLOOKUP(A688,Sheet4!A:C,2,FALSE)</f>
        <v>899</v>
      </c>
      <c r="E688" s="106">
        <f>VLOOKUP(A688,Sheet5!A:B,2,FALSE)</f>
        <v>7.0601</v>
      </c>
      <c r="F688" s="106">
        <f>VLOOKUP(A688,Sheet6!A:B,2,FALSE)</f>
        <v>102.55</v>
      </c>
      <c r="G688" s="106">
        <f>VLOOKUP(A688,WTI原油期货!A:B,2,FALSE)</f>
        <v>72.98</v>
      </c>
      <c r="H688" s="106">
        <f>VLOOKUP(A688,天然气期货!A:B,2,FALSE)</f>
        <v>3.199</v>
      </c>
      <c r="I688" s="111">
        <f>VLOOKUP(A688,黄金期货!A:B,2,FALSE)</f>
        <v>2623.5</v>
      </c>
      <c r="J688" s="106">
        <f>VLOOKUP(A688,Sheet2!A:C,3,FALSE)</f>
        <v>1180</v>
      </c>
      <c r="L688" s="112">
        <f t="shared" si="30"/>
        <v>0.0350877192982456</v>
      </c>
    </row>
    <row r="689" spans="1:12">
      <c r="A689" s="109">
        <v>45574</v>
      </c>
      <c r="B689" s="106">
        <f>VLOOKUP(A689,Sheet2!A:C,2,FALSE)</f>
        <v>243.4</v>
      </c>
      <c r="C689" s="106">
        <v>3700</v>
      </c>
      <c r="D689" s="106">
        <f>VLOOKUP(A689,Sheet4!A:C,2,FALSE)</f>
        <v>900</v>
      </c>
      <c r="E689" s="106">
        <f>VLOOKUP(A689,Sheet5!A:B,2,FALSE)</f>
        <v>7.0809</v>
      </c>
      <c r="F689" s="106">
        <f>VLOOKUP(A689,Sheet6!A:B,2,FALSE)</f>
        <v>102.93</v>
      </c>
      <c r="G689" s="106">
        <f>VLOOKUP(A689,WTI原油期货!A:B,2,FALSE)</f>
        <v>72.59</v>
      </c>
      <c r="H689" s="106">
        <f>VLOOKUP(A689,天然气期货!A:B,2,FALSE)</f>
        <v>3.116</v>
      </c>
      <c r="I689" s="111">
        <f>VLOOKUP(A689,黄金期货!A:B,2,FALSE)</f>
        <v>2614.1</v>
      </c>
      <c r="J689" s="106">
        <f>VLOOKUP(A689,Sheet2!A:C,3,FALSE)</f>
        <v>1195</v>
      </c>
      <c r="L689" s="112">
        <f t="shared" si="30"/>
        <v>0.0127118644067797</v>
      </c>
    </row>
    <row r="690" spans="1:12">
      <c r="A690" s="109">
        <v>45575</v>
      </c>
      <c r="B690" s="106">
        <f>VLOOKUP(A690,Sheet2!A:C,2,FALSE)</f>
        <v>240.8</v>
      </c>
      <c r="C690" s="106">
        <v>3700</v>
      </c>
      <c r="D690" s="106">
        <f>VLOOKUP(A690,Sheet4!A:C,2,FALSE)</f>
        <v>901</v>
      </c>
      <c r="E690" s="106">
        <f>VLOOKUP(A690,Sheet5!A:B,2,FALSE)</f>
        <v>7.0798</v>
      </c>
      <c r="F690" s="106">
        <f>VLOOKUP(A690,Sheet6!A:B,2,FALSE)</f>
        <v>102.99</v>
      </c>
      <c r="G690" s="106">
        <f>VLOOKUP(A690,WTI原油期货!A:B,2,FALSE)</f>
        <v>75.11</v>
      </c>
      <c r="H690" s="106">
        <f>VLOOKUP(A690,天然气期货!A:B,2,FALSE)</f>
        <v>3.102</v>
      </c>
      <c r="I690" s="111">
        <f>VLOOKUP(A690,黄金期货!A:B,2,FALSE)</f>
        <v>2627.4</v>
      </c>
      <c r="J690" s="106">
        <f>VLOOKUP(A690,Sheet2!A:C,3,FALSE)</f>
        <v>1215</v>
      </c>
      <c r="L690" s="112">
        <f t="shared" si="30"/>
        <v>0.0167364016736402</v>
      </c>
    </row>
    <row r="691" spans="1:12">
      <c r="A691" s="109">
        <v>45576</v>
      </c>
      <c r="B691" s="106">
        <f>VLOOKUP(A691,Sheet2!A:C,2,FALSE)</f>
        <v>240.05</v>
      </c>
      <c r="C691" s="106">
        <v>3700</v>
      </c>
      <c r="D691" s="106">
        <f>VLOOKUP(A691,Sheet4!A:C,2,FALSE)</f>
        <v>902</v>
      </c>
      <c r="E691" s="106">
        <f>VLOOKUP(A691,Sheet5!A:B,2,FALSE)</f>
        <v>7.0668</v>
      </c>
      <c r="F691" s="106">
        <f>VLOOKUP(A691,Sheet6!A:B,2,FALSE)</f>
        <v>102.89</v>
      </c>
      <c r="G691" s="106">
        <f>VLOOKUP(A691,WTI原油期货!A:B,2,FALSE)</f>
        <v>74.85</v>
      </c>
      <c r="H691" s="106">
        <f>VLOOKUP(A691,天然气期货!A:B,2,FALSE)</f>
        <v>3.047</v>
      </c>
      <c r="I691" s="111">
        <f>VLOOKUP(A691,黄金期货!A:B,2,FALSE)</f>
        <v>2664.4</v>
      </c>
      <c r="J691" s="106">
        <f>VLOOKUP(A691,Sheet2!A:C,3,FALSE)</f>
        <v>1250</v>
      </c>
      <c r="L691" s="112">
        <f t="shared" si="30"/>
        <v>0.0288065843621399</v>
      </c>
    </row>
    <row r="692" spans="1:12">
      <c r="A692" s="109">
        <v>45577</v>
      </c>
      <c r="B692" s="106">
        <f>VLOOKUP(A692,Sheet2!A:C,2,FALSE)</f>
        <v>233.4</v>
      </c>
      <c r="C692" s="106">
        <v>3700</v>
      </c>
      <c r="D692" s="106">
        <f>VLOOKUP(A692,Sheet4!A:C,2,FALSE)</f>
        <v>903</v>
      </c>
      <c r="E692" s="106">
        <f>E691</f>
        <v>7.0668</v>
      </c>
      <c r="F692" s="106">
        <f>F691</f>
        <v>102.89</v>
      </c>
      <c r="G692" s="106">
        <f>G691</f>
        <v>74.85</v>
      </c>
      <c r="H692" s="106">
        <f>H691</f>
        <v>3.047</v>
      </c>
      <c r="I692" s="111">
        <f>I691</f>
        <v>2664.4</v>
      </c>
      <c r="J692" s="106">
        <f>VLOOKUP(A692,Sheet2!A:C,3,FALSE)</f>
        <v>1270</v>
      </c>
      <c r="L692" s="112">
        <f t="shared" si="30"/>
        <v>0.016</v>
      </c>
    </row>
    <row r="693" spans="1:12">
      <c r="A693" s="109">
        <v>45579</v>
      </c>
      <c r="B693" s="106">
        <f>VLOOKUP(A693,Sheet2!A:C,2,FALSE)</f>
        <v>231.13</v>
      </c>
      <c r="C693" s="106">
        <v>3700</v>
      </c>
      <c r="D693" s="106">
        <f>VLOOKUP(A693,Sheet4!A:C,2,FALSE)</f>
        <v>903</v>
      </c>
      <c r="E693" s="106">
        <f>VLOOKUP(A693,Sheet5!A:B,2,FALSE)</f>
        <v>7.0875</v>
      </c>
      <c r="F693" s="106">
        <f>VLOOKUP(A693,Sheet6!A:B,2,FALSE)</f>
        <v>103.3</v>
      </c>
      <c r="G693" s="106">
        <f>VLOOKUP(A693,WTI原油期货!A:B,2,FALSE)</f>
        <v>73.24</v>
      </c>
      <c r="H693" s="106">
        <f>VLOOKUP(A693,天然气期货!A:B,2,FALSE)</f>
        <v>2.93</v>
      </c>
      <c r="I693" s="111">
        <f>VLOOKUP(A693,黄金期货!A:B,2,FALSE)</f>
        <v>2653.7</v>
      </c>
      <c r="J693" s="106">
        <f>VLOOKUP(A693,Sheet2!A:C,3,FALSE)</f>
        <v>1270</v>
      </c>
      <c r="L693" s="112">
        <f t="shared" si="30"/>
        <v>0</v>
      </c>
    </row>
    <row r="694" spans="1:12">
      <c r="A694" s="109">
        <v>45580</v>
      </c>
      <c r="B694" s="106">
        <f>VLOOKUP(A694,Sheet2!A:C,2,FALSE)</f>
        <v>227.3</v>
      </c>
      <c r="C694" s="106">
        <v>3700</v>
      </c>
      <c r="D694" s="106">
        <f>VLOOKUP(A694,Sheet4!A:C,2,FALSE)</f>
        <v>901</v>
      </c>
      <c r="E694" s="106">
        <f>VLOOKUP(A694,Sheet5!A:B,2,FALSE)</f>
        <v>7.1196</v>
      </c>
      <c r="F694" s="106">
        <f>VLOOKUP(A694,Sheet6!A:B,2,FALSE)</f>
        <v>103.26</v>
      </c>
      <c r="G694" s="106">
        <f>VLOOKUP(A694,WTI原油期货!A:B,2,FALSE)</f>
        <v>70.01</v>
      </c>
      <c r="H694" s="106">
        <f>VLOOKUP(A694,天然气期货!A:B,2,FALSE)</f>
        <v>2.944</v>
      </c>
      <c r="I694" s="111">
        <f>VLOOKUP(A694,黄金期货!A:B,2,FALSE)</f>
        <v>2667</v>
      </c>
      <c r="J694" s="106">
        <f>VLOOKUP(A694,Sheet2!A:C,3,FALSE)</f>
        <v>1240</v>
      </c>
      <c r="L694" s="112">
        <f t="shared" si="30"/>
        <v>-0.0236220472440945</v>
      </c>
    </row>
    <row r="695" spans="1:12">
      <c r="A695" s="109">
        <v>45581</v>
      </c>
      <c r="B695" s="106">
        <f>VLOOKUP(A695,Sheet2!A:C,2,FALSE)</f>
        <v>227.65</v>
      </c>
      <c r="C695" s="106">
        <v>3700</v>
      </c>
      <c r="D695" s="106">
        <f>VLOOKUP(A695,Sheet4!A:C,2,FALSE)</f>
        <v>900</v>
      </c>
      <c r="E695" s="106">
        <f>VLOOKUP(A695,Sheet5!A:B,2,FALSE)</f>
        <v>7.1195</v>
      </c>
      <c r="F695" s="106">
        <f>VLOOKUP(A695,Sheet6!A:B,2,FALSE)</f>
        <v>103.59</v>
      </c>
      <c r="G695" s="106">
        <f>VLOOKUP(A695,WTI原油期货!A:B,2,FALSE)</f>
        <v>69.82</v>
      </c>
      <c r="H695" s="106">
        <f>VLOOKUP(A695,天然气期货!A:B,2,FALSE)</f>
        <v>2.841</v>
      </c>
      <c r="I695" s="111">
        <f>VLOOKUP(A695,黄金期货!A:B,2,FALSE)</f>
        <v>2679.3</v>
      </c>
      <c r="J695" s="106">
        <f>VLOOKUP(A695,Sheet2!A:C,3,FALSE)</f>
        <v>1260</v>
      </c>
      <c r="L695" s="112">
        <f t="shared" si="30"/>
        <v>0.0161290322580645</v>
      </c>
    </row>
    <row r="696" spans="1:12">
      <c r="A696" s="109">
        <v>45582</v>
      </c>
      <c r="B696" s="106">
        <f>VLOOKUP(A696,Sheet2!A:C,2,FALSE)</f>
        <v>227.4</v>
      </c>
      <c r="C696" s="106">
        <v>3700</v>
      </c>
      <c r="D696" s="106">
        <f>VLOOKUP(A696,Sheet4!A:C,2,FALSE)</f>
        <v>899</v>
      </c>
      <c r="E696" s="106">
        <f>VLOOKUP(A696,Sheet5!A:B,2,FALSE)</f>
        <v>7.1238</v>
      </c>
      <c r="F696" s="106">
        <f>VLOOKUP(A696,Sheet6!A:B,2,FALSE)</f>
        <v>103.82</v>
      </c>
      <c r="G696" s="106">
        <f>VLOOKUP(A696,WTI原油期货!A:B,2,FALSE)</f>
        <v>70.09</v>
      </c>
      <c r="H696" s="106">
        <f>VLOOKUP(A696,天然气期货!A:B,2,FALSE)</f>
        <v>2.83</v>
      </c>
      <c r="I696" s="111">
        <f>VLOOKUP(A696,黄金期货!A:B,2,FALSE)</f>
        <v>2695.5</v>
      </c>
      <c r="J696" s="106">
        <f>VLOOKUP(A696,Sheet2!A:C,3,FALSE)</f>
        <v>1260</v>
      </c>
      <c r="L696" s="112">
        <f t="shared" si="30"/>
        <v>0</v>
      </c>
    </row>
    <row r="697" spans="1:12">
      <c r="A697" s="109">
        <v>45583</v>
      </c>
      <c r="B697" s="106">
        <f>VLOOKUP(A697,Sheet2!A:C,2,FALSE)</f>
        <v>227.05</v>
      </c>
      <c r="C697" s="106">
        <v>3700</v>
      </c>
      <c r="D697" s="106">
        <f>VLOOKUP(A697,Sheet4!A:C,2,FALSE)</f>
        <v>896</v>
      </c>
      <c r="E697" s="106">
        <f>VLOOKUP(A697,Sheet5!A:B,2,FALSE)</f>
        <v>7.1023</v>
      </c>
      <c r="F697" s="106">
        <f>VLOOKUP(A697,Sheet6!A:B,2,FALSE)</f>
        <v>103.49</v>
      </c>
      <c r="G697" s="106">
        <f>VLOOKUP(A697,WTI原油期货!A:B,2,FALSE)</f>
        <v>68.69</v>
      </c>
      <c r="H697" s="106">
        <f>VLOOKUP(A697,天然气期货!A:B,2,FALSE)</f>
        <v>2.765</v>
      </c>
      <c r="I697" s="111">
        <f>VLOOKUP(A697,黄金期货!A:B,2,FALSE)</f>
        <v>2718</v>
      </c>
      <c r="J697" s="106">
        <f>VLOOKUP(A697,Sheet2!A:C,3,FALSE)</f>
        <v>1260</v>
      </c>
      <c r="L697" s="112">
        <f t="shared" si="30"/>
        <v>0</v>
      </c>
    </row>
    <row r="698" spans="1:12">
      <c r="A698" s="109">
        <v>45586</v>
      </c>
      <c r="B698" s="106">
        <f>VLOOKUP(A698,Sheet2!A:C,2,FALSE)</f>
        <v>225.2</v>
      </c>
      <c r="C698" s="106">
        <v>3700</v>
      </c>
      <c r="D698" s="106">
        <f>VLOOKUP(A698,Sheet4!A:C,2,FALSE)</f>
        <v>894</v>
      </c>
      <c r="E698" s="106">
        <f>VLOOKUP(A698,Sheet5!A:B,2,FALSE)</f>
        <v>7.1195</v>
      </c>
      <c r="F698" s="106">
        <f>VLOOKUP(A698,Sheet6!A:B,2,FALSE)</f>
        <v>104.01</v>
      </c>
      <c r="G698" s="106">
        <f>VLOOKUP(A698,WTI原油期货!A:B,2,FALSE)</f>
        <v>70.04</v>
      </c>
      <c r="H698" s="106">
        <f>VLOOKUP(A698,天然气期货!A:B,2,FALSE)</f>
        <v>2.807</v>
      </c>
      <c r="I698" s="111">
        <f>VLOOKUP(A698,黄金期货!A:B,2,FALSE)</f>
        <v>2726.8</v>
      </c>
      <c r="J698" s="106">
        <f>VLOOKUP(A698,Sheet2!A:C,3,FALSE)</f>
        <v>1270</v>
      </c>
      <c r="L698" s="112">
        <f t="shared" si="30"/>
        <v>0.00793650793650794</v>
      </c>
    </row>
    <row r="699" spans="1:12">
      <c r="A699" s="109">
        <v>45587</v>
      </c>
      <c r="B699" s="106">
        <f>VLOOKUP(A699,Sheet2!A:C,2,FALSE)</f>
        <v>228.15</v>
      </c>
      <c r="C699" s="106">
        <v>3700</v>
      </c>
      <c r="D699" s="106">
        <f>VLOOKUP(A699,Sheet4!A:C,2,FALSE)</f>
        <v>892</v>
      </c>
      <c r="E699" s="106">
        <f>VLOOKUP(A699,Sheet5!A:B,2,FALSE)</f>
        <v>7.1233</v>
      </c>
      <c r="F699" s="106">
        <f>VLOOKUP(A699,Sheet6!A:B,2,FALSE)</f>
        <v>104.07</v>
      </c>
      <c r="G699" s="106">
        <f>VLOOKUP(A699,WTI原油期货!A:B,2,FALSE)</f>
        <v>71.74</v>
      </c>
      <c r="H699" s="106">
        <f>VLOOKUP(A699,天然气期货!A:B,2,FALSE)</f>
        <v>2.895</v>
      </c>
      <c r="I699" s="111">
        <f>VLOOKUP(A699,黄金期货!A:B,2,FALSE)</f>
        <v>2747.4</v>
      </c>
      <c r="J699" s="106">
        <f>VLOOKUP(A699,Sheet2!A:C,3,FALSE)</f>
        <v>1275</v>
      </c>
      <c r="L699" s="112">
        <f t="shared" si="30"/>
        <v>0.00393700787401575</v>
      </c>
    </row>
    <row r="700" spans="1:12">
      <c r="A700" s="109">
        <v>45588</v>
      </c>
      <c r="B700" s="106">
        <f>VLOOKUP(A700,Sheet2!A:C,2,FALSE)</f>
        <v>226.85</v>
      </c>
      <c r="C700" s="106">
        <v>3700</v>
      </c>
      <c r="D700" s="106">
        <f>VLOOKUP(A700,Sheet4!A:C,2,FALSE)</f>
        <v>895</v>
      </c>
      <c r="E700" s="106">
        <f>VLOOKUP(A700,Sheet5!A:B,2,FALSE)</f>
        <v>7.1259</v>
      </c>
      <c r="F700" s="106">
        <f>VLOOKUP(A700,Sheet6!A:B,2,FALSE)</f>
        <v>104.43</v>
      </c>
      <c r="G700" s="106">
        <f>VLOOKUP(A700,WTI原油期货!A:B,2,FALSE)</f>
        <v>70.37</v>
      </c>
      <c r="H700" s="106">
        <f>VLOOKUP(A700,天然气期货!A:B,2,FALSE)</f>
        <v>2.901</v>
      </c>
      <c r="I700" s="111">
        <f>VLOOKUP(A700,黄金期货!A:B,2,FALSE)</f>
        <v>2717.1</v>
      </c>
      <c r="J700" s="106">
        <f>VLOOKUP(A700,Sheet2!A:C,3,FALSE)</f>
        <v>1285</v>
      </c>
      <c r="L700" s="112">
        <f t="shared" si="30"/>
        <v>0.00784313725490196</v>
      </c>
    </row>
    <row r="701" spans="1:12">
      <c r="A701" s="109">
        <v>45589</v>
      </c>
      <c r="B701" s="106">
        <f>VLOOKUP(A701,Sheet2!A:C,2,FALSE)</f>
        <v>231.89</v>
      </c>
      <c r="C701" s="106">
        <v>3700</v>
      </c>
      <c r="D701" s="106">
        <f>VLOOKUP(A701,Sheet4!A:C,2,FALSE)</f>
        <v>894</v>
      </c>
      <c r="E701" s="106">
        <f>VLOOKUP(A701,Sheet5!A:B,2,FALSE)</f>
        <v>7.1199</v>
      </c>
      <c r="F701" s="106">
        <f>VLOOKUP(A701,Sheet6!A:B,2,FALSE)</f>
        <v>104.06</v>
      </c>
      <c r="G701" s="106">
        <f>VLOOKUP(A701,WTI原油期货!A:B,2,FALSE)</f>
        <v>69.84</v>
      </c>
      <c r="H701" s="106">
        <f>VLOOKUP(A701,天然气期货!A:B,2,FALSE)</f>
        <v>3.018</v>
      </c>
      <c r="I701" s="111">
        <f>VLOOKUP(A701,黄金期货!A:B,2,FALSE)</f>
        <v>2736.5</v>
      </c>
      <c r="J701" s="106">
        <f>VLOOKUP(A701,Sheet2!A:C,3,FALSE)</f>
        <v>1295</v>
      </c>
      <c r="L701" s="112">
        <f t="shared" si="30"/>
        <v>0.00778210116731518</v>
      </c>
    </row>
    <row r="702" spans="1:12">
      <c r="A702" s="109">
        <v>45590</v>
      </c>
      <c r="B702" s="106">
        <f>VLOOKUP(A702,Sheet2!A:C,2,FALSE)</f>
        <v>233</v>
      </c>
      <c r="C702" s="106">
        <v>3700</v>
      </c>
      <c r="D702" s="106">
        <f>VLOOKUP(A702,Sheet4!A:C,2,FALSE)</f>
        <v>894</v>
      </c>
      <c r="E702" s="106">
        <f>VLOOKUP(A702,Sheet5!A:B,2,FALSE)</f>
        <v>7.1206</v>
      </c>
      <c r="F702" s="106">
        <f>VLOOKUP(A702,Sheet6!A:B,2,FALSE)</f>
        <v>104.26</v>
      </c>
      <c r="G702" s="106">
        <f>VLOOKUP(A702,WTI原油期货!A:B,2,FALSE)</f>
        <v>71.35</v>
      </c>
      <c r="H702" s="106">
        <f>VLOOKUP(A702,天然气期货!A:B,2,FALSE)</f>
        <v>3.092</v>
      </c>
      <c r="I702" s="111">
        <f>VLOOKUP(A702,黄金期货!A:B,2,FALSE)</f>
        <v>2742.2</v>
      </c>
      <c r="J702" s="106">
        <f>VLOOKUP(A702,Sheet2!A:C,3,FALSE)</f>
        <v>1290</v>
      </c>
      <c r="L702" s="112">
        <f t="shared" si="30"/>
        <v>-0.00386100386100386</v>
      </c>
    </row>
    <row r="703" spans="1:12">
      <c r="A703" s="109">
        <v>45593</v>
      </c>
      <c r="B703" s="106">
        <f>VLOOKUP(A703,Sheet2!A:C,2,FALSE)</f>
        <v>228.1</v>
      </c>
      <c r="C703" s="106">
        <v>3700</v>
      </c>
      <c r="D703" s="106">
        <f>VLOOKUP(A703,Sheet4!A:C,2,FALSE)</f>
        <v>895</v>
      </c>
      <c r="E703" s="106">
        <f>VLOOKUP(A703,Sheet5!A:B,2,FALSE)</f>
        <v>7.1257</v>
      </c>
      <c r="F703" s="106">
        <f>VLOOKUP(A703,Sheet6!A:B,2,FALSE)</f>
        <v>104.32</v>
      </c>
      <c r="G703" s="106">
        <f>VLOOKUP(A703,WTI原油期货!A:B,2,FALSE)</f>
        <v>66.98</v>
      </c>
      <c r="H703" s="106">
        <f>VLOOKUP(A703,天然气期货!A:B,2,FALSE)</f>
        <v>2.863</v>
      </c>
      <c r="I703" s="111">
        <f>VLOOKUP(A703,黄金期货!A:B,2,FALSE)</f>
        <v>2743.6</v>
      </c>
      <c r="J703" s="106">
        <f>VLOOKUP(A703,Sheet2!A:C,3,FALSE)</f>
        <v>1290</v>
      </c>
      <c r="L703" s="112">
        <f t="shared" si="30"/>
        <v>0</v>
      </c>
    </row>
    <row r="704" spans="1:12">
      <c r="A704" s="109">
        <v>45594</v>
      </c>
      <c r="B704" s="106">
        <f>VLOOKUP(A704,Sheet2!A:C,2,FALSE)</f>
        <v>233.5</v>
      </c>
      <c r="C704" s="106">
        <v>3700</v>
      </c>
      <c r="D704" s="106">
        <f>VLOOKUP(A704,Sheet4!A:C,2,FALSE)</f>
        <v>893</v>
      </c>
      <c r="E704" s="106">
        <f>VLOOKUP(A704,Sheet5!A:B,2,FALSE)</f>
        <v>7.1306</v>
      </c>
      <c r="F704" s="106">
        <f>VLOOKUP(A704,Sheet6!A:B,2,FALSE)</f>
        <v>104.32</v>
      </c>
      <c r="G704" s="106">
        <f>VLOOKUP(A704,WTI原油期货!A:B,2,FALSE)</f>
        <v>66.81</v>
      </c>
      <c r="H704" s="106">
        <f>VLOOKUP(A704,天然气期货!A:B,2,FALSE)</f>
        <v>2.859</v>
      </c>
      <c r="I704" s="111">
        <f>VLOOKUP(A704,黄金期货!A:B,2,FALSE)</f>
        <v>2768.8</v>
      </c>
      <c r="J704" s="106">
        <f>VLOOKUP(A704,Sheet2!A:C,3,FALSE)</f>
        <v>1290</v>
      </c>
      <c r="L704" s="112">
        <f t="shared" si="30"/>
        <v>0</v>
      </c>
    </row>
    <row r="705" spans="1:12">
      <c r="A705" s="109">
        <v>45595</v>
      </c>
      <c r="B705" s="106">
        <f>VLOOKUP(A705,Sheet2!A:C,2,FALSE)</f>
        <v>232.6</v>
      </c>
      <c r="C705" s="106">
        <v>3700</v>
      </c>
      <c r="D705" s="106">
        <f>VLOOKUP(A705,Sheet4!A:C,2,FALSE)</f>
        <v>893</v>
      </c>
      <c r="E705" s="106">
        <f>VLOOKUP(A705,Sheet5!A:B,2,FALSE)</f>
        <v>7.1155</v>
      </c>
      <c r="F705" s="106">
        <f>VLOOKUP(A705,Sheet6!A:B,2,FALSE)</f>
        <v>103.99</v>
      </c>
      <c r="G705" s="106">
        <f>VLOOKUP(A705,WTI原油期货!A:B,2,FALSE)</f>
        <v>68.18</v>
      </c>
      <c r="H705" s="106">
        <f>VLOOKUP(A705,天然气期货!A:B,2,FALSE)</f>
        <v>3.101</v>
      </c>
      <c r="I705" s="111">
        <f>VLOOKUP(A705,黄金期货!A:B,2,FALSE)</f>
        <v>2800.8</v>
      </c>
      <c r="J705" s="106">
        <f>VLOOKUP(A705,Sheet2!A:C,3,FALSE)</f>
        <v>1290</v>
      </c>
      <c r="L705" s="112">
        <f t="shared" si="30"/>
        <v>0</v>
      </c>
    </row>
    <row r="706" spans="1:12">
      <c r="A706" s="109">
        <v>45596</v>
      </c>
      <c r="B706" s="106">
        <f>VLOOKUP(A706,Sheet2!A:C,2,FALSE)</f>
        <v>234</v>
      </c>
      <c r="C706" s="106">
        <v>3700</v>
      </c>
      <c r="D706" s="106">
        <f>VLOOKUP(A706,Sheet4!A:C,2,FALSE)</f>
        <v>892</v>
      </c>
      <c r="E706" s="106">
        <f>VLOOKUP(A706,Sheet5!A:B,2,FALSE)</f>
        <v>7.1182</v>
      </c>
      <c r="F706" s="106">
        <f>VLOOKUP(A706,Sheet6!A:B,2,FALSE)</f>
        <v>103.98</v>
      </c>
      <c r="G706" s="106">
        <f>VLOOKUP(A706,WTI原油期货!A:B,2,FALSE)</f>
        <v>68.81</v>
      </c>
      <c r="H706" s="106">
        <f>VLOOKUP(A706,天然气期货!A:B,2,FALSE)</f>
        <v>2.968</v>
      </c>
      <c r="I706" s="111">
        <f>VLOOKUP(A706,黄金期货!A:B,2,FALSE)</f>
        <v>2749.3</v>
      </c>
      <c r="J706" s="106">
        <f>VLOOKUP(A706,Sheet2!A:C,3,FALSE)</f>
        <v>1295</v>
      </c>
      <c r="L706" s="112">
        <f t="shared" si="30"/>
        <v>0.00387596899224806</v>
      </c>
    </row>
    <row r="707" spans="1:12">
      <c r="A707" s="109">
        <v>45597</v>
      </c>
      <c r="B707" s="106">
        <f>VLOOKUP(A707,Sheet2!A:C,2,FALSE)</f>
        <v>235.7</v>
      </c>
      <c r="C707" s="106">
        <v>3700</v>
      </c>
      <c r="D707" s="106">
        <f>VLOOKUP(A707,Sheet4!A:C,2,FALSE)</f>
        <v>893</v>
      </c>
      <c r="E707" s="106">
        <f>VLOOKUP(A707,Sheet5!A:B,2,FALSE)</f>
        <v>7.1224</v>
      </c>
      <c r="F707" s="106">
        <f>VLOOKUP(A707,Sheet6!A:B,2,FALSE)</f>
        <v>104.28</v>
      </c>
      <c r="G707" s="106">
        <f>VLOOKUP(A707,WTI原油期货!A:B,2,FALSE)</f>
        <v>69.08</v>
      </c>
      <c r="H707" s="106">
        <f>VLOOKUP(A707,天然气期货!A:B,2,FALSE)</f>
        <v>2.936</v>
      </c>
      <c r="I707" s="111">
        <f>VLOOKUP(A707,黄金期货!A:B,2,FALSE)</f>
        <v>2749.2</v>
      </c>
      <c r="J707" s="106">
        <f>VLOOKUP(A707,Sheet2!A:C,3,FALSE)</f>
        <v>1305</v>
      </c>
      <c r="L707" s="112">
        <f t="shared" ref="L707:L770" si="31">(J707-J706)/J706</f>
        <v>0.00772200772200772</v>
      </c>
    </row>
    <row r="708" spans="1:12">
      <c r="A708" s="109">
        <v>45600</v>
      </c>
      <c r="B708" s="106">
        <f>VLOOKUP(A708,Sheet2!A:C,2,FALSE)</f>
        <v>234.1</v>
      </c>
      <c r="C708" s="106">
        <v>3700</v>
      </c>
      <c r="D708" s="106">
        <f>VLOOKUP(A708,Sheet4!A:C,2,FALSE)</f>
        <v>894</v>
      </c>
      <c r="E708" s="106">
        <f>VLOOKUP(A708,Sheet5!A:B,2,FALSE)</f>
        <v>7.0996</v>
      </c>
      <c r="F708" s="106">
        <f>VLOOKUP(A708,Sheet6!A:B,2,FALSE)</f>
        <v>103.89</v>
      </c>
      <c r="G708" s="106">
        <f>VLOOKUP(A708,WTI原油期货!A:B,2,FALSE)</f>
        <v>71.03</v>
      </c>
      <c r="H708" s="106">
        <f>VLOOKUP(A708,天然气期货!A:B,2,FALSE)</f>
        <v>3.036</v>
      </c>
      <c r="I708" s="111">
        <f>VLOOKUP(A708,黄金期货!A:B,2,FALSE)</f>
        <v>2746.2</v>
      </c>
      <c r="J708" s="106">
        <f>VLOOKUP(A708,Sheet2!A:C,3,FALSE)</f>
        <v>1315</v>
      </c>
      <c r="L708" s="112">
        <f t="shared" si="31"/>
        <v>0.00766283524904215</v>
      </c>
    </row>
    <row r="709" spans="1:12">
      <c r="A709" s="109">
        <v>45601</v>
      </c>
      <c r="B709" s="106">
        <f>VLOOKUP(A709,Sheet2!A:C,2,FALSE)</f>
        <v>240.3</v>
      </c>
      <c r="C709" s="106">
        <v>3700</v>
      </c>
      <c r="D709" s="106">
        <f>VLOOKUP(A709,Sheet4!A:C,2,FALSE)</f>
        <v>893</v>
      </c>
      <c r="E709" s="106">
        <f>VLOOKUP(A709,Sheet5!A:B,2,FALSE)</f>
        <v>7.1051</v>
      </c>
      <c r="F709" s="106">
        <f>VLOOKUP(A709,Sheet6!A:B,2,FALSE)</f>
        <v>103.42</v>
      </c>
      <c r="G709" s="106">
        <f>VLOOKUP(A709,WTI原油期货!A:B,2,FALSE)</f>
        <v>71.56</v>
      </c>
      <c r="H709" s="106">
        <f>VLOOKUP(A709,天然气期货!A:B,2,FALSE)</f>
        <v>2.936</v>
      </c>
      <c r="I709" s="111">
        <f>VLOOKUP(A709,黄金期货!A:B,2,FALSE)</f>
        <v>2749.7</v>
      </c>
      <c r="J709" s="106">
        <f>VLOOKUP(A709,Sheet2!A:C,3,FALSE)</f>
        <v>1330</v>
      </c>
      <c r="L709" s="112">
        <f t="shared" si="31"/>
        <v>0.0114068441064639</v>
      </c>
    </row>
    <row r="710" spans="1:12">
      <c r="A710" s="109">
        <v>45602</v>
      </c>
      <c r="B710" s="106">
        <f>VLOOKUP(A710,Sheet2!A:C,2,FALSE)</f>
        <v>238.95</v>
      </c>
      <c r="C710" s="106">
        <v>3700</v>
      </c>
      <c r="D710" s="106">
        <f>VLOOKUP(A710,Sheet4!A:C,2,FALSE)</f>
        <v>895</v>
      </c>
      <c r="E710" s="106">
        <f>VLOOKUP(A710,Sheet5!A:B,2,FALSE)</f>
        <v>7.1783</v>
      </c>
      <c r="F710" s="106">
        <f>VLOOKUP(A710,Sheet6!A:B,2,FALSE)</f>
        <v>105.09</v>
      </c>
      <c r="G710" s="106">
        <f>VLOOKUP(A710,WTI原油期货!A:B,2,FALSE)</f>
        <v>71.24</v>
      </c>
      <c r="H710" s="106">
        <f>VLOOKUP(A710,天然气期货!A:B,2,FALSE)</f>
        <v>3.007</v>
      </c>
      <c r="I710" s="111">
        <f>VLOOKUP(A710,黄金期货!A:B,2,FALSE)</f>
        <v>2676.3</v>
      </c>
      <c r="J710" s="106">
        <f>VLOOKUP(A710,Sheet2!A:C,3,FALSE)</f>
        <v>1340</v>
      </c>
      <c r="L710" s="112">
        <f t="shared" si="31"/>
        <v>0.0075187969924812</v>
      </c>
    </row>
    <row r="711" spans="1:12">
      <c r="A711" s="109">
        <v>45603</v>
      </c>
      <c r="B711" s="106">
        <f>VLOOKUP(A711,Sheet2!A:C,2,FALSE)</f>
        <v>237</v>
      </c>
      <c r="C711" s="106">
        <v>3700</v>
      </c>
      <c r="D711" s="106">
        <f>VLOOKUP(A711,Sheet4!A:C,2,FALSE)</f>
        <v>896</v>
      </c>
      <c r="E711" s="106">
        <f>VLOOKUP(A711,Sheet5!A:B,2,FALSE)</f>
        <v>7.1416</v>
      </c>
      <c r="F711" s="106">
        <f>VLOOKUP(A711,Sheet6!A:B,2,FALSE)</f>
        <v>104.51</v>
      </c>
      <c r="G711" s="106">
        <f>VLOOKUP(A711,WTI原油期货!A:B,2,FALSE)</f>
        <v>71.96</v>
      </c>
      <c r="H711" s="106">
        <f>VLOOKUP(A711,天然气期货!A:B,2,FALSE)</f>
        <v>2.948</v>
      </c>
      <c r="I711" s="111">
        <f>VLOOKUP(A711,黄金期货!A:B,2,FALSE)</f>
        <v>2705.8</v>
      </c>
      <c r="J711" s="106">
        <f>VLOOKUP(A711,Sheet2!A:C,3,FALSE)</f>
        <v>1370</v>
      </c>
      <c r="L711" s="112">
        <f t="shared" si="31"/>
        <v>0.0223880597014925</v>
      </c>
    </row>
    <row r="712" spans="1:12">
      <c r="A712" s="109">
        <v>45604</v>
      </c>
      <c r="B712" s="106">
        <f>VLOOKUP(A712,Sheet2!A:C,2,FALSE)</f>
        <v>233.95</v>
      </c>
      <c r="C712" s="106">
        <v>3700</v>
      </c>
      <c r="D712" s="106">
        <f>VLOOKUP(A712,Sheet4!A:C,2,FALSE)</f>
        <v>898</v>
      </c>
      <c r="E712" s="106">
        <f>VLOOKUP(A712,Sheet5!A:B,2,FALSE)</f>
        <v>7.179</v>
      </c>
      <c r="F712" s="106">
        <f>VLOOKUP(A712,Sheet6!A:B,2,FALSE)</f>
        <v>105</v>
      </c>
      <c r="G712" s="106">
        <f>VLOOKUP(A712,WTI原油期货!A:B,2,FALSE)</f>
        <v>70.11</v>
      </c>
      <c r="H712" s="106">
        <f>VLOOKUP(A712,天然气期货!A:B,2,FALSE)</f>
        <v>2.922</v>
      </c>
      <c r="I712" s="111">
        <f>VLOOKUP(A712,黄金期货!A:B,2,FALSE)</f>
        <v>2694.8</v>
      </c>
      <c r="J712" s="106">
        <f>VLOOKUP(A712,Sheet2!A:C,3,FALSE)</f>
        <v>1390</v>
      </c>
      <c r="L712" s="112">
        <f t="shared" si="31"/>
        <v>0.0145985401459854</v>
      </c>
    </row>
    <row r="713" spans="1:12">
      <c r="A713" s="109">
        <v>45607</v>
      </c>
      <c r="B713" s="106">
        <f>VLOOKUP(A713,Sheet2!A:C,2,FALSE)</f>
        <v>230.1</v>
      </c>
      <c r="C713" s="106">
        <v>3700</v>
      </c>
      <c r="D713" s="106">
        <f>VLOOKUP(A713,Sheet4!A:C,2,FALSE)</f>
        <v>897</v>
      </c>
      <c r="E713" s="106">
        <f>VLOOKUP(A713,Sheet5!A:B,2,FALSE)</f>
        <v>7.215</v>
      </c>
      <c r="F713" s="106">
        <f>VLOOKUP(A713,Sheet6!A:B,2,FALSE)</f>
        <v>105.54</v>
      </c>
      <c r="G713" s="106">
        <f>VLOOKUP(A713,WTI原油期货!A:B,2,FALSE)</f>
        <v>67.92</v>
      </c>
      <c r="H713" s="106">
        <f>VLOOKUP(A713,天然气期货!A:B,2,FALSE)</f>
        <v>3.126</v>
      </c>
      <c r="I713" s="111">
        <f>VLOOKUP(A713,黄金期货!A:B,2,FALSE)</f>
        <v>2617.7</v>
      </c>
      <c r="J713" s="106">
        <f>VLOOKUP(A713,Sheet2!A:C,3,FALSE)</f>
        <v>1450</v>
      </c>
      <c r="L713" s="112">
        <f t="shared" si="31"/>
        <v>0.0431654676258993</v>
      </c>
    </row>
    <row r="714" spans="1:12">
      <c r="A714" s="109">
        <v>45608</v>
      </c>
      <c r="B714" s="106">
        <f>VLOOKUP(A714,Sheet2!A:C,2,FALSE)</f>
        <v>230.4</v>
      </c>
      <c r="C714" s="106">
        <v>3700</v>
      </c>
      <c r="D714" s="106">
        <f>VLOOKUP(A714,Sheet4!A:C,2,FALSE)</f>
        <v>897</v>
      </c>
      <c r="E714" s="106">
        <f>VLOOKUP(A714,Sheet5!A:B,2,FALSE)</f>
        <v>7.2328</v>
      </c>
      <c r="F714" s="106">
        <f>VLOOKUP(A714,Sheet6!A:B,2,FALSE)</f>
        <v>106.02</v>
      </c>
      <c r="G714" s="106">
        <f>VLOOKUP(A714,WTI原油期货!A:B,2,FALSE)</f>
        <v>67.97</v>
      </c>
      <c r="H714" s="106">
        <f>VLOOKUP(A714,天然气期货!A:B,2,FALSE)</f>
        <v>3.133</v>
      </c>
      <c r="I714" s="111">
        <f>VLOOKUP(A714,黄金期货!A:B,2,FALSE)</f>
        <v>2606.3</v>
      </c>
      <c r="J714" s="106">
        <f>VLOOKUP(A714,Sheet2!A:C,3,FALSE)</f>
        <v>1490</v>
      </c>
      <c r="L714" s="112">
        <f t="shared" si="31"/>
        <v>0.0275862068965517</v>
      </c>
    </row>
    <row r="715" spans="1:12">
      <c r="A715" s="109">
        <v>45609</v>
      </c>
      <c r="B715" s="106">
        <f>VLOOKUP(A715,Sheet2!A:C,2,FALSE)</f>
        <v>228.8</v>
      </c>
      <c r="C715" s="106">
        <v>3700</v>
      </c>
      <c r="D715" s="106">
        <f>VLOOKUP(A715,Sheet4!A:C,2,FALSE)</f>
        <v>894</v>
      </c>
      <c r="E715" s="106">
        <f>VLOOKUP(A715,Sheet5!A:B,2,FALSE)</f>
        <v>7.2256</v>
      </c>
      <c r="F715" s="106">
        <f>VLOOKUP(A715,Sheet6!A:B,2,FALSE)</f>
        <v>106.48</v>
      </c>
      <c r="G715" s="106">
        <f>VLOOKUP(A715,WTI原油期货!A:B,2,FALSE)</f>
        <v>68.26</v>
      </c>
      <c r="H715" s="106">
        <f>VLOOKUP(A715,天然气期货!A:B,2,FALSE)</f>
        <v>3.202</v>
      </c>
      <c r="I715" s="111">
        <f>VLOOKUP(A715,黄金期货!A:B,2,FALSE)</f>
        <v>2586.5</v>
      </c>
      <c r="J715" s="106">
        <f>VLOOKUP(A715,Sheet2!A:C,3,FALSE)</f>
        <v>1480</v>
      </c>
      <c r="L715" s="112">
        <f t="shared" si="31"/>
        <v>-0.00671140939597315</v>
      </c>
    </row>
    <row r="716" spans="1:12">
      <c r="A716" s="109">
        <v>45610</v>
      </c>
      <c r="B716" s="106">
        <f>VLOOKUP(A716,Sheet2!A:C,2,FALSE)</f>
        <v>229.28</v>
      </c>
      <c r="C716" s="106">
        <v>3700</v>
      </c>
      <c r="D716" s="106">
        <f>VLOOKUP(A716,Sheet4!A:C,2,FALSE)</f>
        <v>893</v>
      </c>
      <c r="E716" s="106">
        <f>VLOOKUP(A716,Sheet5!A:B,2,FALSE)</f>
        <v>7.2295</v>
      </c>
      <c r="F716" s="106">
        <f>VLOOKUP(A716,Sheet6!A:B,2,FALSE)</f>
        <v>106.67</v>
      </c>
      <c r="G716" s="106">
        <f>VLOOKUP(A716,WTI原油期货!A:B,2,FALSE)</f>
        <v>68.53</v>
      </c>
      <c r="H716" s="106">
        <f>VLOOKUP(A716,天然气期货!A:B,2,FALSE)</f>
        <v>3.054</v>
      </c>
      <c r="I716" s="111">
        <f>VLOOKUP(A716,黄金期货!A:B,2,FALSE)</f>
        <v>2572.9</v>
      </c>
      <c r="J716" s="106">
        <f>VLOOKUP(A716,Sheet2!A:C,3,FALSE)</f>
        <v>1480</v>
      </c>
      <c r="L716" s="112">
        <f t="shared" si="31"/>
        <v>0</v>
      </c>
    </row>
    <row r="717" spans="1:12">
      <c r="A717" s="109">
        <v>45611</v>
      </c>
      <c r="B717" s="106">
        <f>VLOOKUP(A717,Sheet2!A:C,2,FALSE)</f>
        <v>228.7</v>
      </c>
      <c r="C717" s="106">
        <v>3700</v>
      </c>
      <c r="D717" s="106">
        <f>VLOOKUP(A717,Sheet4!A:C,2,FALSE)</f>
        <v>893</v>
      </c>
      <c r="E717" s="106">
        <f>VLOOKUP(A717,Sheet5!A:B,2,FALSE)</f>
        <v>7.2324</v>
      </c>
      <c r="F717" s="106">
        <f>VLOOKUP(A717,Sheet6!A:B,2,FALSE)</f>
        <v>106.69</v>
      </c>
      <c r="G717" s="106">
        <f>VLOOKUP(A717,WTI原油期货!A:B,2,FALSE)</f>
        <v>66.92</v>
      </c>
      <c r="H717" s="106">
        <f>VLOOKUP(A717,天然气期货!A:B,2,FALSE)</f>
        <v>3.096</v>
      </c>
      <c r="I717" s="111">
        <f>VLOOKUP(A717,黄金期货!A:B,2,FALSE)</f>
        <v>2570.1</v>
      </c>
      <c r="J717" s="106">
        <f>VLOOKUP(A717,Sheet2!A:C,3,FALSE)</f>
        <v>1480</v>
      </c>
      <c r="L717" s="112">
        <f t="shared" si="31"/>
        <v>0</v>
      </c>
    </row>
    <row r="718" spans="1:12">
      <c r="A718" s="109">
        <v>45614</v>
      </c>
      <c r="B718" s="106">
        <f>VLOOKUP(A718,Sheet2!A:C,2,FALSE)</f>
        <v>226.7</v>
      </c>
      <c r="C718" s="106">
        <v>3700</v>
      </c>
      <c r="D718" s="106">
        <f>VLOOKUP(A718,Sheet4!A:C,2,FALSE)</f>
        <v>891</v>
      </c>
      <c r="E718" s="106">
        <f>VLOOKUP(A718,Sheet5!A:B,2,FALSE)</f>
        <v>7.2373</v>
      </c>
      <c r="F718" s="106">
        <f>VLOOKUP(A718,Sheet6!A:B,2,FALSE)</f>
        <v>106.28</v>
      </c>
      <c r="G718" s="106">
        <f>VLOOKUP(A718,WTI原油期货!A:B,2,FALSE)</f>
        <v>69.17</v>
      </c>
      <c r="H718" s="106">
        <f>VLOOKUP(A718,天然气期货!A:B,2,FALSE)</f>
        <v>3.186</v>
      </c>
      <c r="I718" s="111">
        <f>VLOOKUP(A718,黄金期货!A:B,2,FALSE)</f>
        <v>2614.6</v>
      </c>
      <c r="J718" s="106">
        <f>VLOOKUP(A718,Sheet2!A:C,3,FALSE)</f>
        <v>1495</v>
      </c>
      <c r="L718" s="112">
        <f t="shared" si="31"/>
        <v>0.0101351351351351</v>
      </c>
    </row>
    <row r="719" spans="1:12">
      <c r="A719" s="109">
        <v>45615</v>
      </c>
      <c r="B719" s="106">
        <f>VLOOKUP(A719,Sheet2!A:C,2,FALSE)</f>
        <v>225.8</v>
      </c>
      <c r="C719" s="106">
        <v>3700</v>
      </c>
      <c r="D719" s="106">
        <f>VLOOKUP(A719,Sheet4!A:C,2,FALSE)</f>
        <v>891</v>
      </c>
      <c r="E719" s="106">
        <f>VLOOKUP(A719,Sheet5!A:B,2,FALSE)</f>
        <v>7.2393</v>
      </c>
      <c r="F719" s="106">
        <f>VLOOKUP(A719,Sheet6!A:B,2,FALSE)</f>
        <v>106.21</v>
      </c>
      <c r="G719" s="106">
        <f>VLOOKUP(A719,WTI原油期货!A:B,2,FALSE)</f>
        <v>69.24</v>
      </c>
      <c r="H719" s="106">
        <f>VLOOKUP(A719,天然气期货!A:B,2,FALSE)</f>
        <v>3.228</v>
      </c>
      <c r="I719" s="111">
        <f>VLOOKUP(A719,黄金期货!A:B,2,FALSE)</f>
        <v>2631</v>
      </c>
      <c r="J719" s="106">
        <f>VLOOKUP(A719,Sheet2!A:C,3,FALSE)</f>
        <v>1530</v>
      </c>
      <c r="L719" s="112">
        <f t="shared" si="31"/>
        <v>0.0234113712374582</v>
      </c>
    </row>
    <row r="720" spans="1:12">
      <c r="A720" s="109">
        <v>45616</v>
      </c>
      <c r="B720" s="106">
        <f>VLOOKUP(A720,Sheet2!A:C,2,FALSE)</f>
        <v>222.7</v>
      </c>
      <c r="C720" s="106">
        <v>3700</v>
      </c>
      <c r="D720" s="106">
        <f>VLOOKUP(A720,Sheet4!A:C,2,FALSE)</f>
        <v>891</v>
      </c>
      <c r="E720" s="106">
        <f>VLOOKUP(A720,Sheet5!A:B,2,FALSE)</f>
        <v>7.2461</v>
      </c>
      <c r="F720" s="106">
        <f>VLOOKUP(A720,Sheet6!A:B,2,FALSE)</f>
        <v>106.68</v>
      </c>
      <c r="G720" s="106">
        <f>VLOOKUP(A720,WTI原油期货!A:B,2,FALSE)</f>
        <v>68.75</v>
      </c>
      <c r="H720" s="106">
        <f>VLOOKUP(A720,天然气期货!A:B,2,FALSE)</f>
        <v>3.193</v>
      </c>
      <c r="I720" s="111">
        <f>VLOOKUP(A720,黄金期货!A:B,2,FALSE)</f>
        <v>2651.7</v>
      </c>
      <c r="J720" s="106">
        <f>VLOOKUP(A720,Sheet2!A:C,3,FALSE)</f>
        <v>1565</v>
      </c>
      <c r="L720" s="112">
        <f t="shared" si="31"/>
        <v>0.0228758169934641</v>
      </c>
    </row>
    <row r="721" spans="1:12">
      <c r="A721" s="109">
        <v>45617</v>
      </c>
      <c r="B721" s="106">
        <f>VLOOKUP(A721,Sheet2!A:C,2,FALSE)</f>
        <v>220.94</v>
      </c>
      <c r="C721" s="106">
        <v>3700</v>
      </c>
      <c r="D721" s="106">
        <f>VLOOKUP(A721,Sheet4!A:C,2,FALSE)</f>
        <v>890</v>
      </c>
      <c r="E721" s="106">
        <f>VLOOKUP(A721,Sheet5!A:B,2,FALSE)</f>
        <v>7.2375</v>
      </c>
      <c r="F721" s="106">
        <f>VLOOKUP(A721,Sheet6!A:B,2,FALSE)</f>
        <v>106.97</v>
      </c>
      <c r="G721" s="106">
        <f>VLOOKUP(A721,WTI原油期货!A:B,2,FALSE)</f>
        <v>69.77</v>
      </c>
      <c r="H721" s="106">
        <f>VLOOKUP(A721,天然气期货!A:B,2,FALSE)</f>
        <v>3.339</v>
      </c>
      <c r="I721" s="111">
        <f>VLOOKUP(A721,黄金期货!A:B,2,FALSE)</f>
        <v>2674.9</v>
      </c>
      <c r="J721" s="106">
        <f>VLOOKUP(A721,Sheet2!A:C,3,FALSE)</f>
        <v>1565</v>
      </c>
      <c r="L721" s="112">
        <f t="shared" si="31"/>
        <v>0</v>
      </c>
    </row>
    <row r="722" spans="1:12">
      <c r="A722" s="109">
        <v>45618</v>
      </c>
      <c r="B722" s="106">
        <f>VLOOKUP(A722,Sheet2!A:C,2,FALSE)</f>
        <v>220.55</v>
      </c>
      <c r="C722" s="106">
        <v>3700</v>
      </c>
      <c r="D722" s="106">
        <f>VLOOKUP(A722,Sheet4!A:C,2,FALSE)</f>
        <v>889</v>
      </c>
      <c r="E722" s="106">
        <f>VLOOKUP(A722,Sheet5!A:B,2,FALSE)</f>
        <v>7.2458</v>
      </c>
      <c r="F722" s="106">
        <f>VLOOKUP(A722,Sheet6!A:B,2,FALSE)</f>
        <v>107.55</v>
      </c>
      <c r="G722" s="106">
        <f>VLOOKUP(A722,WTI原油期货!A:B,2,FALSE)</f>
        <v>70.77</v>
      </c>
      <c r="H722" s="106">
        <f>VLOOKUP(A722,天然气期货!A:B,2,FALSE)</f>
        <v>3.129</v>
      </c>
      <c r="I722" s="111">
        <f>VLOOKUP(A722,黄金期货!A:B,2,FALSE)</f>
        <v>2712.2</v>
      </c>
      <c r="J722" s="106">
        <f>VLOOKUP(A722,Sheet2!A:C,3,FALSE)</f>
        <v>1580</v>
      </c>
      <c r="L722" s="112">
        <f t="shared" si="31"/>
        <v>0.00958466453674121</v>
      </c>
    </row>
    <row r="723" spans="1:12">
      <c r="A723" s="109">
        <v>45621</v>
      </c>
      <c r="B723" s="106">
        <f>VLOOKUP(A723,Sheet2!A:C,2,FALSE)</f>
        <v>216.9</v>
      </c>
      <c r="C723" s="106">
        <v>3700</v>
      </c>
      <c r="D723" s="106">
        <f>VLOOKUP(A723,Sheet4!A:C,2,FALSE)</f>
        <v>890</v>
      </c>
      <c r="E723" s="106">
        <f>VLOOKUP(A723,Sheet5!A:B,2,FALSE)</f>
        <v>7.2398</v>
      </c>
      <c r="F723" s="106">
        <f>VLOOKUP(A723,Sheet6!A:B,2,FALSE)</f>
        <v>106.82</v>
      </c>
      <c r="G723" s="106">
        <f>VLOOKUP(A723,WTI原油期货!A:B,2,FALSE)</f>
        <v>68.58</v>
      </c>
      <c r="H723" s="106">
        <f>VLOOKUP(A723,天然气期货!A:B,2,FALSE)</f>
        <v>3.369</v>
      </c>
      <c r="I723" s="111">
        <f>VLOOKUP(A723,黄金期货!A:B,2,FALSE)</f>
        <v>2618.5</v>
      </c>
      <c r="J723" s="106">
        <f>VLOOKUP(A723,Sheet2!A:C,3,FALSE)</f>
        <v>1580</v>
      </c>
      <c r="L723" s="112">
        <f t="shared" si="31"/>
        <v>0</v>
      </c>
    </row>
    <row r="724" spans="1:12">
      <c r="A724" s="109">
        <v>45622</v>
      </c>
      <c r="B724" s="106">
        <f>VLOOKUP(A724,Sheet2!A:C,2,FALSE)</f>
        <v>216.7</v>
      </c>
      <c r="C724" s="106">
        <v>3700</v>
      </c>
      <c r="D724" s="106">
        <f>VLOOKUP(A724,Sheet4!A:C,2,FALSE)</f>
        <v>890</v>
      </c>
      <c r="E724" s="106">
        <f>VLOOKUP(A724,Sheet5!A:B,2,FALSE)</f>
        <v>7.2521</v>
      </c>
      <c r="F724" s="106">
        <f>VLOOKUP(A724,Sheet6!A:B,2,FALSE)</f>
        <v>107.01</v>
      </c>
      <c r="G724" s="106">
        <f>VLOOKUP(A724,WTI原油期货!A:B,2,FALSE)</f>
        <v>68.44</v>
      </c>
      <c r="H724" s="106">
        <f>VLOOKUP(A724,天然气期货!A:B,2,FALSE)</f>
        <v>3.431</v>
      </c>
      <c r="I724" s="111">
        <f>VLOOKUP(A724,黄金期货!A:B,2,FALSE)</f>
        <v>2621.3</v>
      </c>
      <c r="J724" s="106">
        <f>VLOOKUP(A724,Sheet2!A:C,3,FALSE)</f>
        <v>1580</v>
      </c>
      <c r="L724" s="112">
        <f t="shared" si="31"/>
        <v>0</v>
      </c>
    </row>
    <row r="725" spans="1:12">
      <c r="A725" s="109">
        <v>45623</v>
      </c>
      <c r="B725" s="106">
        <f>VLOOKUP(A725,港存及港价!A:B,2,FALSE)</f>
        <v>216.3</v>
      </c>
      <c r="C725" s="106">
        <v>3700</v>
      </c>
      <c r="D725" s="106">
        <f>VLOOKUP(A725,Sheet4!A:C,2,FALSE)</f>
        <v>889</v>
      </c>
      <c r="E725" s="106">
        <f>VLOOKUP(A725,Sheet5!A:B,2,FALSE)</f>
        <v>7.2467</v>
      </c>
      <c r="F725" s="106">
        <f>VLOOKUP(A725,Sheet6!A:B,2,FALSE)</f>
        <v>106.08</v>
      </c>
      <c r="G725" s="106">
        <f>VLOOKUP(A725,WTI原油期货!A:B,2,FALSE)</f>
        <v>68.35</v>
      </c>
      <c r="H725" s="106">
        <f>VLOOKUP(A725,天然气期货!A:B,2,FALSE)</f>
        <v>3.204</v>
      </c>
      <c r="I725" s="111">
        <f>VLOOKUP(A725,黄金期货!A:B,2,FALSE)</f>
        <v>2652.3</v>
      </c>
      <c r="J725" s="106">
        <f>VLOOKUP(A725,Sheet3!A:E,5,FALSE)</f>
        <v>1565</v>
      </c>
      <c r="L725" s="112">
        <f t="shared" si="31"/>
        <v>-0.00949367088607595</v>
      </c>
    </row>
    <row r="726" spans="1:12">
      <c r="A726" s="109">
        <v>45624</v>
      </c>
      <c r="B726" s="106">
        <f>VLOOKUP(A726,港存及港价!A:B,2,FALSE)</f>
        <v>218.6</v>
      </c>
      <c r="C726" s="106">
        <v>3700</v>
      </c>
      <c r="D726" s="106">
        <f>VLOOKUP(A726,Sheet4!A:C,2,FALSE)</f>
        <v>890</v>
      </c>
      <c r="E726" s="106">
        <f>VLOOKUP(A726,Sheet5!A:B,2,FALSE)</f>
        <v>7.2445</v>
      </c>
      <c r="F726" s="106">
        <f>VLOOKUP(A726,Sheet6!A:B,2,FALSE)</f>
        <v>106.14</v>
      </c>
      <c r="G726" s="106">
        <f>G725</f>
        <v>68.35</v>
      </c>
      <c r="H726" s="106">
        <f>H725</f>
        <v>3.204</v>
      </c>
      <c r="I726" s="111">
        <f>I725</f>
        <v>2652.3</v>
      </c>
      <c r="J726" s="106">
        <f>VLOOKUP(A726,Sheet3!A:E,5,FALSE)</f>
        <v>1560</v>
      </c>
      <c r="L726" s="112">
        <f t="shared" si="31"/>
        <v>-0.00319488817891374</v>
      </c>
    </row>
    <row r="727" spans="1:12">
      <c r="A727" s="109">
        <v>45625</v>
      </c>
      <c r="B727" s="106">
        <f>VLOOKUP(A727,港存及港价!A:B,2,FALSE)</f>
        <v>217.6</v>
      </c>
      <c r="C727" s="106">
        <v>3700</v>
      </c>
      <c r="D727" s="106">
        <f>VLOOKUP(A727,Sheet4!A:C,2,FALSE)</f>
        <v>890</v>
      </c>
      <c r="E727" s="106">
        <f>VLOOKUP(A727,Sheet5!A:B,2,FALSE)</f>
        <v>7.2429</v>
      </c>
      <c r="F727" s="106">
        <f>VLOOKUP(A727,Sheet6!A:B,2,FALSE)</f>
        <v>105.74</v>
      </c>
      <c r="G727" s="106">
        <f>VLOOKUP(A727,WTI原油期货!A:B,2,FALSE)</f>
        <v>67.72</v>
      </c>
      <c r="H727" s="106">
        <f>VLOOKUP(A727,天然气期货!A:B,2,FALSE)</f>
        <v>3.363</v>
      </c>
      <c r="I727" s="111">
        <f>VLOOKUP(A727,黄金期货!A:B,2,FALSE)</f>
        <v>2669</v>
      </c>
      <c r="J727" s="106">
        <f>VLOOKUP(A727,Sheet3!A:E,5,FALSE)</f>
        <v>1525</v>
      </c>
      <c r="L727" s="112">
        <f t="shared" si="31"/>
        <v>-0.0224358974358974</v>
      </c>
    </row>
    <row r="728" spans="1:12">
      <c r="A728" s="109">
        <v>45628</v>
      </c>
      <c r="B728" s="106">
        <f>VLOOKUP(A728,港存及港价!A:B,2,FALSE)</f>
        <v>225.74</v>
      </c>
      <c r="C728" s="106">
        <v>3700</v>
      </c>
      <c r="D728" s="106">
        <f>VLOOKUP(A728,Sheet4!A:C,2,FALSE)</f>
        <v>891</v>
      </c>
      <c r="E728" s="106">
        <f>VLOOKUP(A728,Sheet5!A:B,2,FALSE)</f>
        <v>7.2722</v>
      </c>
      <c r="F728" s="106">
        <f>VLOOKUP(A728,Sheet6!A:B,2,FALSE)</f>
        <v>106.45</v>
      </c>
      <c r="G728" s="106">
        <f>VLOOKUP(A728,WTI原油期货!A:B,2,FALSE)</f>
        <v>67.84</v>
      </c>
      <c r="H728" s="106">
        <f>VLOOKUP(A728,天然气期货!A:B,2,FALSE)</f>
        <v>3.213</v>
      </c>
      <c r="I728" s="111">
        <f>VLOOKUP(A728,黄金期货!A:B,2,FALSE)</f>
        <v>2646.5</v>
      </c>
      <c r="J728" s="106">
        <f>VLOOKUP(A728,Sheet3!A:E,5,FALSE)</f>
        <v>1545</v>
      </c>
      <c r="L728" s="112">
        <f t="shared" si="31"/>
        <v>0.0131147540983607</v>
      </c>
    </row>
    <row r="729" spans="1:12">
      <c r="A729" s="109">
        <v>45629</v>
      </c>
      <c r="B729" s="106">
        <f>VLOOKUP(A729,港存及港价!A:B,2,FALSE)</f>
        <v>223.5</v>
      </c>
      <c r="C729" s="106">
        <v>3700</v>
      </c>
      <c r="D729" s="106">
        <f>VLOOKUP(A729,Sheet4!A:C,2,FALSE)</f>
        <v>891</v>
      </c>
      <c r="E729" s="106">
        <f>VLOOKUP(A729,Sheet5!A:B,2,FALSE)</f>
        <v>7.2864</v>
      </c>
      <c r="F729" s="106">
        <f>VLOOKUP(A729,Sheet6!A:B,2,FALSE)</f>
        <v>106.36</v>
      </c>
      <c r="G729" s="106">
        <f>VLOOKUP(A729,WTI原油期货!A:B,2,FALSE)</f>
        <v>69.54</v>
      </c>
      <c r="H729" s="106">
        <f>VLOOKUP(A729,天然气期货!A:B,2,FALSE)</f>
        <v>3.042</v>
      </c>
      <c r="I729" s="111">
        <f>VLOOKUP(A729,黄金期货!A:B,2,FALSE)</f>
        <v>2655.9</v>
      </c>
      <c r="J729" s="106">
        <f>VLOOKUP(A729,Sheet3!A:E,5,FALSE)</f>
        <v>1555</v>
      </c>
      <c r="L729" s="112">
        <f t="shared" si="31"/>
        <v>0.00647249190938511</v>
      </c>
    </row>
    <row r="730" spans="1:12">
      <c r="A730" s="109">
        <v>45630</v>
      </c>
      <c r="B730" s="106">
        <f>VLOOKUP(A730,港存及港价!A:B,2,FALSE)</f>
        <v>224.5</v>
      </c>
      <c r="C730" s="106">
        <v>3700</v>
      </c>
      <c r="D730" s="106">
        <f>VLOOKUP(A730,Sheet4!A:C,2,FALSE)</f>
        <v>891</v>
      </c>
      <c r="E730" s="106">
        <f>VLOOKUP(A730,Sheet5!A:B,2,FALSE)</f>
        <v>7.2651</v>
      </c>
      <c r="F730" s="106">
        <f>VLOOKUP(A730,Sheet6!A:B,2,FALSE)</f>
        <v>106.32</v>
      </c>
      <c r="G730" s="106">
        <f>VLOOKUP(A730,WTI原油期货!A:B,2,FALSE)</f>
        <v>68.19</v>
      </c>
      <c r="H730" s="106">
        <f>VLOOKUP(A730,天然气期货!A:B,2,FALSE)</f>
        <v>3.043</v>
      </c>
      <c r="I730" s="111">
        <f>VLOOKUP(A730,黄金期货!A:B,2,FALSE)</f>
        <v>2664.3</v>
      </c>
      <c r="J730" s="106">
        <f>VLOOKUP(A730,Sheet3!A:E,5,FALSE)</f>
        <v>1545</v>
      </c>
      <c r="L730" s="112">
        <f t="shared" si="31"/>
        <v>-0.00643086816720257</v>
      </c>
    </row>
    <row r="731" spans="1:12">
      <c r="A731" s="109">
        <v>45631</v>
      </c>
      <c r="B731" s="106">
        <f>VLOOKUP(A731,港存及港价!A:B,2,FALSE)</f>
        <v>222.8</v>
      </c>
      <c r="C731" s="106">
        <v>3700</v>
      </c>
      <c r="D731" s="106">
        <f>VLOOKUP(A731,Sheet4!A:C,2,FALSE)</f>
        <v>892</v>
      </c>
      <c r="E731" s="106">
        <f>VLOOKUP(A731,Sheet5!A:B,2,FALSE)</f>
        <v>7.2602</v>
      </c>
      <c r="F731" s="106">
        <f>VLOOKUP(A731,Sheet6!A:B,2,FALSE)</f>
        <v>105.71</v>
      </c>
      <c r="G731" s="106">
        <f>VLOOKUP(A731,WTI原油期货!A:B,2,FALSE)</f>
        <v>67.96</v>
      </c>
      <c r="H731" s="106">
        <f>VLOOKUP(A731,天然气期货!A:B,2,FALSE)</f>
        <v>3.079</v>
      </c>
      <c r="I731" s="111">
        <f>VLOOKUP(A731,黄金期货!A:B,2,FALSE)</f>
        <v>2636.1</v>
      </c>
      <c r="J731" s="106">
        <f>VLOOKUP(A731,Sheet3!A:E,5,FALSE)</f>
        <v>1530</v>
      </c>
      <c r="L731" s="112">
        <f t="shared" si="31"/>
        <v>-0.00970873786407767</v>
      </c>
    </row>
    <row r="732" spans="1:12">
      <c r="A732" s="109">
        <v>45632</v>
      </c>
      <c r="B732" s="106">
        <f>VLOOKUP(A732,港存及港价!A:B,2,FALSE)</f>
        <v>221.8</v>
      </c>
      <c r="C732" s="106">
        <v>3680</v>
      </c>
      <c r="D732" s="106">
        <f>VLOOKUP(A732,Sheet4!A:C,2,FALSE)</f>
        <v>891</v>
      </c>
      <c r="E732" s="106">
        <f>VLOOKUP(A732,Sheet5!A:B,2,FALSE)</f>
        <v>7.2714</v>
      </c>
      <c r="F732" s="106">
        <f>VLOOKUP(A732,Sheet6!A:B,2,FALSE)</f>
        <v>106.06</v>
      </c>
      <c r="G732" s="106">
        <f>VLOOKUP(A732,WTI原油期货!A:B,2,FALSE)</f>
        <v>66.98</v>
      </c>
      <c r="H732" s="106">
        <f>VLOOKUP(A732,天然气期货!A:B,2,FALSE)</f>
        <v>3.076</v>
      </c>
      <c r="I732" s="111">
        <f>VLOOKUP(A732,黄金期货!A:B,2,FALSE)</f>
        <v>2647.1</v>
      </c>
      <c r="J732" s="106">
        <f>VLOOKUP(A732,Sheet3!A:E,5,FALSE)</f>
        <v>1535</v>
      </c>
      <c r="L732" s="112">
        <f t="shared" si="31"/>
        <v>0.00326797385620915</v>
      </c>
    </row>
    <row r="733" spans="1:12">
      <c r="A733" s="109">
        <v>45635</v>
      </c>
      <c r="B733" s="106">
        <f>VLOOKUP(A733,港存及港价!A:B,2,FALSE)</f>
        <v>220.1</v>
      </c>
      <c r="C733" s="106">
        <v>3680</v>
      </c>
      <c r="D733" s="106">
        <f>VLOOKUP(A733,Sheet4!A:C,2,FALSE)</f>
        <v>891</v>
      </c>
      <c r="E733" s="106">
        <f>VLOOKUP(A733,Sheet5!A:B,2,FALSE)</f>
        <v>7.2607</v>
      </c>
      <c r="F733" s="106">
        <f>VLOOKUP(A733,Sheet6!A:B,2,FALSE)</f>
        <v>106.14</v>
      </c>
      <c r="G733" s="106">
        <f>VLOOKUP(A733,WTI原油期货!A:B,2,FALSE)</f>
        <v>68.09</v>
      </c>
      <c r="H733" s="106">
        <f>VLOOKUP(A733,天然气期货!A:B,2,FALSE)</f>
        <v>3.182</v>
      </c>
      <c r="I733" s="111">
        <f>VLOOKUP(A733,黄金期货!A:B,2,FALSE)</f>
        <v>2673.3</v>
      </c>
      <c r="J733" s="106">
        <f>VLOOKUP(A733,Sheet3!A:E,5,FALSE)</f>
        <v>1540</v>
      </c>
      <c r="L733" s="112">
        <f t="shared" si="31"/>
        <v>0.00325732899022801</v>
      </c>
    </row>
    <row r="734" spans="1:12">
      <c r="A734" s="109">
        <v>45636</v>
      </c>
      <c r="B734" s="106">
        <f>VLOOKUP(A734,港存及港价!A:B,2,FALSE)</f>
        <v>211.85</v>
      </c>
      <c r="C734" s="106">
        <v>3680</v>
      </c>
      <c r="D734" s="106">
        <f>VLOOKUP(A734,Sheet4!A:C,2,FALSE)</f>
        <v>892</v>
      </c>
      <c r="E734" s="106">
        <f>VLOOKUP(A734,Sheet5!A:B,2,FALSE)</f>
        <v>7.2504</v>
      </c>
      <c r="F734" s="106">
        <f>VLOOKUP(A734,Sheet6!A:B,2,FALSE)</f>
        <v>106.4</v>
      </c>
      <c r="G734" s="106">
        <f>VLOOKUP(A734,WTI原油期货!A:B,2,FALSE)</f>
        <v>68.27</v>
      </c>
      <c r="H734" s="106">
        <f>VLOOKUP(A734,天然气期货!A:B,2,FALSE)</f>
        <v>3.163</v>
      </c>
      <c r="I734" s="111">
        <f>VLOOKUP(A734,黄金期货!A:B,2,FALSE)</f>
        <v>2705.6</v>
      </c>
      <c r="J734" s="106">
        <f>VLOOKUP(A734,Sheet3!A:E,5,FALSE)</f>
        <v>1550</v>
      </c>
      <c r="L734" s="112">
        <f t="shared" si="31"/>
        <v>0.00649350649350649</v>
      </c>
    </row>
    <row r="735" spans="1:12">
      <c r="A735" s="109">
        <v>45637</v>
      </c>
      <c r="B735" s="106">
        <f>VLOOKUP(A735,港存及港价!A:B,2,FALSE)</f>
        <v>210.2</v>
      </c>
      <c r="C735" s="106">
        <v>3680</v>
      </c>
      <c r="D735" s="106">
        <f>VLOOKUP(A735,Sheet4!A:C,2,FALSE)</f>
        <v>892</v>
      </c>
      <c r="E735" s="106">
        <f>VLOOKUP(A735,Sheet5!A:B,2,FALSE)</f>
        <v>7.2618</v>
      </c>
      <c r="F735" s="106">
        <f>VLOOKUP(A735,Sheet6!A:B,2,FALSE)</f>
        <v>106.71</v>
      </c>
      <c r="G735" s="106">
        <f>VLOOKUP(A735,WTI原油期货!A:B,2,FALSE)</f>
        <v>69.87</v>
      </c>
      <c r="H735" s="106">
        <f>VLOOKUP(A735,天然气期货!A:B,2,FALSE)</f>
        <v>3.378</v>
      </c>
      <c r="I735" s="111">
        <f>VLOOKUP(A735,黄金期货!A:B,2,FALSE)</f>
        <v>2741.5</v>
      </c>
      <c r="J735" s="106">
        <f>VLOOKUP(A735,Sheet3!A:E,5,FALSE)</f>
        <v>1555</v>
      </c>
      <c r="L735" s="112">
        <f t="shared" si="31"/>
        <v>0.0032258064516129</v>
      </c>
    </row>
    <row r="736" spans="1:12">
      <c r="A736" s="109">
        <v>45638</v>
      </c>
      <c r="B736" s="106">
        <f>VLOOKUP(A736,港存及港价!A:B,2,FALSE)</f>
        <v>213.5</v>
      </c>
      <c r="C736" s="106">
        <v>3680</v>
      </c>
      <c r="D736" s="106">
        <f>VLOOKUP(A736,Sheet4!A:C,2,FALSE)</f>
        <v>892</v>
      </c>
      <c r="E736" s="106">
        <f>VLOOKUP(A736,Sheet5!A:B,2,FALSE)</f>
        <v>7.27</v>
      </c>
      <c r="F736" s="106">
        <f>VLOOKUP(A736,Sheet6!A:B,2,FALSE)</f>
        <v>106.96</v>
      </c>
      <c r="G736" s="106">
        <f>VLOOKUP(A736,WTI原油期货!A:B,2,FALSE)</f>
        <v>69.66</v>
      </c>
      <c r="H736" s="106">
        <f>VLOOKUP(A736,天然气期货!A:B,2,FALSE)</f>
        <v>3.455</v>
      </c>
      <c r="I736" s="111">
        <f>VLOOKUP(A736,黄金期货!A:B,2,FALSE)</f>
        <v>2695.1</v>
      </c>
      <c r="J736" s="106">
        <f>VLOOKUP(A736,Sheet3!A:E,5,FALSE)</f>
        <v>1555</v>
      </c>
      <c r="L736" s="112">
        <f t="shared" si="31"/>
        <v>0</v>
      </c>
    </row>
    <row r="737" spans="1:12">
      <c r="A737" s="109">
        <v>45639</v>
      </c>
      <c r="B737" s="106">
        <f>VLOOKUP(A737,港存及港价!A:B,2,FALSE)</f>
        <v>213.3</v>
      </c>
      <c r="C737" s="106">
        <v>3680</v>
      </c>
      <c r="D737" s="106">
        <f>VLOOKUP(A737,Sheet4!A:C,2,FALSE)</f>
        <v>891</v>
      </c>
      <c r="E737" s="106">
        <f>VLOOKUP(A737,Sheet5!A:B,2,FALSE)</f>
        <v>7.2763</v>
      </c>
      <c r="F737" s="106">
        <f>VLOOKUP(A737,Sheet6!A:B,2,FALSE)</f>
        <v>107</v>
      </c>
      <c r="G737" s="106">
        <f>VLOOKUP(A737,WTI原油期货!A:B,2,FALSE)</f>
        <v>70.82</v>
      </c>
      <c r="H737" s="106">
        <f>VLOOKUP(A737,天然气期货!A:B,2,FALSE)</f>
        <v>3.28</v>
      </c>
      <c r="I737" s="111">
        <f>VLOOKUP(A737,黄金期货!A:B,2,FALSE)</f>
        <v>2662.4</v>
      </c>
      <c r="J737" s="106">
        <f>VLOOKUP(A737,Sheet3!A:E,5,FALSE)</f>
        <v>1555</v>
      </c>
      <c r="L737" s="112">
        <f t="shared" si="31"/>
        <v>0</v>
      </c>
    </row>
    <row r="738" spans="1:12">
      <c r="A738" s="109">
        <v>45642</v>
      </c>
      <c r="B738" s="106">
        <f>VLOOKUP(A738,港存及港价!A:B,2,FALSE)</f>
        <v>212.2</v>
      </c>
      <c r="C738" s="106">
        <v>3650</v>
      </c>
      <c r="D738" s="106">
        <f>VLOOKUP(A738,Sheet4!A:C,2,FALSE)</f>
        <v>890</v>
      </c>
      <c r="E738" s="106">
        <f>VLOOKUP(A738,Sheet5!A:B,2,FALSE)</f>
        <v>7.284</v>
      </c>
      <c r="F738" s="106">
        <f>VLOOKUP(A738,Sheet6!A:B,2,FALSE)</f>
        <v>106.86</v>
      </c>
      <c r="G738" s="106">
        <f>VLOOKUP(A738,WTI原油期货!A:B,2,FALSE)</f>
        <v>70.29</v>
      </c>
      <c r="H738" s="106">
        <f>VLOOKUP(A738,天然气期货!A:B,2,FALSE)</f>
        <v>2.702</v>
      </c>
      <c r="I738" s="111">
        <f>VLOOKUP(A738,黄金期货!A:B,2,FALSE)</f>
        <v>2657</v>
      </c>
      <c r="J738" s="106">
        <f>VLOOKUP(A738,Sheet3!A:E,5,FALSE)</f>
        <v>1550</v>
      </c>
      <c r="L738" s="112">
        <f t="shared" si="31"/>
        <v>-0.00321543408360129</v>
      </c>
    </row>
    <row r="739" spans="1:12">
      <c r="A739" s="109">
        <v>45643</v>
      </c>
      <c r="B739" s="106">
        <f>VLOOKUP(A739,港存及港价!A:B,2,FALSE)</f>
        <v>211.6</v>
      </c>
      <c r="C739" s="106">
        <v>3600</v>
      </c>
      <c r="D739" s="106">
        <f>VLOOKUP(A739,Sheet4!A:C,2,FALSE)</f>
        <v>889</v>
      </c>
      <c r="E739" s="106">
        <f>VLOOKUP(A739,Sheet5!A:B,2,FALSE)</f>
        <v>7.2847</v>
      </c>
      <c r="F739" s="106">
        <f>VLOOKUP(A739,Sheet6!A:B,2,FALSE)</f>
        <v>106.96</v>
      </c>
      <c r="G739" s="106">
        <f>VLOOKUP(A739,WTI原油期货!A:B,2,FALSE)</f>
        <v>69.65</v>
      </c>
      <c r="H739" s="106">
        <f>VLOOKUP(A739,天然气期货!A:B,2,FALSE)</f>
        <v>3.08</v>
      </c>
      <c r="I739" s="111">
        <f>VLOOKUP(A739,黄金期货!A:B,2,FALSE)</f>
        <v>2649.6</v>
      </c>
      <c r="J739" s="106">
        <f>VLOOKUP(A739,Sheet3!A:E,5,FALSE)</f>
        <v>1545</v>
      </c>
      <c r="L739" s="112">
        <f t="shared" si="31"/>
        <v>-0.0032258064516129</v>
      </c>
    </row>
    <row r="740" spans="1:12">
      <c r="A740" s="109">
        <v>45644</v>
      </c>
      <c r="B740" s="106">
        <f>VLOOKUP(A740,港存及港价!A:B,2,FALSE)</f>
        <v>208.95</v>
      </c>
      <c r="C740" s="106">
        <v>3600</v>
      </c>
      <c r="D740" s="106">
        <f>VLOOKUP(A740,Sheet4!A:C,2,FALSE)</f>
        <v>886</v>
      </c>
      <c r="E740" s="106">
        <f>VLOOKUP(A740,Sheet5!A:B,2,FALSE)</f>
        <v>7.2867</v>
      </c>
      <c r="F740" s="106">
        <f>VLOOKUP(A740,Sheet6!A:B,2,FALSE)</f>
        <v>108.03</v>
      </c>
      <c r="G740" s="106">
        <f>VLOOKUP(A740,WTI原油期货!A:B,2,FALSE)</f>
        <v>70.02</v>
      </c>
      <c r="H740" s="106">
        <f>VLOOKUP(A740,天然气期货!A:B,2,FALSE)</f>
        <v>3.115</v>
      </c>
      <c r="I740" s="111">
        <f>VLOOKUP(A740,黄金期货!A:B,2,FALSE)</f>
        <v>2640.8</v>
      </c>
      <c r="J740" s="106">
        <f>VLOOKUP(A740,Sheet3!A:E,5,FALSE)</f>
        <v>1535</v>
      </c>
      <c r="L740" s="112">
        <f t="shared" si="31"/>
        <v>-0.00647249190938511</v>
      </c>
    </row>
    <row r="741" spans="1:12">
      <c r="A741" s="109">
        <v>45645</v>
      </c>
      <c r="B741" s="106">
        <f>VLOOKUP(A741,港存及港价!A:B,2,FALSE)</f>
        <v>205.37</v>
      </c>
      <c r="C741" s="106">
        <v>3600</v>
      </c>
      <c r="D741" s="106">
        <f>VLOOKUP(A741,Sheet4!A:C,2,FALSE)</f>
        <v>884</v>
      </c>
      <c r="E741" s="106">
        <f>VLOOKUP(A741,Sheet5!A:B,2,FALSE)</f>
        <v>7.297</v>
      </c>
      <c r="F741" s="106">
        <f>VLOOKUP(A741,Sheet6!A:B,2,FALSE)</f>
        <v>108.41</v>
      </c>
      <c r="G741" s="106">
        <f>VLOOKUP(A741,WTI原油期货!A:B,2,FALSE)</f>
        <v>69.38</v>
      </c>
      <c r="H741" s="106">
        <f>VLOOKUP(A741,天然气期货!A:B,2,FALSE)</f>
        <v>3.296</v>
      </c>
      <c r="I741" s="111">
        <f>VLOOKUP(A741,黄金期货!A:B,2,FALSE)</f>
        <v>2596</v>
      </c>
      <c r="J741" s="106">
        <f>VLOOKUP(A741,Sheet3!A:E,5,FALSE)</f>
        <v>1535</v>
      </c>
      <c r="L741" s="112">
        <f t="shared" si="31"/>
        <v>0</v>
      </c>
    </row>
    <row r="742" spans="1:12">
      <c r="A742" s="109">
        <v>45646</v>
      </c>
      <c r="B742" s="106">
        <f>VLOOKUP(A742,港存及港价!A:B,2,FALSE)</f>
        <v>203.25</v>
      </c>
      <c r="C742" s="106">
        <v>3600</v>
      </c>
      <c r="D742" s="106">
        <f>VLOOKUP(A742,Sheet4!A:C,2,FALSE)</f>
        <v>884</v>
      </c>
      <c r="E742" s="106">
        <f>VLOOKUP(A742,Sheet5!A:B,2,FALSE)</f>
        <v>7.2966</v>
      </c>
      <c r="F742" s="106">
        <f>VLOOKUP(A742,Sheet6!A:B,2,FALSE)</f>
        <v>107.62</v>
      </c>
      <c r="G742" s="106">
        <f>VLOOKUP(A742,WTI原油期货!A:B,2,FALSE)</f>
        <v>69.02</v>
      </c>
      <c r="H742" s="106">
        <f>VLOOKUP(A742,天然气期货!A:B,2,FALSE)</f>
        <v>3.412</v>
      </c>
      <c r="I742" s="111">
        <f>VLOOKUP(A742,黄金期货!A:B,2,FALSE)</f>
        <v>2632.5</v>
      </c>
      <c r="J742" s="106">
        <f>VLOOKUP(A742,Sheet3!A:E,5,FALSE)</f>
        <v>1530</v>
      </c>
      <c r="L742" s="112">
        <f t="shared" si="31"/>
        <v>-0.00325732899022801</v>
      </c>
    </row>
    <row r="743" spans="1:12">
      <c r="A743" s="109">
        <v>45649</v>
      </c>
      <c r="B743" s="106">
        <f>VLOOKUP(A743,港存及港价!A:B,2,FALSE)</f>
        <v>203.16</v>
      </c>
      <c r="C743" s="106">
        <v>3600</v>
      </c>
      <c r="D743" s="106">
        <f>VLOOKUP(A743,Sheet4!A:C,2,FALSE)</f>
        <v>884</v>
      </c>
      <c r="E743" s="106">
        <f>VLOOKUP(A743,Sheet5!A:B,2,FALSE)</f>
        <v>7.2984</v>
      </c>
      <c r="F743" s="106">
        <f>VLOOKUP(A743,Sheet6!A:B,2,FALSE)</f>
        <v>108.04</v>
      </c>
      <c r="G743" s="106">
        <f>VLOOKUP(A743,WTI原油期货!A:B,2,FALSE)</f>
        <v>68.81</v>
      </c>
      <c r="H743" s="106">
        <f>VLOOKUP(A743,天然气期货!A:B,2,FALSE)</f>
        <v>3.656</v>
      </c>
      <c r="I743" s="111">
        <f>VLOOKUP(A743,黄金期货!A:B,2,FALSE)</f>
        <v>2615.5</v>
      </c>
      <c r="J743" s="106">
        <f>VLOOKUP(A743,Sheet3!A:E,5,FALSE)</f>
        <v>1525</v>
      </c>
      <c r="L743" s="112">
        <f t="shared" si="31"/>
        <v>-0.00326797385620915</v>
      </c>
    </row>
    <row r="744" spans="1:12">
      <c r="A744" s="109">
        <v>45650</v>
      </c>
      <c r="B744" s="106">
        <f>VLOOKUP(A744,港存及港价!A:B,2,FALSE)</f>
        <v>205.25</v>
      </c>
      <c r="C744" s="106">
        <v>3600</v>
      </c>
      <c r="D744" s="106">
        <f>VLOOKUP(A744,Sheet4!A:C,2,FALSE)</f>
        <v>884</v>
      </c>
      <c r="E744" s="106">
        <f>VLOOKUP(A744,Sheet5!A:B,2,FALSE)</f>
        <v>7.2953</v>
      </c>
      <c r="F744" s="106">
        <f>VLOOKUP(A744,Sheet6!A:B,2,FALSE)</f>
        <v>108.2</v>
      </c>
      <c r="G744" s="106">
        <f>VLOOKUP(A744,WTI原油期货!A:B,2,FALSE)</f>
        <v>69.64</v>
      </c>
      <c r="H744" s="106">
        <f>VLOOKUP(A744,天然气期货!A:B,2,FALSE)</f>
        <v>3.946</v>
      </c>
      <c r="I744" s="111">
        <f>VLOOKUP(A744,黄金期货!A:B,2,FALSE)</f>
        <v>2622.8</v>
      </c>
      <c r="J744" s="106">
        <f>VLOOKUP(A744,Sheet3!A:E,5,FALSE)</f>
        <v>1530</v>
      </c>
      <c r="L744" s="112">
        <f t="shared" si="31"/>
        <v>0.00327868852459016</v>
      </c>
    </row>
    <row r="745" spans="1:12">
      <c r="A745" s="109">
        <v>45651</v>
      </c>
      <c r="B745" s="106">
        <f>VLOOKUP(A745,港存及港价!A:B,2,FALSE)</f>
        <v>204.2</v>
      </c>
      <c r="C745" s="106">
        <v>3600</v>
      </c>
      <c r="D745" s="106">
        <f>VLOOKUP(A745,Sheet4!A:C,2,FALSE)</f>
        <v>884</v>
      </c>
      <c r="E745" s="106">
        <f>VLOOKUP(A745,Sheet5!A:B,2,FALSE)</f>
        <v>7.2982</v>
      </c>
      <c r="F745" s="106">
        <f>F744</f>
        <v>108.2</v>
      </c>
      <c r="G745" s="106">
        <f>G744</f>
        <v>69.64</v>
      </c>
      <c r="H745" s="106">
        <f>H744</f>
        <v>3.946</v>
      </c>
      <c r="I745" s="111">
        <f>I744</f>
        <v>2622.8</v>
      </c>
      <c r="J745" s="106">
        <f>VLOOKUP(A745,Sheet3!A:E,5,FALSE)</f>
        <v>1535</v>
      </c>
      <c r="L745" s="112">
        <f t="shared" si="31"/>
        <v>0.00326797385620915</v>
      </c>
    </row>
    <row r="746" spans="1:12">
      <c r="A746" s="109">
        <v>45652</v>
      </c>
      <c r="B746" s="106">
        <f>VLOOKUP(A746,港存及港价!A:B,2,FALSE)</f>
        <v>205.25</v>
      </c>
      <c r="C746" s="106">
        <v>3600</v>
      </c>
      <c r="D746" s="106">
        <f>VLOOKUP(A746,Sheet4!A:C,2,FALSE)</f>
        <v>885</v>
      </c>
      <c r="E746" s="106">
        <f>VLOOKUP(A746,Sheet5!A:B,2,FALSE)</f>
        <v>7.2982</v>
      </c>
      <c r="F746" s="106">
        <f>VLOOKUP(A746,Sheet6!A:B,2,FALSE)</f>
        <v>108.13</v>
      </c>
      <c r="G746" s="106">
        <f>VLOOKUP(A746,WTI原油期货!A:B,2,FALSE)</f>
        <v>69.23</v>
      </c>
      <c r="H746" s="106">
        <f>VLOOKUP(A746,天然气期货!A:B,2,FALSE)</f>
        <v>3.715</v>
      </c>
      <c r="I746" s="111">
        <f>VLOOKUP(A746,黄金期货!A:B,2,FALSE)</f>
        <v>2640.3</v>
      </c>
      <c r="J746" s="106">
        <f>VLOOKUP(A746,Sheet3!A:E,5,FALSE)</f>
        <v>1545</v>
      </c>
      <c r="L746" s="112">
        <f t="shared" si="31"/>
        <v>0.00651465798045603</v>
      </c>
    </row>
    <row r="747" spans="1:12">
      <c r="A747" s="109">
        <v>45653</v>
      </c>
      <c r="B747" s="106">
        <f>VLOOKUP(A747,港存及港价!A:B,2,FALSE)</f>
        <v>209.8</v>
      </c>
      <c r="C747" s="106">
        <v>3600</v>
      </c>
      <c r="D747" s="106">
        <f>VLOOKUP(A747,Sheet4!A:C,2,FALSE)</f>
        <v>884</v>
      </c>
      <c r="E747" s="106">
        <f>VLOOKUP(A747,Sheet5!A:B,2,FALSE)</f>
        <v>7.2985</v>
      </c>
      <c r="F747" s="106">
        <f>VLOOKUP(A747,Sheet6!A:B,2,FALSE)</f>
        <v>108</v>
      </c>
      <c r="G747" s="106">
        <f>VLOOKUP(A747,WTI原油期货!A:B,2,FALSE)</f>
        <v>70.18</v>
      </c>
      <c r="H747" s="106">
        <f>VLOOKUP(A747,天然气期货!A:B,2,FALSE)</f>
        <v>3.514</v>
      </c>
      <c r="I747" s="111">
        <f>VLOOKUP(A747,黄金期货!A:B,2,FALSE)</f>
        <v>2618.4</v>
      </c>
      <c r="J747" s="106">
        <f>VLOOKUP(A747,Sheet3!A:E,5,FALSE)</f>
        <v>1560</v>
      </c>
      <c r="L747" s="112">
        <f t="shared" si="31"/>
        <v>0.00970873786407767</v>
      </c>
    </row>
    <row r="748" spans="1:12">
      <c r="A748" s="109">
        <v>45656</v>
      </c>
      <c r="B748" s="106">
        <f>VLOOKUP(A748,港存及港价!A:B,2,FALSE)</f>
        <v>213.67</v>
      </c>
      <c r="C748" s="106">
        <v>3600</v>
      </c>
      <c r="D748" s="106">
        <f>VLOOKUP(A748,Sheet4!A:C,2,FALSE)</f>
        <v>882</v>
      </c>
      <c r="E748" s="106">
        <f>VLOOKUP(A748,Sheet5!A:B,2,FALSE)</f>
        <v>7.2994</v>
      </c>
      <c r="F748" s="106">
        <f>VLOOKUP(A748,Sheet6!A:B,2,FALSE)</f>
        <v>108.13</v>
      </c>
      <c r="G748" s="106">
        <f>VLOOKUP(A748,WTI原油期货!A:B,2,FALSE)</f>
        <v>70.53</v>
      </c>
      <c r="H748" s="106">
        <f>VLOOKUP(A748,天然气期货!A:B,2,FALSE)</f>
        <v>3.936</v>
      </c>
      <c r="I748" s="111">
        <f>VLOOKUP(A748,黄金期货!A:B,2,FALSE)</f>
        <v>2618.1</v>
      </c>
      <c r="J748" s="106">
        <f>VLOOKUP(A748,Sheet3!A:E,5,FALSE)</f>
        <v>1560</v>
      </c>
      <c r="L748" s="112">
        <f t="shared" si="31"/>
        <v>0</v>
      </c>
    </row>
    <row r="749" spans="1:12">
      <c r="A749" s="109">
        <v>45657</v>
      </c>
      <c r="B749" s="106">
        <f>VLOOKUP(A749,港存及港价!A:B,2,FALSE)</f>
        <v>212.3</v>
      </c>
      <c r="C749" s="106">
        <v>3600</v>
      </c>
      <c r="D749" s="106">
        <f>VLOOKUP(A749,Sheet4!A:C,2,FALSE)</f>
        <v>881</v>
      </c>
      <c r="E749" s="106">
        <f>VLOOKUP(A749,Sheet5!A:B,2,FALSE)</f>
        <v>7.2994</v>
      </c>
      <c r="F749" s="106">
        <f>VLOOKUP(A749,Sheet6!A:B,2,FALSE)</f>
        <v>108.49</v>
      </c>
      <c r="G749" s="106">
        <f>VLOOKUP(A749,WTI原油期货!A:B,2,FALSE)</f>
        <v>71.25</v>
      </c>
      <c r="H749" s="106">
        <f>VLOOKUP(A749,天然气期货!A:B,2,FALSE)</f>
        <v>3.633</v>
      </c>
      <c r="I749" s="111">
        <f>VLOOKUP(A749,黄金期货!A:B,2,FALSE)</f>
        <v>2641</v>
      </c>
      <c r="J749" s="106">
        <f>VLOOKUP(A749,Sheet3!A:E,5,FALSE)</f>
        <v>1560</v>
      </c>
      <c r="L749" s="112">
        <f t="shared" si="31"/>
        <v>0</v>
      </c>
    </row>
    <row r="750" spans="1:12">
      <c r="A750" s="109">
        <v>45659</v>
      </c>
      <c r="B750" s="106">
        <f>VLOOKUP(A750,港存及港价!A:B,2,FALSE)</f>
        <v>210.45</v>
      </c>
      <c r="C750" s="106">
        <v>3600</v>
      </c>
      <c r="D750" s="106">
        <f>VLOOKUP(A750,Sheet4!A:C,2,FALSE)</f>
        <v>881</v>
      </c>
      <c r="E750" s="106">
        <f>VLOOKUP(A750,Sheet5!A:B,2,FALSE)</f>
        <v>7.2995</v>
      </c>
      <c r="F750" s="106">
        <f>VLOOKUP(A750,Sheet6!A:B,2,FALSE)</f>
        <v>109.39</v>
      </c>
      <c r="G750" s="106">
        <f>VLOOKUP(A750,WTI原油期货!A:B,2,FALSE)</f>
        <v>72.5</v>
      </c>
      <c r="H750" s="106">
        <f>VLOOKUP(A750,天然气期货!A:B,2,FALSE)</f>
        <v>3.66</v>
      </c>
      <c r="I750" s="111">
        <f>VLOOKUP(A750,黄金期货!A:B,2,FALSE)</f>
        <v>2669</v>
      </c>
      <c r="J750" s="106">
        <f>VLOOKUP(A750,Sheet3!A:E,5,FALSE)</f>
        <v>1560</v>
      </c>
      <c r="L750" s="112">
        <f t="shared" si="31"/>
        <v>0</v>
      </c>
    </row>
    <row r="751" spans="1:12">
      <c r="A751" s="109">
        <v>45660</v>
      </c>
      <c r="B751" s="106">
        <f>VLOOKUP(A751,港存及港价!A:B,2,FALSE)</f>
        <v>210.85</v>
      </c>
      <c r="C751" s="106">
        <v>3600</v>
      </c>
      <c r="D751" s="106">
        <f>VLOOKUP(A751,Sheet4!A:C,2,FALSE)</f>
        <v>879</v>
      </c>
      <c r="E751" s="106">
        <f>VLOOKUP(A751,Sheet5!A:B,2,FALSE)</f>
        <v>7.3206</v>
      </c>
      <c r="F751" s="106">
        <f>VLOOKUP(A751,Sheet6!A:B,2,FALSE)</f>
        <v>108.95</v>
      </c>
      <c r="G751" s="106">
        <f>VLOOKUP(A751,WTI原油期货!A:B,2,FALSE)</f>
        <v>73.21</v>
      </c>
      <c r="H751" s="106">
        <f>VLOOKUP(A751,天然气期货!A:B,2,FALSE)</f>
        <v>3.354</v>
      </c>
      <c r="I751" s="111">
        <f>VLOOKUP(A751,黄金期货!A:B,2,FALSE)</f>
        <v>2654.7</v>
      </c>
      <c r="J751" s="106">
        <f>VLOOKUP(A751,Sheet3!A:E,5,FALSE)</f>
        <v>1565</v>
      </c>
      <c r="L751" s="112">
        <f t="shared" si="31"/>
        <v>0.00320512820512821</v>
      </c>
    </row>
    <row r="752" spans="1:12">
      <c r="A752" s="109">
        <v>45663</v>
      </c>
      <c r="B752" s="106">
        <f>VLOOKUP(A752,港存及港价!A:B,2,FALSE)</f>
        <v>206.85</v>
      </c>
      <c r="C752" s="106">
        <v>3600</v>
      </c>
      <c r="D752" s="106">
        <f>VLOOKUP(A752,Sheet4!A:C,2,FALSE)</f>
        <v>878</v>
      </c>
      <c r="E752" s="106">
        <f>VLOOKUP(A752,Sheet5!A:B,2,FALSE)</f>
        <v>7.3225</v>
      </c>
      <c r="F752" s="106">
        <f>VLOOKUP(A752,Sheet6!A:B,2,FALSE)</f>
        <v>108.26</v>
      </c>
      <c r="G752" s="106">
        <f>VLOOKUP(A752,WTI原油期货!A:B,2,FALSE)</f>
        <v>72.92</v>
      </c>
      <c r="H752" s="106">
        <f>VLOOKUP(A752,天然气期货!A:B,2,FALSE)</f>
        <v>3.672</v>
      </c>
      <c r="I752" s="111">
        <f>VLOOKUP(A752,黄金期货!A:B,2,FALSE)</f>
        <v>2647.4</v>
      </c>
      <c r="J752" s="106">
        <f>VLOOKUP(A752,Sheet3!A:E,5,FALSE)</f>
        <v>1565</v>
      </c>
      <c r="L752" s="112">
        <f t="shared" si="31"/>
        <v>0</v>
      </c>
    </row>
    <row r="753" spans="1:12">
      <c r="A753" s="109">
        <v>45664</v>
      </c>
      <c r="B753" s="106">
        <f>VLOOKUP(A753,港存及港价!A:B,2,FALSE)</f>
        <v>208.85</v>
      </c>
      <c r="C753" s="106">
        <v>3600</v>
      </c>
      <c r="D753" s="106">
        <f>VLOOKUP(A753,Sheet4!A:C,2,FALSE)</f>
        <v>877</v>
      </c>
      <c r="E753" s="106">
        <f>VLOOKUP(A753,Sheet5!A:B,2,FALSE)</f>
        <v>7.3265</v>
      </c>
      <c r="F753" s="106">
        <f>VLOOKUP(A753,Sheet6!A:B,2,FALSE)</f>
        <v>108.54</v>
      </c>
      <c r="G753" s="106">
        <f>VLOOKUP(A753,WTI原油期货!A:B,2,FALSE)</f>
        <v>73.57</v>
      </c>
      <c r="H753" s="106">
        <f>VLOOKUP(A753,天然气期货!A:B,2,FALSE)</f>
        <v>3.449</v>
      </c>
      <c r="I753" s="111">
        <f>VLOOKUP(A753,黄金期货!A:B,2,FALSE)</f>
        <v>2665.4</v>
      </c>
      <c r="J753" s="106">
        <f>VLOOKUP(A753,Sheet3!A:E,5,FALSE)</f>
        <v>1560</v>
      </c>
      <c r="L753" s="112">
        <f t="shared" si="31"/>
        <v>-0.00319488817891374</v>
      </c>
    </row>
    <row r="754" spans="1:12">
      <c r="A754" s="109">
        <v>45665</v>
      </c>
      <c r="B754" s="106">
        <f>VLOOKUP(A754,港存及港价!A:B,2,FALSE)</f>
        <v>208.55</v>
      </c>
      <c r="C754" s="106">
        <v>3600</v>
      </c>
      <c r="D754" s="106">
        <f>VLOOKUP(A754,Sheet4!A:C,2,FALSE)</f>
        <v>877</v>
      </c>
      <c r="E754" s="106">
        <f>VLOOKUP(A754,Sheet5!A:B,2,FALSE)</f>
        <v>7.3317</v>
      </c>
      <c r="F754" s="106">
        <f>VLOOKUP(A754,Sheet6!A:B,2,FALSE)</f>
        <v>109.09</v>
      </c>
      <c r="G754" s="106">
        <f>VLOOKUP(A754,WTI原油期货!A:B,2,FALSE)</f>
        <v>72.67</v>
      </c>
      <c r="H754" s="106">
        <f>VLOOKUP(A754,天然气期货!A:B,2,FALSE)</f>
        <v>3.651</v>
      </c>
      <c r="I754" s="111">
        <f>VLOOKUP(A754,黄金期货!A:B,2,FALSE)</f>
        <v>2672.4</v>
      </c>
      <c r="J754" s="106">
        <f>VLOOKUP(A754,Sheet3!A:E,5,FALSE)</f>
        <v>1550</v>
      </c>
      <c r="L754" s="112">
        <f t="shared" si="31"/>
        <v>-0.00641025641025641</v>
      </c>
    </row>
    <row r="755" spans="1:12">
      <c r="A755" s="109">
        <v>45666</v>
      </c>
      <c r="B755" s="106">
        <f>VLOOKUP(A755,港存及港价!A:B,2,FALSE)</f>
        <v>206</v>
      </c>
      <c r="C755" s="106">
        <v>3600</v>
      </c>
      <c r="D755" s="106">
        <f>VLOOKUP(A755,Sheet4!A:C,2,FALSE)</f>
        <v>877</v>
      </c>
      <c r="E755" s="106">
        <f>VLOOKUP(A755,Sheet5!A:B,2,FALSE)</f>
        <v>7.3322</v>
      </c>
      <c r="F755" s="106">
        <f>VLOOKUP(A755,Sheet6!A:B,2,FALSE)</f>
        <v>109.18</v>
      </c>
      <c r="G755" s="106">
        <f>VLOOKUP(A755,WTI原油期货!A:B,2,FALSE)</f>
        <v>73.24</v>
      </c>
      <c r="H755" s="106">
        <f>VLOOKUP(A755,天然气期货!A:B,2,FALSE)</f>
        <v>3.701</v>
      </c>
      <c r="I755" s="111">
        <f>VLOOKUP(A755,黄金期货!A:B,2,FALSE)</f>
        <v>2690.8</v>
      </c>
      <c r="J755" s="106">
        <f>VLOOKUP(A755,Sheet3!A:E,5,FALSE)</f>
        <v>1545</v>
      </c>
      <c r="L755" s="112">
        <f t="shared" si="31"/>
        <v>-0.0032258064516129</v>
      </c>
    </row>
    <row r="756" spans="1:12">
      <c r="A756" s="109">
        <v>45667</v>
      </c>
      <c r="B756" s="106">
        <f>VLOOKUP(A756,港存及港价!A:B,2,FALSE)</f>
        <v>204.75</v>
      </c>
      <c r="C756" s="106">
        <v>3600</v>
      </c>
      <c r="D756" s="106">
        <f>VLOOKUP(A756,Sheet4!A:C,2,FALSE)</f>
        <v>879</v>
      </c>
      <c r="E756" s="106">
        <f>VLOOKUP(A756,Sheet5!A:B,2,FALSE)</f>
        <v>7.3327</v>
      </c>
      <c r="F756" s="106">
        <f>VLOOKUP(A756,Sheet6!A:B,2,FALSE)</f>
        <v>109.65</v>
      </c>
      <c r="G756" s="106">
        <f>VLOOKUP(A756,WTI原油期货!A:B,2,FALSE)</f>
        <v>75.75</v>
      </c>
      <c r="H756" s="106">
        <f>VLOOKUP(A756,天然气期货!A:B,2,FALSE)</f>
        <v>3.989</v>
      </c>
      <c r="I756" s="111">
        <f>VLOOKUP(A756,黄金期货!A:B,2,FALSE)</f>
        <v>2715</v>
      </c>
      <c r="J756" s="106">
        <f>VLOOKUP(A756,Sheet3!A:E,5,FALSE)</f>
        <v>1550</v>
      </c>
      <c r="L756" s="112">
        <f t="shared" si="31"/>
        <v>0.00323624595469256</v>
      </c>
    </row>
    <row r="757" spans="1:12">
      <c r="A757" s="109">
        <v>45670</v>
      </c>
      <c r="B757" s="106">
        <f>VLOOKUP(A757,港存及港价!A:B,2,FALSE)</f>
        <v>205.3</v>
      </c>
      <c r="C757" s="106">
        <v>3600</v>
      </c>
      <c r="D757" s="106">
        <f>VLOOKUP(A757,Sheet4!A:C,2,FALSE)</f>
        <v>885</v>
      </c>
      <c r="E757" s="106">
        <f>VLOOKUP(A757,Sheet5!A:B,2,FALSE)</f>
        <v>7.332</v>
      </c>
      <c r="F757" s="106">
        <f>VLOOKUP(A757,Sheet6!A:B,2,FALSE)</f>
        <v>109.96</v>
      </c>
      <c r="G757" s="106">
        <f>VLOOKUP(A757,WTI原油期货!A:B,2,FALSE)</f>
        <v>77.3</v>
      </c>
      <c r="H757" s="106">
        <f>VLOOKUP(A757,天然气期货!A:B,2,FALSE)</f>
        <v>3.934</v>
      </c>
      <c r="I757" s="111">
        <f>VLOOKUP(A757,黄金期货!A:B,2,FALSE)</f>
        <v>2678.6</v>
      </c>
      <c r="J757" s="106">
        <f>VLOOKUP(A757,Sheet3!A:E,5,FALSE)</f>
        <v>1555</v>
      </c>
      <c r="L757" s="112">
        <f t="shared" si="31"/>
        <v>0.0032258064516129</v>
      </c>
    </row>
    <row r="758" spans="1:12">
      <c r="A758" s="109">
        <v>45671</v>
      </c>
      <c r="B758" s="106">
        <f>VLOOKUP(A758,港存及港价!A:B,2,FALSE)</f>
        <v>209.5</v>
      </c>
      <c r="C758" s="106">
        <v>3600</v>
      </c>
      <c r="D758" s="106">
        <f>VLOOKUP(A758,Sheet4!A:C,2,FALSE)</f>
        <v>887</v>
      </c>
      <c r="E758" s="106">
        <f>VLOOKUP(A758,Sheet5!A:B,2,FALSE)</f>
        <v>7.3312</v>
      </c>
      <c r="F758" s="106">
        <f>VLOOKUP(A758,Sheet6!A:B,2,FALSE)</f>
        <v>109.27</v>
      </c>
      <c r="G758" s="106">
        <f>VLOOKUP(A758,WTI原油期货!A:B,2,FALSE)</f>
        <v>76.37</v>
      </c>
      <c r="H758" s="106">
        <f>VLOOKUP(A758,天然气期货!A:B,2,FALSE)</f>
        <v>3.968</v>
      </c>
      <c r="I758" s="111">
        <f>VLOOKUP(A758,黄金期货!A:B,2,FALSE)</f>
        <v>2682.3</v>
      </c>
      <c r="J758" s="106">
        <f>VLOOKUP(A758,Sheet3!A:E,5,FALSE)</f>
        <v>1560</v>
      </c>
      <c r="L758" s="112">
        <f t="shared" si="31"/>
        <v>0.00321543408360129</v>
      </c>
    </row>
    <row r="759" spans="1:12">
      <c r="A759" s="109">
        <v>45672</v>
      </c>
      <c r="B759" s="106">
        <f>VLOOKUP(A759,港存及港价!A:B,2,FALSE)</f>
        <v>207.35</v>
      </c>
      <c r="C759" s="106">
        <v>3600</v>
      </c>
      <c r="D759" s="106">
        <f>VLOOKUP(A759,Sheet4!A:C,2,FALSE)</f>
        <v>888</v>
      </c>
      <c r="E759" s="106">
        <f>VLOOKUP(A759,Sheet5!A:B,2,FALSE)</f>
        <v>7.331</v>
      </c>
      <c r="F759" s="106">
        <f>VLOOKUP(A759,Sheet6!A:B,2,FALSE)</f>
        <v>109.09</v>
      </c>
      <c r="G759" s="106">
        <f>VLOOKUP(A759,WTI原油期货!A:B,2,FALSE)</f>
        <v>78.71</v>
      </c>
      <c r="H759" s="106">
        <f>VLOOKUP(A759,天然气期货!A:B,2,FALSE)</f>
        <v>4.083</v>
      </c>
      <c r="I759" s="111">
        <f>VLOOKUP(A759,黄金期货!A:B,2,FALSE)</f>
        <v>2717.8</v>
      </c>
      <c r="J759" s="106">
        <f>VLOOKUP(A759,Sheet3!A:E,5,FALSE)</f>
        <v>1565</v>
      </c>
      <c r="L759" s="112">
        <f t="shared" si="31"/>
        <v>0.00320512820512821</v>
      </c>
    </row>
    <row r="760" spans="1:12">
      <c r="A760" s="109">
        <v>45673</v>
      </c>
      <c r="B760" s="106">
        <f>VLOOKUP(A760,港存及港价!A:B,2,FALSE)</f>
        <v>205.4</v>
      </c>
      <c r="C760" s="106">
        <v>3600</v>
      </c>
      <c r="D760" s="106">
        <f>VLOOKUP(A760,Sheet4!A:C,2,FALSE)</f>
        <v>887</v>
      </c>
      <c r="E760" s="106">
        <f>VLOOKUP(A760,Sheet5!A:B,2,FALSE)</f>
        <v>7.3317</v>
      </c>
      <c r="F760" s="106">
        <f>VLOOKUP(A760,Sheet6!A:B,2,FALSE)</f>
        <v>108.96</v>
      </c>
      <c r="G760" s="106">
        <f>VLOOKUP(A760,WTI原油期货!A:B,2,FALSE)</f>
        <v>78.68</v>
      </c>
      <c r="H760" s="106">
        <f>VLOOKUP(A760,天然气期货!A:B,2,FALSE)</f>
        <v>4.258</v>
      </c>
      <c r="I760" s="111">
        <f>VLOOKUP(A760,黄金期货!A:B,2,FALSE)</f>
        <v>2750.9</v>
      </c>
      <c r="J760" s="106">
        <f>VLOOKUP(A760,Sheet3!A:E,5,FALSE)</f>
        <v>1575</v>
      </c>
      <c r="L760" s="112">
        <f t="shared" si="31"/>
        <v>0.00638977635782748</v>
      </c>
    </row>
    <row r="761" spans="1:12">
      <c r="A761" s="109">
        <v>45674</v>
      </c>
      <c r="B761" s="106">
        <f>VLOOKUP(A761,港存及港价!A:B,2,FALSE)</f>
        <v>210.1</v>
      </c>
      <c r="C761" s="106">
        <v>3600</v>
      </c>
      <c r="D761" s="106">
        <f>VLOOKUP(A761,Sheet4!A:C,2,FALSE)</f>
        <v>889</v>
      </c>
      <c r="E761" s="106">
        <f>VLOOKUP(A761,Sheet5!A:B,2,FALSE)</f>
        <v>7.3252</v>
      </c>
      <c r="F761" s="106">
        <f>VLOOKUP(A761,Sheet6!A:B,2,FALSE)</f>
        <v>109.35</v>
      </c>
      <c r="G761" s="106">
        <f>VLOOKUP(A761,WTI原油期货!A:B,2,FALSE)</f>
        <v>77.88</v>
      </c>
      <c r="H761" s="106">
        <f>VLOOKUP(A761,天然气期货!A:B,2,FALSE)</f>
        <v>3.948</v>
      </c>
      <c r="I761" s="111">
        <f>VLOOKUP(A761,黄金期货!A:B,2,FALSE)</f>
        <v>2748.7</v>
      </c>
      <c r="J761" s="106">
        <f>VLOOKUP(A761,Sheet3!A:E,5,FALSE)</f>
        <v>1580</v>
      </c>
      <c r="L761" s="112">
        <f t="shared" si="31"/>
        <v>0.00317460317460317</v>
      </c>
    </row>
    <row r="762" spans="1:12">
      <c r="A762" s="109">
        <v>45677</v>
      </c>
      <c r="B762" s="106">
        <f>VLOOKUP(A762,港存及港价!A:B,2,FALSE)</f>
        <v>206.9</v>
      </c>
      <c r="C762" s="106">
        <v>3600</v>
      </c>
      <c r="D762" s="106">
        <f>VLOOKUP(A762,Sheet4!A:C,2,FALSE)</f>
        <v>889</v>
      </c>
      <c r="E762" s="106">
        <f>VLOOKUP(A762,Sheet5!A:B,2,FALSE)</f>
        <v>7.3018</v>
      </c>
      <c r="F762" s="106">
        <f>VLOOKUP(A762,Sheet6!A:B,2,FALSE)</f>
        <v>109.35</v>
      </c>
      <c r="G762" s="106">
        <f>G761</f>
        <v>77.88</v>
      </c>
      <c r="H762" s="106">
        <f>H761</f>
        <v>3.948</v>
      </c>
      <c r="I762" s="111">
        <f>I761</f>
        <v>2748.7</v>
      </c>
      <c r="J762" s="106">
        <f>VLOOKUP(A762,Sheet3!A:E,5,FALSE)</f>
        <v>1580</v>
      </c>
      <c r="L762" s="112">
        <f t="shared" si="31"/>
        <v>0</v>
      </c>
    </row>
    <row r="763" spans="1:12">
      <c r="A763" s="109">
        <v>45678</v>
      </c>
      <c r="B763" s="106">
        <f>VLOOKUP(A763,港存及港价!A:B,2,FALSE)</f>
        <v>205.8</v>
      </c>
      <c r="C763" s="106">
        <v>3400</v>
      </c>
      <c r="D763" s="106">
        <f>VLOOKUP(A763,Sheet4!A:C,2,FALSE)</f>
        <v>889</v>
      </c>
      <c r="E763" s="106">
        <f>VLOOKUP(A763,Sheet5!A:B,2,FALSE)</f>
        <v>7.2721</v>
      </c>
      <c r="F763" s="106">
        <f>VLOOKUP(A763,Sheet6!A:B,2,FALSE)</f>
        <v>108.06</v>
      </c>
      <c r="G763" s="106">
        <f>VLOOKUP(A763,WTI原油期货!A:B,2,FALSE)</f>
        <v>75.89</v>
      </c>
      <c r="H763" s="106">
        <f>VLOOKUP(A763,天然气期货!A:B,2,FALSE)</f>
        <v>3.343</v>
      </c>
      <c r="I763" s="111">
        <f>VLOOKUP(A763,黄金期货!A:B,2,FALSE)</f>
        <v>2785.6</v>
      </c>
      <c r="J763" s="106">
        <f>VLOOKUP(A763,Sheet3!A:E,5,FALSE)</f>
        <v>1575</v>
      </c>
      <c r="L763" s="112">
        <f t="shared" si="31"/>
        <v>-0.00316455696202532</v>
      </c>
    </row>
    <row r="764" spans="1:12">
      <c r="A764" s="109">
        <v>45679</v>
      </c>
      <c r="B764" s="106">
        <f>VLOOKUP(A764,港存及港价!A:B,2,FALSE)</f>
        <v>205</v>
      </c>
      <c r="C764" s="106">
        <v>3400</v>
      </c>
      <c r="D764" s="106">
        <f>VLOOKUP(A764,Sheet4!A:C,2,FALSE)</f>
        <v>888</v>
      </c>
      <c r="E764" s="106">
        <f>VLOOKUP(A764,Sheet5!A:B,2,FALSE)</f>
        <v>7.2732</v>
      </c>
      <c r="F764" s="106">
        <f>VLOOKUP(A764,Sheet6!A:B,2,FALSE)</f>
        <v>108.17</v>
      </c>
      <c r="G764" s="106">
        <f>VLOOKUP(A764,WTI原油期货!A:B,2,FALSE)</f>
        <v>75.44</v>
      </c>
      <c r="H764" s="106">
        <f>VLOOKUP(A764,天然气期货!A:B,2,FALSE)</f>
        <v>3.506</v>
      </c>
      <c r="I764" s="111">
        <f>VLOOKUP(A764,黄金期货!A:B,2,FALSE)</f>
        <v>2797.4</v>
      </c>
      <c r="J764" s="106">
        <f>VLOOKUP(A764,Sheet3!A:E,5,FALSE)</f>
        <v>1575</v>
      </c>
      <c r="L764" s="112">
        <f t="shared" si="31"/>
        <v>0</v>
      </c>
    </row>
    <row r="765" spans="1:12">
      <c r="A765" s="109">
        <v>45680</v>
      </c>
      <c r="B765" s="106">
        <f>VLOOKUP(A765,港存及港价!A:B,2,FALSE)</f>
        <v>208.7</v>
      </c>
      <c r="C765" s="106">
        <v>3400</v>
      </c>
      <c r="D765" s="106">
        <f>VLOOKUP(A765,Sheet4!A:C,2,FALSE)</f>
        <v>887</v>
      </c>
      <c r="E765" s="106">
        <f>VLOOKUP(A765,Sheet5!A:B,2,FALSE)</f>
        <v>7.2885</v>
      </c>
      <c r="F765" s="106">
        <f>VLOOKUP(A765,Sheet6!A:B,2,FALSE)</f>
        <v>108.05</v>
      </c>
      <c r="G765" s="106">
        <f>VLOOKUP(A765,WTI原油期货!A:B,2,FALSE)</f>
        <v>74.62</v>
      </c>
      <c r="H765" s="106">
        <f>VLOOKUP(A765,天然气期货!A:B,2,FALSE)</f>
        <v>3.945</v>
      </c>
      <c r="I765" s="111">
        <f>VLOOKUP(A765,黄金期货!A:B,2,FALSE)</f>
        <v>2778.3</v>
      </c>
      <c r="J765" s="106">
        <f>VLOOKUP(A765,Sheet3!A:E,5,FALSE)</f>
        <v>1580</v>
      </c>
      <c r="L765" s="112">
        <f t="shared" si="31"/>
        <v>0.00317460317460317</v>
      </c>
    </row>
    <row r="766" spans="1:12">
      <c r="A766" s="109">
        <v>45681</v>
      </c>
      <c r="B766" s="106">
        <f>VLOOKUP(A766,港存及港价!A:B,2,FALSE)</f>
        <v>207.3</v>
      </c>
      <c r="C766" s="106">
        <v>3400</v>
      </c>
      <c r="D766" s="106">
        <f>VLOOKUP(A766,Sheet4!A:C,2,FALSE)</f>
        <v>887</v>
      </c>
      <c r="E766" s="106">
        <f>VLOOKUP(A766,Sheet5!A:B,2,FALSE)</f>
        <v>7.2453</v>
      </c>
      <c r="F766" s="106">
        <f>VLOOKUP(A766,Sheet6!A:B,2,FALSE)</f>
        <v>107.44</v>
      </c>
      <c r="G766" s="106">
        <f>VLOOKUP(A766,WTI原油期货!A:B,2,FALSE)</f>
        <v>74.66</v>
      </c>
      <c r="H766" s="106">
        <f>VLOOKUP(A766,天然气期货!A:B,2,FALSE)</f>
        <v>4.027</v>
      </c>
      <c r="I766" s="111">
        <f>VLOOKUP(A766,黄金期货!A:B,2,FALSE)</f>
        <v>2792.7</v>
      </c>
      <c r="J766" s="106">
        <f>VLOOKUP(A766,Sheet3!A:E,5,FALSE)</f>
        <v>1580</v>
      </c>
      <c r="L766" s="112">
        <f t="shared" si="31"/>
        <v>0</v>
      </c>
    </row>
    <row r="767" spans="1:12">
      <c r="A767" s="109">
        <v>45683</v>
      </c>
      <c r="B767" s="106">
        <f>VLOOKUP(A767,港存及港价!A:B,2,FALSE)</f>
        <v>207.3</v>
      </c>
      <c r="C767" s="106">
        <v>3400</v>
      </c>
      <c r="D767" s="106">
        <f>VLOOKUP(A767,Sheet4!A:C,2,FALSE)</f>
        <v>887</v>
      </c>
      <c r="E767" s="106">
        <f>E766</f>
        <v>7.2453</v>
      </c>
      <c r="F767" s="106">
        <f>F766</f>
        <v>107.44</v>
      </c>
      <c r="G767" s="106">
        <f>G766</f>
        <v>74.66</v>
      </c>
      <c r="H767" s="106">
        <f>H766</f>
        <v>4.027</v>
      </c>
      <c r="I767" s="111">
        <f>I766</f>
        <v>2792.7</v>
      </c>
      <c r="J767" s="106">
        <f>VLOOKUP(A767,Sheet3!A:E,5,FALSE)</f>
        <v>1580</v>
      </c>
      <c r="L767" s="112">
        <f t="shared" si="31"/>
        <v>0</v>
      </c>
    </row>
    <row r="768" spans="1:12">
      <c r="A768" s="109">
        <v>45684</v>
      </c>
      <c r="B768" s="106">
        <f>VLOOKUP(A768,港存及港价!A:B,2,FALSE)</f>
        <v>207.3</v>
      </c>
      <c r="C768" s="106">
        <v>3400</v>
      </c>
      <c r="D768" s="106">
        <f>VLOOKUP(A768,Sheet4!A:C,2,FALSE)</f>
        <v>887</v>
      </c>
      <c r="E768" s="106">
        <f>VLOOKUP(A768,Sheet5!A:B,2,FALSE)</f>
        <v>7.2514</v>
      </c>
      <c r="F768" s="106">
        <f>VLOOKUP(A768,Sheet6!A:B,2,FALSE)</f>
        <v>107.34</v>
      </c>
      <c r="G768" s="106">
        <f>VLOOKUP(A768,WTI原油期货!A:B,2,FALSE)</f>
        <v>73.17</v>
      </c>
      <c r="H768" s="106">
        <f>VLOOKUP(A768,天然气期货!A:B,2,FALSE)</f>
        <v>3.697</v>
      </c>
      <c r="I768" s="111">
        <f>VLOOKUP(A768,黄金期货!A:B,2,FALSE)</f>
        <v>2752.4</v>
      </c>
      <c r="J768" s="106">
        <f>VLOOKUP(A768,Sheet3!A:E,5,FALSE)</f>
        <v>1580</v>
      </c>
      <c r="L768" s="112">
        <f t="shared" si="31"/>
        <v>0</v>
      </c>
    </row>
    <row r="769" spans="1:12">
      <c r="A769" s="109">
        <v>45693</v>
      </c>
      <c r="B769" s="106">
        <f>VLOOKUP(A769,港存及港价!A:B,2,FALSE)</f>
        <v>221.9</v>
      </c>
      <c r="C769" s="106">
        <v>3400</v>
      </c>
      <c r="D769" s="106">
        <f>VLOOKUP(A769,Sheet4!A:C,2,FALSE)</f>
        <v>891</v>
      </c>
      <c r="E769" s="106">
        <f>VLOOKUP(A769,Sheet5!A:B,2,FALSE)</f>
        <v>7.2728</v>
      </c>
      <c r="F769" s="106">
        <f>VLOOKUP(A769,Sheet6!A:B,2,FALSE)</f>
        <v>107.58</v>
      </c>
      <c r="G769" s="106">
        <f>VLOOKUP(A769,WTI原油期货!A:B,2,FALSE)</f>
        <v>71.03</v>
      </c>
      <c r="H769" s="106">
        <f>VLOOKUP(A769,天然气期货!A:B,2,FALSE)</f>
        <v>3.36</v>
      </c>
      <c r="I769" s="111">
        <f>VLOOKUP(A769,黄金期货!A:B,2,FALSE)</f>
        <v>2893</v>
      </c>
      <c r="J769" s="106">
        <f>VLOOKUP(A769,Sheet3!A:E,5,FALSE)</f>
        <v>1600</v>
      </c>
      <c r="L769" s="112">
        <f t="shared" si="31"/>
        <v>0.0126582278481013</v>
      </c>
    </row>
    <row r="770" spans="1:12">
      <c r="A770" s="109">
        <v>45694</v>
      </c>
      <c r="B770" s="106">
        <f>VLOOKUP(A770,港存及港价!A:B,2,FALSE)</f>
        <v>220.7</v>
      </c>
      <c r="C770" s="106">
        <v>3400</v>
      </c>
      <c r="D770" s="106">
        <f>VLOOKUP(A770,Sheet4!A:C,2,FALSE)</f>
        <v>894</v>
      </c>
      <c r="E770" s="106">
        <f>VLOOKUP(A770,Sheet5!A:B,2,FALSE)</f>
        <v>7.2893</v>
      </c>
      <c r="F770" s="106">
        <f>VLOOKUP(A770,Sheet6!A:B,2,FALSE)</f>
        <v>107.69</v>
      </c>
      <c r="G770" s="106">
        <f>VLOOKUP(A770,WTI原油期货!A:B,2,FALSE)</f>
        <v>70.61</v>
      </c>
      <c r="H770" s="106">
        <f>VLOOKUP(A770,天然气期货!A:B,2,FALSE)</f>
        <v>3.408</v>
      </c>
      <c r="I770" s="111">
        <f>VLOOKUP(A770,黄金期货!A:B,2,FALSE)</f>
        <v>2876.7</v>
      </c>
      <c r="J770" s="106">
        <f>VLOOKUP(A770,Sheet3!A:E,5,FALSE)</f>
        <v>1645</v>
      </c>
      <c r="L770" s="112">
        <f t="shared" si="31"/>
        <v>0.028125</v>
      </c>
    </row>
    <row r="771" spans="1:12">
      <c r="A771" s="109">
        <v>45695</v>
      </c>
      <c r="B771" s="106">
        <f>VLOOKUP(A771,港存及港价!A:B,2,FALSE)</f>
        <v>221.8</v>
      </c>
      <c r="C771" s="106">
        <v>3400</v>
      </c>
      <c r="D771" s="106">
        <f>VLOOKUP(A771,Sheet4!A:C,2,FALSE)</f>
        <v>896</v>
      </c>
      <c r="E771" s="106">
        <f>VLOOKUP(A771,Sheet5!A:B,2,FALSE)</f>
        <v>7.2887</v>
      </c>
      <c r="F771" s="106">
        <f>VLOOKUP(A771,Sheet6!A:B,2,FALSE)</f>
        <v>108.04</v>
      </c>
      <c r="G771" s="106">
        <f>VLOOKUP(A771,WTI原油期货!A:B,2,FALSE)</f>
        <v>71</v>
      </c>
      <c r="H771" s="106">
        <f>VLOOKUP(A771,天然气期货!A:B,2,FALSE)</f>
        <v>3.309</v>
      </c>
      <c r="I771" s="111">
        <f>VLOOKUP(A771,黄金期货!A:B,2,FALSE)</f>
        <v>2887.6</v>
      </c>
      <c r="J771" s="106">
        <f>VLOOKUP(A771,Sheet3!A:E,5,FALSE)</f>
        <v>1640</v>
      </c>
      <c r="L771" s="112">
        <f t="shared" ref="L771:L834" si="32">(J771-J770)/J770</f>
        <v>-0.00303951367781155</v>
      </c>
    </row>
    <row r="772" spans="1:12">
      <c r="A772" s="109">
        <v>45696</v>
      </c>
      <c r="B772" s="106">
        <f>VLOOKUP(A772,港存及港价!A:B,2,FALSE)</f>
        <v>218.6</v>
      </c>
      <c r="C772" s="106">
        <v>3400</v>
      </c>
      <c r="D772" s="106">
        <f>VLOOKUP(A772,Sheet4!A:C,2,FALSE)</f>
        <v>897</v>
      </c>
      <c r="E772" s="106">
        <f>E771</f>
        <v>7.2887</v>
      </c>
      <c r="F772" s="106">
        <f>F771</f>
        <v>108.04</v>
      </c>
      <c r="G772" s="106">
        <f>G771</f>
        <v>71</v>
      </c>
      <c r="H772" s="106">
        <f>H771</f>
        <v>3.309</v>
      </c>
      <c r="I772" s="111">
        <f>I771</f>
        <v>2887.6</v>
      </c>
      <c r="J772" s="106">
        <f>VLOOKUP(A772,Sheet3!A:E,5,FALSE)</f>
        <v>1640</v>
      </c>
      <c r="L772" s="112">
        <f t="shared" si="32"/>
        <v>0</v>
      </c>
    </row>
    <row r="773" spans="1:12">
      <c r="A773" s="109">
        <v>45698</v>
      </c>
      <c r="B773" s="106">
        <f>VLOOKUP(A773,港存及港价!A:B,2,FALSE)</f>
        <v>218.4</v>
      </c>
      <c r="C773" s="106">
        <v>3400</v>
      </c>
      <c r="D773" s="106">
        <f>VLOOKUP(A773,Sheet4!A:C,2,FALSE)</f>
        <v>903</v>
      </c>
      <c r="E773" s="106">
        <f>VLOOKUP(A773,Sheet5!A:B,2,FALSE)</f>
        <v>7.3052</v>
      </c>
      <c r="F773" s="106">
        <f>VLOOKUP(A773,Sheet6!A:B,2,FALSE)</f>
        <v>108.32</v>
      </c>
      <c r="G773" s="106">
        <f>VLOOKUP(A773,WTI原油期货!A:B,2,FALSE)</f>
        <v>72.01</v>
      </c>
      <c r="H773" s="106">
        <f>VLOOKUP(A773,天然气期货!A:B,2,FALSE)</f>
        <v>3.444</v>
      </c>
      <c r="I773" s="111">
        <f>VLOOKUP(A773,黄金期货!A:B,2,FALSE)</f>
        <v>2934.4</v>
      </c>
      <c r="J773" s="106">
        <f>VLOOKUP(A773,Sheet3!A:E,5,FALSE)</f>
        <v>1640</v>
      </c>
      <c r="L773" s="112">
        <f t="shared" si="32"/>
        <v>0</v>
      </c>
    </row>
    <row r="774" spans="1:12">
      <c r="A774" s="109">
        <v>45699</v>
      </c>
      <c r="B774" s="106">
        <f>VLOOKUP(A774,港存及港价!A:B,2,FALSE)</f>
        <v>214.7</v>
      </c>
      <c r="C774" s="106">
        <v>3400</v>
      </c>
      <c r="D774" s="106">
        <f>VLOOKUP(A774,Sheet4!A:C,2,FALSE)</f>
        <v>904</v>
      </c>
      <c r="E774" s="106">
        <f>VLOOKUP(A774,Sheet5!A:B,2,FALSE)</f>
        <v>7.3076</v>
      </c>
      <c r="F774" s="106">
        <f>VLOOKUP(A774,Sheet6!A:B,2,FALSE)</f>
        <v>107.96</v>
      </c>
      <c r="G774" s="106">
        <f>VLOOKUP(A774,WTI原油期货!A:B,2,FALSE)</f>
        <v>73.08</v>
      </c>
      <c r="H774" s="106">
        <f>VLOOKUP(A774,天然气期货!A:B,2,FALSE)</f>
        <v>3.519</v>
      </c>
      <c r="I774" s="111">
        <f>VLOOKUP(A774,黄金期货!A:B,2,FALSE)</f>
        <v>2932.6</v>
      </c>
      <c r="J774" s="106">
        <f>VLOOKUP(A774,Sheet3!A:E,5,FALSE)</f>
        <v>1640</v>
      </c>
      <c r="L774" s="112">
        <f t="shared" si="32"/>
        <v>0</v>
      </c>
    </row>
    <row r="775" spans="1:12">
      <c r="A775" s="109">
        <v>45700</v>
      </c>
      <c r="B775" s="106">
        <f>VLOOKUP(A775,港存及港价!A:B,2,FALSE)</f>
        <v>212.2</v>
      </c>
      <c r="C775" s="106">
        <v>3400</v>
      </c>
      <c r="D775" s="106">
        <f>VLOOKUP(A775,Sheet4!A:C,2,FALSE)</f>
        <v>905</v>
      </c>
      <c r="E775" s="106">
        <f>VLOOKUP(A775,Sheet5!A:B,2,FALSE)</f>
        <v>7.3091</v>
      </c>
      <c r="F775" s="106">
        <f>VLOOKUP(A775,Sheet6!A:B,2,FALSE)</f>
        <v>107.94</v>
      </c>
      <c r="G775" s="106">
        <f>VLOOKUP(A775,WTI原油期货!A:B,2,FALSE)</f>
        <v>71.24</v>
      </c>
      <c r="H775" s="106">
        <f>VLOOKUP(A775,天然气期货!A:B,2,FALSE)</f>
        <v>3.565</v>
      </c>
      <c r="I775" s="111">
        <f>VLOOKUP(A775,黄金期货!A:B,2,FALSE)</f>
        <v>2928.7</v>
      </c>
      <c r="J775" s="106">
        <f>VLOOKUP(A775,Sheet3!A:E,5,FALSE)</f>
        <v>1645</v>
      </c>
      <c r="L775" s="112">
        <f t="shared" si="32"/>
        <v>0.00304878048780488</v>
      </c>
    </row>
    <row r="776" spans="1:12">
      <c r="A776" s="109">
        <v>45701</v>
      </c>
      <c r="B776" s="106">
        <f>VLOOKUP(A776,港存及港价!A:B,2,FALSE)</f>
        <v>209.4</v>
      </c>
      <c r="C776" s="106">
        <v>3400</v>
      </c>
      <c r="D776" s="106">
        <f>VLOOKUP(A776,Sheet4!A:C,2,FALSE)</f>
        <v>904</v>
      </c>
      <c r="E776" s="106">
        <f>VLOOKUP(A776,Sheet5!A:B,2,FALSE)</f>
        <v>7.2899</v>
      </c>
      <c r="F776" s="106">
        <f>VLOOKUP(A776,Sheet6!A:B,2,FALSE)</f>
        <v>107.31</v>
      </c>
      <c r="G776" s="106">
        <f>VLOOKUP(A776,WTI原油期货!A:B,2,FALSE)</f>
        <v>71.14</v>
      </c>
      <c r="H776" s="106">
        <f>VLOOKUP(A776,天然气期货!A:B,2,FALSE)</f>
        <v>3.628</v>
      </c>
      <c r="I776" s="111">
        <f>VLOOKUP(A776,黄金期货!A:B,2,FALSE)</f>
        <v>2945.4</v>
      </c>
      <c r="J776" s="106">
        <f>VLOOKUP(A776,Sheet3!A:E,5,FALSE)</f>
        <v>1650</v>
      </c>
      <c r="L776" s="112">
        <f t="shared" si="32"/>
        <v>0.00303951367781155</v>
      </c>
    </row>
    <row r="777" spans="1:12">
      <c r="A777" s="109">
        <v>45702</v>
      </c>
      <c r="B777" s="106">
        <f>VLOOKUP(A777,港存及港价!A:B,2,FALSE)</f>
        <v>207.7</v>
      </c>
      <c r="C777" s="106">
        <v>3400</v>
      </c>
      <c r="D777" s="106">
        <f>VLOOKUP(A777,Sheet4!A:C,2,FALSE)</f>
        <v>904</v>
      </c>
      <c r="E777" s="106">
        <f>VLOOKUP(A777,Sheet5!A:B,2,FALSE)</f>
        <v>7.254</v>
      </c>
      <c r="F777" s="106">
        <f>VLOOKUP(A777,Sheet6!A:B,2,FALSE)</f>
        <v>106.71</v>
      </c>
      <c r="G777" s="106">
        <f>VLOOKUP(A777,WTI原油期货!A:B,2,FALSE)</f>
        <v>70.71</v>
      </c>
      <c r="H777" s="106">
        <f>VLOOKUP(A777,天然气期货!A:B,2,FALSE)</f>
        <v>3.725</v>
      </c>
      <c r="I777" s="111">
        <f>VLOOKUP(A777,黄金期货!A:B,2,FALSE)</f>
        <v>2900.7</v>
      </c>
      <c r="J777" s="106">
        <f>VLOOKUP(A777,Sheet3!A:E,5,FALSE)</f>
        <v>1660</v>
      </c>
      <c r="L777" s="112">
        <f t="shared" si="32"/>
        <v>0.00606060606060606</v>
      </c>
    </row>
    <row r="778" spans="1:12">
      <c r="A778" s="109">
        <v>45705</v>
      </c>
      <c r="B778" s="106">
        <f>VLOOKUP(A778,港存及港价!A:B,2,FALSE)</f>
        <v>203.75</v>
      </c>
      <c r="C778" s="106">
        <v>3400</v>
      </c>
      <c r="D778" s="106">
        <f>VLOOKUP(A778,Sheet4!A:C,2,FALSE)</f>
        <v>904</v>
      </c>
      <c r="E778" s="106">
        <f>VLOOKUP(A778,Sheet5!A:B,2,FALSE)</f>
        <v>7.2639</v>
      </c>
      <c r="F778" s="106">
        <f>VLOOKUP(A778,Sheet6!A:B,2,FALSE)</f>
        <v>106.57</v>
      </c>
      <c r="G778" s="106">
        <f>G777</f>
        <v>70.71</v>
      </c>
      <c r="H778" s="106">
        <f>H777</f>
        <v>3.725</v>
      </c>
      <c r="I778" s="111">
        <f>I777</f>
        <v>2900.7</v>
      </c>
      <c r="J778" s="106">
        <f>VLOOKUP(A778,Sheet3!A:E,5,FALSE)</f>
        <v>1685</v>
      </c>
      <c r="L778" s="112">
        <f t="shared" si="32"/>
        <v>0.0150602409638554</v>
      </c>
    </row>
    <row r="779" spans="1:12">
      <c r="A779" s="109">
        <v>45706</v>
      </c>
      <c r="B779" s="106">
        <f>VLOOKUP(A779,港存及港价!A:B,2,FALSE)</f>
        <v>202.1</v>
      </c>
      <c r="C779" s="106">
        <v>3400</v>
      </c>
      <c r="D779" s="106">
        <f>VLOOKUP(A779,Sheet4!A:C,2,FALSE)</f>
        <v>903</v>
      </c>
      <c r="E779" s="106">
        <f>VLOOKUP(A779,Sheet5!A:B,2,FALSE)</f>
        <v>7.2796</v>
      </c>
      <c r="F779" s="106">
        <f>VLOOKUP(A779,Sheet6!A:B,2,FALSE)</f>
        <v>107.05</v>
      </c>
      <c r="G779" s="106">
        <f>VLOOKUP(A779,WTI原油期货!A:B,2,FALSE)</f>
        <v>71.85</v>
      </c>
      <c r="H779" s="106">
        <f>VLOOKUP(A779,天然气期货!A:B,2,FALSE)</f>
        <v>3.977</v>
      </c>
      <c r="I779" s="111">
        <f>VLOOKUP(A779,黄金期货!A:B,2,FALSE)</f>
        <v>2949</v>
      </c>
      <c r="J779" s="106">
        <f>VLOOKUP(A779,Sheet3!A:E,5,FALSE)</f>
        <v>1700</v>
      </c>
      <c r="L779" s="112">
        <f t="shared" si="32"/>
        <v>0.00890207715133531</v>
      </c>
    </row>
    <row r="780" spans="1:12">
      <c r="A780" s="109">
        <v>45707</v>
      </c>
      <c r="B780" s="106">
        <f>VLOOKUP(A780,港存及港价!A:B,2,FALSE)</f>
        <v>201.5</v>
      </c>
      <c r="C780" s="106">
        <v>3400</v>
      </c>
      <c r="D780" s="106">
        <f>VLOOKUP(A780,Sheet4!A:C,2,FALSE)</f>
        <v>905</v>
      </c>
      <c r="E780" s="106">
        <f>VLOOKUP(A780,Sheet5!A:B,2,FALSE)</f>
        <v>7.2838</v>
      </c>
      <c r="F780" s="106">
        <f>VLOOKUP(A780,Sheet6!A:B,2,FALSE)</f>
        <v>107.17</v>
      </c>
      <c r="G780" s="106">
        <f>VLOOKUP(A780,WTI原油期货!A:B,2,FALSE)</f>
        <v>72.25</v>
      </c>
      <c r="H780" s="106">
        <f>VLOOKUP(A780,天然气期货!A:B,2,FALSE)</f>
        <v>4.205</v>
      </c>
      <c r="I780" s="111">
        <f>VLOOKUP(A780,黄金期货!A:B,2,FALSE)</f>
        <v>2936.1</v>
      </c>
      <c r="J780" s="106">
        <f>VLOOKUP(A780,Sheet3!A:E,5,FALSE)</f>
        <v>1750</v>
      </c>
      <c r="L780" s="112">
        <f t="shared" si="32"/>
        <v>0.0294117647058824</v>
      </c>
    </row>
    <row r="781" spans="1:12">
      <c r="A781" s="109">
        <v>45708</v>
      </c>
      <c r="B781" s="106">
        <f>VLOOKUP(A781,港存及港价!A:B,2,FALSE)</f>
        <v>197.45</v>
      </c>
      <c r="C781" s="106">
        <v>3400</v>
      </c>
      <c r="D781" s="106">
        <f>VLOOKUP(A781,Sheet4!A:C,2,FALSE)</f>
        <v>905</v>
      </c>
      <c r="E781" s="106">
        <f>VLOOKUP(A781,Sheet5!A:B,2,FALSE)</f>
        <v>7.2563</v>
      </c>
      <c r="F781" s="106">
        <f>VLOOKUP(A781,Sheet6!A:B,2,FALSE)</f>
        <v>106.37</v>
      </c>
      <c r="G781" s="106">
        <f>VLOOKUP(A781,WTI原油期货!A:B,2,FALSE)</f>
        <v>72.57</v>
      </c>
      <c r="H781" s="106">
        <f>VLOOKUP(A781,天然气期货!A:B,2,FALSE)</f>
        <v>4.152</v>
      </c>
      <c r="I781" s="111">
        <f>VLOOKUP(A781,黄金期货!A:B,2,FALSE)</f>
        <v>2956.1</v>
      </c>
      <c r="J781" s="106">
        <f>VLOOKUP(A781,Sheet3!A:E,5,FALSE)</f>
        <v>1870</v>
      </c>
      <c r="L781" s="113">
        <f t="shared" si="32"/>
        <v>0.0685714285714286</v>
      </c>
    </row>
    <row r="782" spans="1:12">
      <c r="A782" s="109">
        <v>45709</v>
      </c>
      <c r="B782" s="106">
        <f>VLOOKUP(A782,港存及港价!A:B,2,FALSE)</f>
        <v>195</v>
      </c>
      <c r="C782" s="106">
        <v>3400</v>
      </c>
      <c r="D782" s="106">
        <f>VLOOKUP(A782,Sheet4!A:C,2,FALSE)</f>
        <v>906</v>
      </c>
      <c r="E782" s="106">
        <f>VLOOKUP(A782,Sheet5!A:B,2,FALSE)</f>
        <v>7.2513</v>
      </c>
      <c r="F782" s="106">
        <f>VLOOKUP(A782,Sheet6!A:B,2,FALSE)</f>
        <v>106.61</v>
      </c>
      <c r="G782" s="106">
        <f>VLOOKUP(A782,WTI原油期货!A:B,2,FALSE)</f>
        <v>70.4</v>
      </c>
      <c r="H782" s="106">
        <f>VLOOKUP(A782,天然气期货!A:B,2,FALSE)</f>
        <v>4.234</v>
      </c>
      <c r="I782" s="111">
        <f>VLOOKUP(A782,黄金期货!A:B,2,FALSE)</f>
        <v>2953.2</v>
      </c>
      <c r="J782" s="106">
        <f>VLOOKUP(A782,Sheet3!A:E,5,FALSE)</f>
        <v>1945</v>
      </c>
      <c r="L782" s="112">
        <f t="shared" si="32"/>
        <v>0.0401069518716578</v>
      </c>
    </row>
    <row r="783" spans="1:12">
      <c r="A783" s="109">
        <v>45712</v>
      </c>
      <c r="B783" s="106">
        <f>VLOOKUP(A783,港存及港价!A:B,2,FALSE)</f>
        <v>191</v>
      </c>
      <c r="C783" s="106">
        <v>3400</v>
      </c>
      <c r="D783" s="106">
        <f>VLOOKUP(A783,Sheet4!A:C,2,FALSE)</f>
        <v>906</v>
      </c>
      <c r="E783" s="106">
        <f>VLOOKUP(A783,Sheet5!A:B,2,FALSE)</f>
        <v>7.2483</v>
      </c>
      <c r="F783" s="106">
        <f>VLOOKUP(A783,Sheet6!A:B,2,FALSE)</f>
        <v>106.6</v>
      </c>
      <c r="G783" s="106">
        <f>VLOOKUP(A783,WTI原油期货!A:B,2,FALSE)</f>
        <v>70.7</v>
      </c>
      <c r="H783" s="106">
        <f>VLOOKUP(A783,天然气期货!A:B,2,FALSE)</f>
        <v>3.994</v>
      </c>
      <c r="I783" s="111">
        <f>VLOOKUP(A783,黄金期货!A:B,2,FALSE)</f>
        <v>2949.7</v>
      </c>
      <c r="J783" s="106">
        <f>VLOOKUP(A783,Sheet3!A:E,5,FALSE)</f>
        <v>1940</v>
      </c>
      <c r="L783" s="112">
        <f t="shared" si="32"/>
        <v>-0.0025706940874036</v>
      </c>
    </row>
    <row r="784" spans="1:12">
      <c r="A784" s="109">
        <v>45713</v>
      </c>
      <c r="B784" s="106">
        <f>VLOOKUP(A784,港存及港价!A:B,2,FALSE)</f>
        <v>190.5</v>
      </c>
      <c r="C784" s="106">
        <v>3400</v>
      </c>
      <c r="D784" s="106">
        <f>VLOOKUP(A784,Sheet4!A:C,2,FALSE)</f>
        <v>905</v>
      </c>
      <c r="E784" s="106">
        <f>VLOOKUP(A784,Sheet5!A:B,2,FALSE)</f>
        <v>7.2522</v>
      </c>
      <c r="F784" s="106">
        <f>VLOOKUP(A784,Sheet6!A:B,2,FALSE)</f>
        <v>106.31</v>
      </c>
      <c r="G784" s="106">
        <f>VLOOKUP(A784,WTI原油期货!A:B,2,FALSE)</f>
        <v>68.93</v>
      </c>
      <c r="H784" s="106">
        <f>VLOOKUP(A784,天然气期货!A:B,2,FALSE)</f>
        <v>4.174</v>
      </c>
      <c r="I784" s="111">
        <f>VLOOKUP(A784,黄金期货!A:B,2,FALSE)</f>
        <v>2906</v>
      </c>
      <c r="J784" s="106">
        <f>VLOOKUP(A784,Sheet3!A:E,5,FALSE)</f>
        <v>2030</v>
      </c>
      <c r="L784" s="112">
        <f t="shared" si="32"/>
        <v>0.0463917525773196</v>
      </c>
    </row>
    <row r="785" spans="1:12">
      <c r="A785" s="109">
        <v>45714</v>
      </c>
      <c r="B785" s="106">
        <f>VLOOKUP(A785,港存及港价!A:B,2,FALSE)</f>
        <v>186.2</v>
      </c>
      <c r="C785" s="106">
        <v>3400</v>
      </c>
      <c r="D785" s="106">
        <f>VLOOKUP(A785,Sheet4!A:C,2,FALSE)</f>
        <v>905</v>
      </c>
      <c r="E785" s="106">
        <f>VLOOKUP(A785,Sheet5!A:B,2,FALSE)</f>
        <v>7.2602</v>
      </c>
      <c r="F785" s="106">
        <f>VLOOKUP(A785,Sheet6!A:B,2,FALSE)</f>
        <v>106.42</v>
      </c>
      <c r="G785" s="106">
        <f>VLOOKUP(A785,WTI原油期货!A:B,2,FALSE)</f>
        <v>68.62</v>
      </c>
      <c r="H785" s="106">
        <f>VLOOKUP(A785,天然气期货!A:B,2,FALSE)</f>
        <v>3.906</v>
      </c>
      <c r="I785" s="111">
        <f>VLOOKUP(A785,黄金期货!A:B,2,FALSE)</f>
        <v>2917.8</v>
      </c>
      <c r="J785" s="106">
        <f>VLOOKUP(A785,Sheet3!A:E,5,FALSE)</f>
        <v>2050</v>
      </c>
      <c r="L785" s="112">
        <f t="shared" si="32"/>
        <v>0.00985221674876847</v>
      </c>
    </row>
    <row r="786" spans="1:12">
      <c r="A786" s="109">
        <v>45715</v>
      </c>
      <c r="B786" s="106">
        <f>VLOOKUP(A786,港存及港价!A:B,2,FALSE)</f>
        <v>183.9</v>
      </c>
      <c r="C786" s="106">
        <v>3400</v>
      </c>
      <c r="D786" s="106">
        <f>VLOOKUP(A786,Sheet4!A:C,2,FALSE)</f>
        <v>904</v>
      </c>
      <c r="E786" s="106">
        <f>VLOOKUP(A786,Sheet5!A:B,2,FALSE)</f>
        <v>7.2862</v>
      </c>
      <c r="F786" s="106">
        <f>VLOOKUP(A786,Sheet6!A:B,2,FALSE)</f>
        <v>107.24</v>
      </c>
      <c r="G786" s="106">
        <f>VLOOKUP(A786,WTI原油期货!A:B,2,FALSE)</f>
        <v>70.35</v>
      </c>
      <c r="H786" s="106">
        <f>VLOOKUP(A786,天然气期货!A:B,2,FALSE)</f>
        <v>3.934</v>
      </c>
      <c r="I786" s="111">
        <f>VLOOKUP(A786,黄金期货!A:B,2,FALSE)</f>
        <v>2895.9</v>
      </c>
      <c r="J786" s="106">
        <f>VLOOKUP(A786,Sheet3!A:E,5,FALSE)</f>
        <v>2045</v>
      </c>
      <c r="L786" s="112">
        <f t="shared" si="32"/>
        <v>-0.0024390243902439</v>
      </c>
    </row>
    <row r="787" spans="1:12">
      <c r="A787" s="109">
        <v>45716</v>
      </c>
      <c r="B787" s="106">
        <f>VLOOKUP(A787,港存及港价!A:B,2,FALSE)</f>
        <v>182</v>
      </c>
      <c r="C787" s="106">
        <v>3400</v>
      </c>
      <c r="D787" s="106">
        <f>VLOOKUP(A787,Sheet4!A:C,2,FALSE)</f>
        <v>904</v>
      </c>
      <c r="E787" s="106">
        <f>VLOOKUP(A787,Sheet5!A:B,2,FALSE)</f>
        <v>7.2838</v>
      </c>
      <c r="F787" s="106">
        <f>VLOOKUP(A787,Sheet6!A:B,2,FALSE)</f>
        <v>107.61</v>
      </c>
      <c r="G787" s="106">
        <f>VLOOKUP(A787,WTI原油期货!A:B,2,FALSE)</f>
        <v>69.76</v>
      </c>
      <c r="H787" s="106">
        <f>VLOOKUP(A787,天然气期货!A:B,2,FALSE)</f>
        <v>3.834</v>
      </c>
      <c r="I787" s="111">
        <f>VLOOKUP(A787,黄金期货!A:B,2,FALSE)</f>
        <v>2848.5</v>
      </c>
      <c r="J787" s="106">
        <f>VLOOKUP(A787,Sheet3!A:E,5,FALSE)</f>
        <v>2060</v>
      </c>
      <c r="L787" s="112">
        <f t="shared" si="32"/>
        <v>0.00733496332518337</v>
      </c>
    </row>
    <row r="788" spans="1:12">
      <c r="A788" s="109">
        <v>45719</v>
      </c>
      <c r="B788" s="106">
        <f>VLOOKUP(A788,港存及港价!A:B,2,FALSE)</f>
        <v>176.55</v>
      </c>
      <c r="C788" s="106">
        <v>3750</v>
      </c>
      <c r="D788" s="106">
        <f>VLOOKUP(A788,Sheet4!A:C,2,FALSE)</f>
        <v>906</v>
      </c>
      <c r="E788" s="106">
        <f>VLOOKUP(A788,Sheet5!A:B,2,FALSE)</f>
        <v>7.285</v>
      </c>
      <c r="F788" s="106">
        <f>VLOOKUP(A788,Sheet6!A:B,2,FALSE)</f>
        <v>106.75</v>
      </c>
      <c r="G788" s="106">
        <f>VLOOKUP(A788,WTI原油期货!A:B,2,FALSE)</f>
        <v>68.37</v>
      </c>
      <c r="H788" s="106">
        <f>VLOOKUP(A788,天然气期货!A:B,2,FALSE)</f>
        <v>4.122</v>
      </c>
      <c r="I788" s="111">
        <f>VLOOKUP(A788,黄金期货!A:B,2,FALSE)</f>
        <v>2901.1</v>
      </c>
      <c r="J788" s="106">
        <f>VLOOKUP(A788,Sheet3!A:E,5,FALSE)</f>
        <v>2185</v>
      </c>
      <c r="L788" s="113">
        <f t="shared" si="32"/>
        <v>0.0606796116504854</v>
      </c>
    </row>
    <row r="789" spans="1:12">
      <c r="A789" s="109">
        <v>45720</v>
      </c>
      <c r="B789" s="106">
        <f>VLOOKUP(A789,港存及港价!A:B,2,FALSE)</f>
        <v>181.85</v>
      </c>
      <c r="C789" s="106">
        <v>3750</v>
      </c>
      <c r="D789" s="106">
        <f>VLOOKUP(A789,Sheet4!A:C,2,FALSE)</f>
        <v>905</v>
      </c>
      <c r="E789" s="106">
        <f>VLOOKUP(A789,Sheet5!A:B,2,FALSE)</f>
        <v>7.2661</v>
      </c>
      <c r="F789" s="106">
        <f>VLOOKUP(A789,Sheet6!A:B,2,FALSE)</f>
        <v>105.74</v>
      </c>
      <c r="G789" s="106">
        <f>VLOOKUP(A789,WTI原油期货!A:B,2,FALSE)</f>
        <v>68.26</v>
      </c>
      <c r="H789" s="106">
        <f>VLOOKUP(A789,天然气期货!A:B,2,FALSE)</f>
        <v>4.35</v>
      </c>
      <c r="I789" s="111">
        <f>VLOOKUP(A789,黄金期货!A:B,2,FALSE)</f>
        <v>2920.6</v>
      </c>
      <c r="J789" s="106">
        <f>VLOOKUP(A789,Sheet3!A:E,5,FALSE)</f>
        <v>2350</v>
      </c>
      <c r="L789" s="113">
        <f t="shared" si="32"/>
        <v>0.0755148741418764</v>
      </c>
    </row>
    <row r="790" spans="1:12">
      <c r="A790" s="109">
        <v>45721</v>
      </c>
      <c r="B790" s="106">
        <f>VLOOKUP(A790,港存及港价!A:B,2,FALSE)</f>
        <v>182.8</v>
      </c>
      <c r="C790" s="106">
        <v>3750</v>
      </c>
      <c r="D790" s="106">
        <f>VLOOKUP(A790,Sheet4!A:C,2,FALSE)</f>
        <v>903</v>
      </c>
      <c r="E790" s="106">
        <f>VLOOKUP(A790,Sheet5!A:B,2,FALSE)</f>
        <v>7.2516</v>
      </c>
      <c r="F790" s="106">
        <f>VLOOKUP(A790,Sheet6!A:B,2,FALSE)</f>
        <v>104.3</v>
      </c>
      <c r="G790" s="106">
        <f>VLOOKUP(A790,WTI原油期货!A:B,2,FALSE)</f>
        <v>66.31</v>
      </c>
      <c r="H790" s="106">
        <f>VLOOKUP(A790,天然气期货!A:B,2,FALSE)</f>
        <v>4.45</v>
      </c>
      <c r="I790" s="111">
        <f>VLOOKUP(A790,黄金期货!A:B,2,FALSE)</f>
        <v>2926</v>
      </c>
      <c r="J790" s="106">
        <f>VLOOKUP(A790,Sheet3!A:E,5,FALSE)</f>
        <v>2340</v>
      </c>
      <c r="L790" s="112">
        <f t="shared" si="32"/>
        <v>-0.00425531914893617</v>
      </c>
    </row>
    <row r="791" spans="1:12">
      <c r="A791" s="109">
        <v>45722</v>
      </c>
      <c r="B791" s="106">
        <f>VLOOKUP(A791,港存及港价!A:B,2,FALSE)</f>
        <v>184.71</v>
      </c>
      <c r="C791" s="106">
        <v>3750</v>
      </c>
      <c r="D791" s="106">
        <f>VLOOKUP(A791,Sheet4!A:C,2,FALSE)</f>
        <v>904</v>
      </c>
      <c r="E791" s="106">
        <f>VLOOKUP(A791,Sheet5!A:B,2,FALSE)</f>
        <v>7.2478</v>
      </c>
      <c r="F791" s="106">
        <f>VLOOKUP(A791,Sheet6!A:B,2,FALSE)</f>
        <v>104.06</v>
      </c>
      <c r="G791" s="106">
        <f>VLOOKUP(A791,WTI原油期货!A:B,2,FALSE)</f>
        <v>66.36</v>
      </c>
      <c r="H791" s="106">
        <f>VLOOKUP(A791,天然气期货!A:B,2,FALSE)</f>
        <v>4.302</v>
      </c>
      <c r="I791" s="111">
        <f>VLOOKUP(A791,黄金期货!A:B,2,FALSE)</f>
        <v>2926.6</v>
      </c>
      <c r="J791" s="106">
        <f>VLOOKUP(A791,Sheet3!A:E,5,FALSE)</f>
        <v>2360</v>
      </c>
      <c r="L791" s="112">
        <f t="shared" si="32"/>
        <v>0.00854700854700855</v>
      </c>
    </row>
    <row r="792" spans="1:12">
      <c r="A792" s="109">
        <v>45723</v>
      </c>
      <c r="B792" s="106">
        <f>VLOOKUP(A792,港存及港价!A:B,2,FALSE)</f>
        <v>185.8</v>
      </c>
      <c r="C792" s="106">
        <v>3750</v>
      </c>
      <c r="D792" s="106">
        <f>VLOOKUP(A792,Sheet4!A:C,2,FALSE)</f>
        <v>904</v>
      </c>
      <c r="E792" s="106">
        <f>VLOOKUP(A792,Sheet5!A:B,2,FALSE)</f>
        <v>7.2349</v>
      </c>
      <c r="F792" s="106">
        <f>VLOOKUP(A792,Sheet6!A:B,2,FALSE)</f>
        <v>103.84</v>
      </c>
      <c r="G792" s="106">
        <f>VLOOKUP(A792,WTI原油期货!A:B,2,FALSE)</f>
        <v>67.04</v>
      </c>
      <c r="H792" s="106">
        <f>VLOOKUP(A792,天然气期货!A:B,2,FALSE)</f>
        <v>4.399</v>
      </c>
      <c r="I792" s="111">
        <f>VLOOKUP(A792,黄金期货!A:B,2,FALSE)</f>
        <v>2914.1</v>
      </c>
      <c r="J792" s="106">
        <f>VLOOKUP(A792,Sheet3!A:E,5,FALSE)</f>
        <v>2350</v>
      </c>
      <c r="L792" s="112">
        <f t="shared" si="32"/>
        <v>-0.00423728813559322</v>
      </c>
    </row>
    <row r="793" spans="1:12">
      <c r="A793" s="109">
        <v>45726</v>
      </c>
      <c r="B793" s="106">
        <f>VLOOKUP(A793,港存及港价!A:B,2,FALSE)</f>
        <v>185.3</v>
      </c>
      <c r="C793" s="106">
        <v>3750</v>
      </c>
      <c r="D793" s="106">
        <f>VLOOKUP(A793,Sheet4!A:C,2,FALSE)</f>
        <v>905</v>
      </c>
      <c r="E793" s="106">
        <f>VLOOKUP(A793,Sheet5!A:B,2,FALSE)</f>
        <v>7.26</v>
      </c>
      <c r="F793" s="106">
        <f>VLOOKUP(A793,Sheet6!A:B,2,FALSE)</f>
        <v>103.97</v>
      </c>
      <c r="G793" s="106">
        <f>VLOOKUP(A793,WTI原油期货!A:B,2,FALSE)</f>
        <v>65.68</v>
      </c>
      <c r="H793" s="106">
        <f>VLOOKUP(A793,天然气期货!A:B,2,FALSE)</f>
        <v>4.491</v>
      </c>
      <c r="I793" s="111">
        <f>VLOOKUP(A793,黄金期货!A:B,2,FALSE)</f>
        <v>2899.4</v>
      </c>
      <c r="J793" s="106">
        <f>VLOOKUP(A793,Sheet3!A:E,5,FALSE)</f>
        <v>2310</v>
      </c>
      <c r="L793" s="112">
        <f t="shared" si="32"/>
        <v>-0.0170212765957447</v>
      </c>
    </row>
    <row r="794" spans="1:12">
      <c r="A794" s="109">
        <v>45727</v>
      </c>
      <c r="B794" s="106">
        <f>VLOOKUP(A794,港存及港价!A:B,2,FALSE)</f>
        <v>187.65</v>
      </c>
      <c r="C794" s="106">
        <v>3800</v>
      </c>
      <c r="D794" s="106">
        <f>VLOOKUP(A794,Sheet4!A:C,2,FALSE)</f>
        <v>904</v>
      </c>
      <c r="E794" s="106">
        <f>VLOOKUP(A794,Sheet5!A:B,2,FALSE)</f>
        <v>7.2289</v>
      </c>
      <c r="F794" s="106">
        <f>VLOOKUP(A794,Sheet6!A:B,2,FALSE)</f>
        <v>103.29</v>
      </c>
      <c r="G794" s="106">
        <f>VLOOKUP(A794,WTI原油期货!A:B,2,FALSE)</f>
        <v>65.93</v>
      </c>
      <c r="H794" s="106">
        <f>VLOOKUP(A794,天然气期货!A:B,2,FALSE)</f>
        <v>4.453</v>
      </c>
      <c r="I794" s="111">
        <f>VLOOKUP(A794,黄金期货!A:B,2,FALSE)</f>
        <v>2920.9</v>
      </c>
      <c r="J794" s="106">
        <f>VLOOKUP(A794,Sheet3!A:E,5,FALSE)</f>
        <v>2340</v>
      </c>
      <c r="L794" s="112">
        <f t="shared" si="32"/>
        <v>0.012987012987013</v>
      </c>
    </row>
    <row r="795" spans="1:12">
      <c r="A795" s="109">
        <v>45728</v>
      </c>
      <c r="B795" s="106">
        <f>VLOOKUP(A795,港存及港价!A:B,2,FALSE)</f>
        <v>185.56</v>
      </c>
      <c r="C795" s="106">
        <v>3800</v>
      </c>
      <c r="D795" s="106">
        <f>VLOOKUP(A795,Sheet4!A:C,2,FALSE)</f>
        <v>903</v>
      </c>
      <c r="E795" s="106">
        <f>VLOOKUP(A795,Sheet5!A:B,2,FALSE)</f>
        <v>7.2377</v>
      </c>
      <c r="F795" s="106">
        <f>VLOOKUP(A795,Sheet6!A:B,2,FALSE)</f>
        <v>103.61</v>
      </c>
      <c r="G795" s="106">
        <f>VLOOKUP(A795,WTI原油期货!A:B,2,FALSE)</f>
        <v>67.38</v>
      </c>
      <c r="H795" s="106">
        <f>VLOOKUP(A795,天然气期货!A:B,2,FALSE)</f>
        <v>4.084</v>
      </c>
      <c r="I795" s="111">
        <f>VLOOKUP(A795,黄金期货!A:B,2,FALSE)</f>
        <v>2946.8</v>
      </c>
      <c r="J795" s="106">
        <f>VLOOKUP(A795,Sheet3!A:E,5,FALSE)</f>
        <v>2350</v>
      </c>
      <c r="L795" s="112">
        <f t="shared" si="32"/>
        <v>0.00427350427350427</v>
      </c>
    </row>
    <row r="796" spans="1:12">
      <c r="A796" s="109">
        <v>45729</v>
      </c>
      <c r="B796" s="106">
        <f>VLOOKUP(A796,港存及港价!A:B,2,FALSE)</f>
        <v>190.8</v>
      </c>
      <c r="C796" s="106">
        <v>3800</v>
      </c>
      <c r="D796" s="106">
        <f>VLOOKUP(A796,Sheet4!A:C,2,FALSE)</f>
        <v>905</v>
      </c>
      <c r="E796" s="106">
        <f>VLOOKUP(A796,Sheet5!A:B,2,FALSE)</f>
        <v>7.2444</v>
      </c>
      <c r="F796" s="106">
        <f>VLOOKUP(A796,Sheet6!A:B,2,FALSE)</f>
        <v>103.83</v>
      </c>
      <c r="G796" s="106">
        <f>VLOOKUP(A796,WTI原油期货!A:B,2,FALSE)</f>
        <v>66.27</v>
      </c>
      <c r="H796" s="106">
        <f>VLOOKUP(A796,天然气期货!A:B,2,FALSE)</f>
        <v>4.111</v>
      </c>
      <c r="I796" s="111">
        <f>VLOOKUP(A796,黄金期货!A:B,2,FALSE)</f>
        <v>2991.3</v>
      </c>
      <c r="J796" s="106">
        <f>VLOOKUP(A796,Sheet3!A:E,5,FALSE)</f>
        <v>2345</v>
      </c>
      <c r="L796" s="112">
        <f t="shared" si="32"/>
        <v>-0.00212765957446809</v>
      </c>
    </row>
    <row r="797" spans="1:12">
      <c r="A797" s="109">
        <v>45730</v>
      </c>
      <c r="B797" s="106">
        <f>VLOOKUP(A797,港存及港价!A:B,2,FALSE)</f>
        <v>190.5</v>
      </c>
      <c r="C797" s="106">
        <v>3800</v>
      </c>
      <c r="D797" s="106">
        <f>VLOOKUP(A797,Sheet4!A:C,2,FALSE)</f>
        <v>907</v>
      </c>
      <c r="E797" s="106">
        <f>VLOOKUP(A797,Sheet5!A:B,2,FALSE)</f>
        <v>7.2387</v>
      </c>
      <c r="F797" s="106">
        <f>VLOOKUP(A797,Sheet6!A:B,2,FALSE)</f>
        <v>103.72</v>
      </c>
      <c r="G797" s="106">
        <f>VLOOKUP(A797,WTI原油期货!A:B,2,FALSE)</f>
        <v>66.91</v>
      </c>
      <c r="H797" s="106">
        <f>VLOOKUP(A797,天然气期货!A:B,2,FALSE)</f>
        <v>4.104</v>
      </c>
      <c r="I797" s="111">
        <f>VLOOKUP(A797,黄金期货!A:B,2,FALSE)</f>
        <v>3001.1</v>
      </c>
      <c r="J797" s="106">
        <f>VLOOKUP(A797,Sheet3!A:E,5,FALSE)</f>
        <v>2345</v>
      </c>
      <c r="L797" s="112">
        <f t="shared" si="32"/>
        <v>0</v>
      </c>
    </row>
    <row r="798" spans="1:12">
      <c r="A798" s="109">
        <v>45733</v>
      </c>
      <c r="B798" s="106">
        <f>VLOOKUP(A798,港存及港价!A:B,2,FALSE)</f>
        <v>190.17</v>
      </c>
      <c r="C798" s="106">
        <v>3800</v>
      </c>
      <c r="D798" s="106">
        <f>VLOOKUP(A798,Sheet4!A:C,2,FALSE)</f>
        <v>906</v>
      </c>
      <c r="E798" s="106">
        <f>VLOOKUP(A798,Sheet5!A:B,2,FALSE)</f>
        <v>7.2337</v>
      </c>
      <c r="F798" s="106">
        <f>VLOOKUP(A798,Sheet6!A:B,2,FALSE)</f>
        <v>103.37</v>
      </c>
      <c r="G798" s="106">
        <f>VLOOKUP(A798,WTI原油期货!A:B,2,FALSE)</f>
        <v>67.37</v>
      </c>
      <c r="H798" s="106">
        <f>VLOOKUP(A798,天然气期货!A:B,2,FALSE)</f>
        <v>4.086</v>
      </c>
      <c r="I798" s="111">
        <f>VLOOKUP(A798,黄金期货!A:B,2,FALSE)</f>
        <v>3034.1</v>
      </c>
      <c r="J798" s="106">
        <f>VLOOKUP(A798,Sheet3!A:E,5,FALSE)</f>
        <v>2440</v>
      </c>
      <c r="L798" s="112">
        <f t="shared" si="32"/>
        <v>0.0405117270788913</v>
      </c>
    </row>
    <row r="799" spans="1:12">
      <c r="A799" s="109">
        <v>45734</v>
      </c>
      <c r="B799" s="106">
        <f>VLOOKUP(A799,港存及港价!A:B,2,FALSE)</f>
        <v>184.15</v>
      </c>
      <c r="C799" s="106">
        <v>3800</v>
      </c>
      <c r="D799" s="106">
        <f>VLOOKUP(A799,Sheet4!A:C,2,FALSE)</f>
        <v>905</v>
      </c>
      <c r="E799" s="106">
        <f>VLOOKUP(A799,Sheet5!A:B,2,FALSE)</f>
        <v>7.2284</v>
      </c>
      <c r="F799" s="106">
        <f>VLOOKUP(A799,Sheet6!A:B,2,FALSE)</f>
        <v>103.24</v>
      </c>
      <c r="G799" s="106">
        <f>VLOOKUP(A799,WTI原油期货!A:B,2,FALSE)</f>
        <v>66.9</v>
      </c>
      <c r="H799" s="106">
        <f>VLOOKUP(A799,天然气期货!A:B,2,FALSE)</f>
        <v>4.109</v>
      </c>
      <c r="I799" s="111">
        <f>VLOOKUP(A799,黄金期货!A:B,2,FALSE)</f>
        <v>3068.9</v>
      </c>
      <c r="J799" s="106">
        <f>VLOOKUP(A799,Sheet3!A:E,5,FALSE)</f>
        <v>2440</v>
      </c>
      <c r="L799" s="112">
        <f t="shared" si="32"/>
        <v>0</v>
      </c>
    </row>
    <row r="800" spans="1:12">
      <c r="A800" s="109">
        <v>45735</v>
      </c>
      <c r="B800" s="106">
        <f>VLOOKUP(A800,港存及港价!A:B,2,FALSE)</f>
        <v>185.9</v>
      </c>
      <c r="C800" s="106">
        <v>3800</v>
      </c>
      <c r="D800" s="106">
        <f>VLOOKUP(A800,Sheet4!A:C,2,FALSE)</f>
        <v>903</v>
      </c>
      <c r="E800" s="106">
        <f>VLOOKUP(A800,Sheet5!A:B,2,FALSE)</f>
        <v>7.2308</v>
      </c>
      <c r="F800" s="106">
        <f>VLOOKUP(A800,Sheet6!A:B,2,FALSE)</f>
        <v>103.43</v>
      </c>
      <c r="G800" s="106">
        <f>VLOOKUP(A800,WTI原油期货!A:B,2,FALSE)</f>
        <v>67.16</v>
      </c>
      <c r="H800" s="106">
        <f>VLOOKUP(A800,天然气期货!A:B,2,FALSE)</f>
        <v>4.313</v>
      </c>
      <c r="I800" s="111">
        <f>VLOOKUP(A800,黄金期货!A:B,2,FALSE)</f>
        <v>3069.1</v>
      </c>
      <c r="J800" s="106">
        <f>VLOOKUP(A800,Sheet3!A:E,5,FALSE)</f>
        <v>2465</v>
      </c>
      <c r="L800" s="112">
        <f t="shared" si="32"/>
        <v>0.0102459016393443</v>
      </c>
    </row>
    <row r="801" spans="1:12">
      <c r="A801" s="109">
        <v>45736</v>
      </c>
      <c r="B801" s="106">
        <f>VLOOKUP(A801,港存及港价!A:B,2,FALSE)</f>
        <v>182.75</v>
      </c>
      <c r="C801" s="106">
        <v>3800</v>
      </c>
      <c r="D801" s="106">
        <f>VLOOKUP(A801,Sheet4!A:C,2,FALSE)</f>
        <v>902</v>
      </c>
      <c r="E801" s="106">
        <f>VLOOKUP(A801,Sheet5!A:B,2,FALSE)</f>
        <v>7.2484</v>
      </c>
      <c r="F801" s="106">
        <f>VLOOKUP(A801,Sheet6!A:B,2,FALSE)</f>
        <v>103.85</v>
      </c>
      <c r="G801" s="106">
        <f>VLOOKUP(A801,WTI原油期货!A:B,2,FALSE)</f>
        <v>68.26</v>
      </c>
      <c r="H801" s="106">
        <f>VLOOKUP(A801,天然气期货!A:B,2,FALSE)</f>
        <v>4.038</v>
      </c>
      <c r="I801" s="111">
        <f>VLOOKUP(A801,黄金期货!A:B,2,FALSE)</f>
        <v>3071.3</v>
      </c>
      <c r="J801" s="106">
        <f>VLOOKUP(A801,Sheet3!A:E,5,FALSE)</f>
        <v>2440</v>
      </c>
      <c r="L801" s="112">
        <f t="shared" si="32"/>
        <v>-0.0101419878296146</v>
      </c>
    </row>
    <row r="802" spans="1:12">
      <c r="A802" s="109">
        <v>45737</v>
      </c>
      <c r="B802" s="106">
        <f>VLOOKUP(A802,港存及港价!A:B,2,FALSE)</f>
        <v>191.8</v>
      </c>
      <c r="C802" s="106">
        <v>3800</v>
      </c>
      <c r="D802" s="106">
        <f>VLOOKUP(A802,Sheet4!A:C,2,FALSE)</f>
        <v>902</v>
      </c>
      <c r="E802" s="106">
        <f>VLOOKUP(A802,Sheet5!A:B,2,FALSE)</f>
        <v>7.2493</v>
      </c>
      <c r="F802" s="106">
        <f>VLOOKUP(A802,Sheet6!A:B,2,FALSE)</f>
        <v>104.09</v>
      </c>
      <c r="G802" s="106">
        <f>VLOOKUP(A802,WTI原油期货!A:B,2,FALSE)</f>
        <v>68.28</v>
      </c>
      <c r="H802" s="106">
        <f>VLOOKUP(A802,天然气期货!A:B,2,FALSE)</f>
        <v>4.024</v>
      </c>
      <c r="I802" s="111">
        <f>VLOOKUP(A802,黄金期货!A:B,2,FALSE)</f>
        <v>3048.4</v>
      </c>
      <c r="J802" s="106">
        <f>VLOOKUP(A802,Sheet3!A:E,5,FALSE)</f>
        <v>2440</v>
      </c>
      <c r="L802" s="112">
        <f t="shared" si="32"/>
        <v>0</v>
      </c>
    </row>
    <row r="803" spans="1:12">
      <c r="A803" s="109">
        <v>45740</v>
      </c>
      <c r="B803" s="106">
        <f>VLOOKUP(A803,港存及港价!A:B,2,FALSE)</f>
        <v>188.2</v>
      </c>
      <c r="C803" s="106">
        <v>3800</v>
      </c>
      <c r="D803" s="106">
        <f>VLOOKUP(A803,Sheet4!A:C,2,FALSE)</f>
        <v>901</v>
      </c>
      <c r="E803" s="106">
        <f>VLOOKUP(A803,Sheet5!A:B,2,FALSE)</f>
        <v>7.2539</v>
      </c>
      <c r="F803" s="106">
        <f>VLOOKUP(A803,Sheet6!A:B,2,FALSE)</f>
        <v>104.26</v>
      </c>
      <c r="G803" s="106">
        <f>VLOOKUP(A803,WTI原油期货!A:B,2,FALSE)</f>
        <v>69.11</v>
      </c>
      <c r="H803" s="106">
        <f>VLOOKUP(A803,天然气期货!A:B,2,FALSE)</f>
        <v>3.914</v>
      </c>
      <c r="I803" s="111">
        <f>VLOOKUP(A803,黄金期货!A:B,2,FALSE)</f>
        <v>3044</v>
      </c>
      <c r="J803" s="106">
        <f>VLOOKUP(A803,Sheet3!A:E,5,FALSE)</f>
        <v>2450</v>
      </c>
      <c r="L803" s="112">
        <f t="shared" si="32"/>
        <v>0.00409836065573771</v>
      </c>
    </row>
    <row r="804" spans="1:12">
      <c r="A804" s="109">
        <v>45741</v>
      </c>
      <c r="B804" s="106">
        <f>VLOOKUP(A804,港存及港价!A:B,2,FALSE)</f>
        <v>183.5</v>
      </c>
      <c r="C804" s="106">
        <v>3800</v>
      </c>
      <c r="D804" s="106">
        <f>VLOOKUP(A804,Sheet4!A:C,2,FALSE)</f>
        <v>900</v>
      </c>
      <c r="E804" s="106">
        <f>VLOOKUP(A804,Sheet5!A:B,2,FALSE)</f>
        <v>7.2579</v>
      </c>
      <c r="F804" s="106">
        <f>VLOOKUP(A804,Sheet6!A:B,2,FALSE)</f>
        <v>104.18</v>
      </c>
      <c r="G804" s="106">
        <f>VLOOKUP(A804,WTI原油期货!A:B,2,FALSE)</f>
        <v>69</v>
      </c>
      <c r="H804" s="106">
        <f>VLOOKUP(A804,天然气期货!A:B,2,FALSE)</f>
        <v>3.84</v>
      </c>
      <c r="I804" s="111">
        <f>VLOOKUP(A804,黄金期货!A:B,2,FALSE)</f>
        <v>3039.6</v>
      </c>
      <c r="J804" s="106">
        <f>VLOOKUP(A804,Sheet3!A:E,5,FALSE)</f>
        <v>2455</v>
      </c>
      <c r="L804" s="112">
        <f t="shared" si="32"/>
        <v>0.00204081632653061</v>
      </c>
    </row>
    <row r="805" spans="1:12">
      <c r="A805" s="109">
        <v>45742</v>
      </c>
      <c r="B805" s="106">
        <f>VLOOKUP(A805,港存及港价!A:B,2,FALSE)</f>
        <v>182.2</v>
      </c>
      <c r="C805" s="106">
        <v>3800</v>
      </c>
      <c r="D805" s="106">
        <f>VLOOKUP(A805,Sheet4!A:C,2,FALSE)</f>
        <v>900</v>
      </c>
      <c r="E805" s="106">
        <f>VLOOKUP(A805,Sheet5!A:B,2,FALSE)</f>
        <v>7.2682</v>
      </c>
      <c r="F805" s="106">
        <f>VLOOKUP(A805,Sheet6!A:B,2,FALSE)</f>
        <v>104.55</v>
      </c>
      <c r="G805" s="106">
        <f>VLOOKUP(A805,WTI原油期货!A:B,2,FALSE)</f>
        <v>69.65</v>
      </c>
      <c r="H805" s="106">
        <f>VLOOKUP(A805,天然气期货!A:B,2,FALSE)</f>
        <v>3.861</v>
      </c>
      <c r="I805" s="111">
        <f>VLOOKUP(A805,黄金期货!A:B,2,FALSE)</f>
        <v>3037.3</v>
      </c>
      <c r="J805" s="106">
        <f>VLOOKUP(A805,Sheet3!A:E,5,FALSE)</f>
        <v>2455</v>
      </c>
      <c r="L805" s="112">
        <f t="shared" si="32"/>
        <v>0</v>
      </c>
    </row>
    <row r="806" spans="1:12">
      <c r="A806" s="109">
        <v>45743</v>
      </c>
      <c r="B806" s="106">
        <f>VLOOKUP(A806,港存及港价!A:B,2,FALSE)</f>
        <v>180.75</v>
      </c>
      <c r="C806" s="106">
        <v>3850</v>
      </c>
      <c r="D806" s="106">
        <f>VLOOKUP(A806,Sheet4!A:C,2,FALSE)</f>
        <v>900</v>
      </c>
      <c r="E806" s="106">
        <f>VLOOKUP(A806,Sheet5!A:B,2,FALSE)</f>
        <v>7.2654</v>
      </c>
      <c r="F806" s="106">
        <f>VLOOKUP(A806,Sheet6!A:B,2,FALSE)</f>
        <v>104.33</v>
      </c>
      <c r="G806" s="106">
        <f>VLOOKUP(A806,WTI原油期货!A:B,2,FALSE)</f>
        <v>69.92</v>
      </c>
      <c r="H806" s="106">
        <f>VLOOKUP(A806,天然气期货!A:B,2,FALSE)</f>
        <v>3.95</v>
      </c>
      <c r="I806" s="111">
        <f>VLOOKUP(A806,黄金期货!A:B,2,FALSE)</f>
        <v>3075.8</v>
      </c>
      <c r="J806" s="106">
        <f>VLOOKUP(A806,Sheet3!A:E,5,FALSE)</f>
        <v>2455</v>
      </c>
      <c r="L806" s="112">
        <f t="shared" si="32"/>
        <v>0</v>
      </c>
    </row>
    <row r="807" spans="1:12">
      <c r="A807" s="109">
        <v>45744</v>
      </c>
      <c r="B807" s="106">
        <f>VLOOKUP(A807,港存及港价!A:B,2,FALSE)</f>
        <v>179.9</v>
      </c>
      <c r="C807" s="106">
        <v>3850</v>
      </c>
      <c r="D807" s="106">
        <f>VLOOKUP(A807,Sheet4!A:C,2,FALSE)</f>
        <v>900</v>
      </c>
      <c r="E807" s="106">
        <f>VLOOKUP(A807,Sheet5!A:B,2,FALSE)</f>
        <v>7.2634</v>
      </c>
      <c r="F807" s="106">
        <f>VLOOKUP(A807,Sheet6!A:B,2,FALSE)</f>
        <v>104.04</v>
      </c>
      <c r="G807" s="106">
        <f>VLOOKUP(A807,WTI原油期货!A:B,2,FALSE)</f>
        <v>69.36</v>
      </c>
      <c r="H807" s="106">
        <f>VLOOKUP(A807,天然气期货!A:B,2,FALSE)</f>
        <v>4.065</v>
      </c>
      <c r="I807" s="111">
        <f>VLOOKUP(A807,黄金期货!A:B,2,FALSE)</f>
        <v>3114.3</v>
      </c>
      <c r="J807" s="106">
        <f>VLOOKUP(A807,Sheet3!A:E,5,FALSE)</f>
        <v>2460</v>
      </c>
      <c r="L807" s="112">
        <f t="shared" si="32"/>
        <v>0.00203665987780041</v>
      </c>
    </row>
    <row r="808" spans="1:12">
      <c r="A808" s="109">
        <v>45747</v>
      </c>
      <c r="B808" s="106">
        <f>VLOOKUP(A808,港存及港价!A:B,2,FALSE)</f>
        <v>170.75</v>
      </c>
      <c r="C808" s="106">
        <v>3850</v>
      </c>
      <c r="D808" s="106">
        <f>VLOOKUP(A808,Sheet4!A:C,2,FALSE)</f>
        <v>899</v>
      </c>
      <c r="E808" s="106">
        <f>VLOOKUP(A808,Sheet5!A:B,2,FALSE)</f>
        <v>7.2572</v>
      </c>
      <c r="F808" s="106">
        <f>VLOOKUP(A808,Sheet6!A:B,2,FALSE)</f>
        <v>104.21</v>
      </c>
      <c r="G808" s="106">
        <f>VLOOKUP(A808,WTI原油期货!A:B,2,FALSE)</f>
        <v>71.48</v>
      </c>
      <c r="H808" s="106">
        <f>VLOOKUP(A808,天然气期货!A:B,2,FALSE)</f>
        <v>4.119</v>
      </c>
      <c r="I808" s="111">
        <f>VLOOKUP(A808,黄金期货!A:B,2,FALSE)</f>
        <v>3150.3</v>
      </c>
      <c r="J808" s="106">
        <f>VLOOKUP(A808,Sheet3!A:E,5,FALSE)</f>
        <v>2460</v>
      </c>
      <c r="L808" s="112">
        <f t="shared" si="32"/>
        <v>0</v>
      </c>
    </row>
    <row r="809" spans="1:12">
      <c r="A809" s="109">
        <v>45748</v>
      </c>
      <c r="B809" s="106">
        <f>VLOOKUP(A809,港存及港价!A:B,2,FALSE)</f>
        <v>170.65</v>
      </c>
      <c r="C809" s="106">
        <v>3850</v>
      </c>
      <c r="D809" s="106">
        <f>VLOOKUP(A809,Sheet4!A:C,2,FALSE)</f>
        <v>899</v>
      </c>
      <c r="E809" s="106">
        <f>VLOOKUP(A809,Sheet5!A:B,2,FALSE)</f>
        <v>7.2702</v>
      </c>
      <c r="F809" s="106">
        <f>VLOOKUP(A809,Sheet6!A:B,2,FALSE)</f>
        <v>104.26</v>
      </c>
      <c r="G809" s="106">
        <f>VLOOKUP(A809,WTI原油期货!A:B,2,FALSE)</f>
        <v>71.2</v>
      </c>
      <c r="H809" s="106">
        <f>VLOOKUP(A809,天然气期货!A:B,2,FALSE)</f>
        <v>3.951</v>
      </c>
      <c r="I809" s="111">
        <f>VLOOKUP(A809,黄金期货!A:B,2,FALSE)</f>
        <v>3146</v>
      </c>
      <c r="J809" s="106">
        <f>VLOOKUP(A809,Sheet3!A:E,5,FALSE)</f>
        <v>2460</v>
      </c>
      <c r="L809" s="112">
        <f t="shared" si="32"/>
        <v>0</v>
      </c>
    </row>
    <row r="810" spans="1:12">
      <c r="A810" s="109">
        <v>45749</v>
      </c>
      <c r="B810" s="106">
        <f>VLOOKUP(A810,港存及港价!A:B,2,FALSE)</f>
        <v>172.3</v>
      </c>
      <c r="C810" s="106">
        <v>3850</v>
      </c>
      <c r="D810" s="106">
        <f>VLOOKUP(A810,Sheet4!A:C,2,FALSE)</f>
        <v>901</v>
      </c>
      <c r="E810" s="106">
        <f>VLOOKUP(A810,Sheet5!A:B,2,FALSE)</f>
        <v>7.2681</v>
      </c>
      <c r="F810" s="106">
        <f>VLOOKUP(A810,Sheet6!A:B,2,FALSE)</f>
        <v>103.81</v>
      </c>
      <c r="G810" s="106">
        <f>VLOOKUP(A810,WTI原油期货!A:B,2,FALSE)</f>
        <v>71.71</v>
      </c>
      <c r="H810" s="106">
        <f>VLOOKUP(A810,天然气期货!A:B,2,FALSE)</f>
        <v>4.055</v>
      </c>
      <c r="I810" s="111">
        <f>VLOOKUP(A810,黄金期货!A:B,2,FALSE)</f>
        <v>3166.2</v>
      </c>
      <c r="J810" s="106">
        <f>VLOOKUP(A810,Sheet3!A:E,5,FALSE)</f>
        <v>2455</v>
      </c>
      <c r="L810" s="112">
        <f t="shared" si="32"/>
        <v>-0.00203252032520325</v>
      </c>
    </row>
    <row r="811" spans="1:12">
      <c r="A811" s="109">
        <v>45750</v>
      </c>
      <c r="B811" s="106">
        <f>VLOOKUP(A811,港存及港价!A:B,2,FALSE)</f>
        <v>174.3</v>
      </c>
      <c r="C811" s="106">
        <v>3850</v>
      </c>
      <c r="D811" s="106">
        <f>VLOOKUP(A811,Sheet4!A:C,2,FALSE)</f>
        <v>901</v>
      </c>
      <c r="E811" s="106">
        <f>VLOOKUP(A811,Sheet5!A:B,2,FALSE)</f>
        <v>7.2821</v>
      </c>
      <c r="F811" s="106">
        <f>VLOOKUP(A811,Sheet6!A:B,2,FALSE)</f>
        <v>102.07</v>
      </c>
      <c r="G811" s="106">
        <f>VLOOKUP(A811,WTI原油期货!A:B,2,FALSE)</f>
        <v>66.95</v>
      </c>
      <c r="H811" s="106">
        <f>VLOOKUP(A811,天然气期货!A:B,2,FALSE)</f>
        <v>4.138</v>
      </c>
      <c r="I811" s="111">
        <f>VLOOKUP(A811,黄金期货!A:B,2,FALSE)</f>
        <v>3121.7</v>
      </c>
      <c r="J811" s="106">
        <f>VLOOKUP(A811,Sheet3!A:E,5,FALSE)</f>
        <v>2455</v>
      </c>
      <c r="L811" s="112">
        <f t="shared" si="32"/>
        <v>0</v>
      </c>
    </row>
    <row r="812" spans="1:12">
      <c r="A812" s="109">
        <v>45754</v>
      </c>
      <c r="B812" s="106">
        <f>VLOOKUP(A812,港存及港价!A:B,2,FALSE)</f>
        <v>182.3</v>
      </c>
      <c r="C812" s="106">
        <v>3850</v>
      </c>
      <c r="D812" s="106">
        <f>VLOOKUP(A812,Sheet4!A:C,2,FALSE)</f>
        <v>895</v>
      </c>
      <c r="E812" s="106">
        <f>VLOOKUP(A812,Sheet5!A:B,2,FALSE)</f>
        <v>7.3087</v>
      </c>
      <c r="F812" s="106">
        <f>VLOOKUP(A812,Sheet6!A:B,2,FALSE)</f>
        <v>103.26</v>
      </c>
      <c r="G812" s="106">
        <f>VLOOKUP(A812,WTI原油期货!A:B,2,FALSE)</f>
        <v>60.7</v>
      </c>
      <c r="H812" s="106">
        <f>VLOOKUP(A812,天然气期货!A:B,2,FALSE)</f>
        <v>3.655</v>
      </c>
      <c r="I812" s="111">
        <f>VLOOKUP(A812,黄金期货!A:B,2,FALSE)</f>
        <v>2973.6</v>
      </c>
      <c r="J812" s="106">
        <f>VLOOKUP(A812,Sheet3!A:E,5,FALSE)</f>
        <v>2440</v>
      </c>
      <c r="L812" s="112">
        <f t="shared" si="32"/>
        <v>-0.00610997963340122</v>
      </c>
    </row>
    <row r="813" spans="1:12">
      <c r="A813" s="109">
        <v>45755</v>
      </c>
      <c r="B813" s="106">
        <f>VLOOKUP(A813,港存及港价!A:B,2,FALSE)</f>
        <v>185.8</v>
      </c>
      <c r="C813" s="106">
        <v>3850</v>
      </c>
      <c r="D813" s="106">
        <f>VLOOKUP(A813,Sheet4!A:C,2,FALSE)</f>
        <v>890</v>
      </c>
      <c r="E813" s="106">
        <f>VLOOKUP(A813,Sheet5!A:B,2,FALSE)</f>
        <v>7.3389</v>
      </c>
      <c r="F813" s="106">
        <f>VLOOKUP(A813,Sheet6!A:B,2,FALSE)</f>
        <v>102.96</v>
      </c>
      <c r="G813" s="106">
        <f>VLOOKUP(A813,WTI原油期货!A:B,2,FALSE)</f>
        <v>59.58</v>
      </c>
      <c r="H813" s="106">
        <f>VLOOKUP(A813,天然气期货!A:B,2,FALSE)</f>
        <v>3.465</v>
      </c>
      <c r="I813" s="111">
        <f>VLOOKUP(A813,黄金期货!A:B,2,FALSE)</f>
        <v>2990.2</v>
      </c>
      <c r="J813" s="106">
        <f>VLOOKUP(A813,Sheet3!A:E,5,FALSE)</f>
        <v>2400</v>
      </c>
      <c r="L813" s="112">
        <f t="shared" si="32"/>
        <v>-0.0163934426229508</v>
      </c>
    </row>
    <row r="814" spans="1:12">
      <c r="A814" s="109">
        <v>45756</v>
      </c>
      <c r="B814" s="106">
        <f>VLOOKUP(A814,港存及港价!A:B,2,FALSE)</f>
        <v>184.8</v>
      </c>
      <c r="C814" s="106">
        <v>3850</v>
      </c>
      <c r="D814" s="106">
        <f>VLOOKUP(A814,Sheet4!A:C,2,FALSE)</f>
        <v>882</v>
      </c>
      <c r="E814" s="106">
        <f>VLOOKUP(A814,Sheet5!A:B,2,FALSE)</f>
        <v>7.35</v>
      </c>
      <c r="F814" s="106">
        <f>VLOOKUP(A814,Sheet6!A:B,2,FALSE)</f>
        <v>102.9</v>
      </c>
      <c r="G814" s="106">
        <f>VLOOKUP(A814,WTI原油期货!A:B,2,FALSE)</f>
        <v>62.35</v>
      </c>
      <c r="H814" s="106">
        <f>VLOOKUP(A814,天然气期货!A:B,2,FALSE)</f>
        <v>3.816</v>
      </c>
      <c r="I814" s="111">
        <f>VLOOKUP(A814,黄金期货!A:B,2,FALSE)</f>
        <v>3079.4</v>
      </c>
      <c r="J814" s="106">
        <f>VLOOKUP(A814,Sheet3!A:E,5,FALSE)</f>
        <v>2330</v>
      </c>
      <c r="L814" s="112">
        <f t="shared" si="32"/>
        <v>-0.0291666666666667</v>
      </c>
    </row>
    <row r="815" spans="1:12">
      <c r="A815" s="109">
        <v>45757</v>
      </c>
      <c r="B815" s="106">
        <f>VLOOKUP(A815,港存及港价!A:B,2,FALSE)</f>
        <v>187.13</v>
      </c>
      <c r="C815" s="106">
        <v>3850</v>
      </c>
      <c r="D815" s="106">
        <f>VLOOKUP(A815,Sheet4!A:C,2,FALSE)</f>
        <v>884</v>
      </c>
      <c r="E815" s="106">
        <f>VLOOKUP(A815,Sheet5!A:B,2,FALSE)</f>
        <v>7.3145</v>
      </c>
      <c r="F815" s="106">
        <f>VLOOKUP(A815,Sheet6!A:B,2,FALSE)</f>
        <v>100.87</v>
      </c>
      <c r="G815" s="106">
        <f>VLOOKUP(A815,WTI原油期货!A:B,2,FALSE)</f>
        <v>60.07</v>
      </c>
      <c r="H815" s="106">
        <f>VLOOKUP(A815,天然气期货!A:B,2,FALSE)</f>
        <v>3.557</v>
      </c>
      <c r="I815" s="111">
        <f>VLOOKUP(A815,黄金期货!A:B,2,FALSE)</f>
        <v>3177.5</v>
      </c>
      <c r="J815" s="106">
        <f>VLOOKUP(A815,Sheet3!A:E,5,FALSE)</f>
        <v>2350</v>
      </c>
      <c r="L815" s="112">
        <f t="shared" si="32"/>
        <v>0.00858369098712446</v>
      </c>
    </row>
    <row r="816" spans="1:12">
      <c r="A816" s="109">
        <v>45758</v>
      </c>
      <c r="B816" s="106">
        <f>VLOOKUP(A816,港存及港价!A:B,2,FALSE)</f>
        <v>186.13</v>
      </c>
      <c r="C816" s="106">
        <v>3850</v>
      </c>
      <c r="D816" s="106">
        <f>VLOOKUP(A816,Sheet4!A:C,2,FALSE)</f>
        <v>884</v>
      </c>
      <c r="E816" s="106">
        <f>VLOOKUP(A816,Sheet5!A:B,2,FALSE)</f>
        <v>7.2921</v>
      </c>
      <c r="F816" s="106">
        <f>VLOOKUP(A816,Sheet6!A:B,2,FALSE)</f>
        <v>100.1</v>
      </c>
      <c r="G816" s="106">
        <f>VLOOKUP(A816,WTI原油期货!A:B,2,FALSE)</f>
        <v>61.5</v>
      </c>
      <c r="H816" s="106">
        <f>VLOOKUP(A816,天然气期货!A:B,2,FALSE)</f>
        <v>3.527</v>
      </c>
      <c r="I816" s="111">
        <f>VLOOKUP(A816,黄金期货!A:B,2,FALSE)</f>
        <v>3244.6</v>
      </c>
      <c r="J816" s="106">
        <f>VLOOKUP(A816,Sheet3!A:E,5,FALSE)</f>
        <v>2355</v>
      </c>
      <c r="L816" s="112">
        <f t="shared" si="32"/>
        <v>0.00212765957446809</v>
      </c>
    </row>
    <row r="817" spans="1:12">
      <c r="A817" s="109">
        <v>45761</v>
      </c>
      <c r="B817" s="106">
        <f>VLOOKUP(A817,港存及港价!A:B,2,FALSE)</f>
        <v>189.01</v>
      </c>
      <c r="C817" s="106">
        <v>3850</v>
      </c>
      <c r="D817" s="106">
        <f>VLOOKUP(A817,Sheet4!A:C,2,FALSE)</f>
        <v>885</v>
      </c>
      <c r="E817" s="106">
        <f>VLOOKUP(A817,Sheet5!A:B,2,FALSE)</f>
        <v>7.3127</v>
      </c>
      <c r="F817" s="106">
        <f>VLOOKUP(A817,Sheet6!A:B,2,FALSE)</f>
        <v>99.64</v>
      </c>
      <c r="G817" s="106">
        <f>VLOOKUP(A817,WTI原油期货!A:B,2,FALSE)</f>
        <v>61.05</v>
      </c>
      <c r="H817" s="106">
        <f>VLOOKUP(A817,天然气期货!A:B,2,FALSE)</f>
        <v>3.325</v>
      </c>
      <c r="I817" s="111">
        <f>VLOOKUP(A817,黄金期货!A:B,2,FALSE)</f>
        <v>3226.3</v>
      </c>
      <c r="J817" s="106">
        <f>VLOOKUP(A817,Sheet3!A:E,5,FALSE)</f>
        <v>2355</v>
      </c>
      <c r="L817" s="112">
        <f t="shared" si="32"/>
        <v>0</v>
      </c>
    </row>
    <row r="818" spans="1:12">
      <c r="A818" s="109">
        <v>45762</v>
      </c>
      <c r="B818" s="106">
        <f>VLOOKUP(A818,港存及港价!A:B,2,FALSE)</f>
        <v>188.01</v>
      </c>
      <c r="C818" s="106">
        <v>3850</v>
      </c>
      <c r="D818" s="106">
        <f>VLOOKUP(A818,Sheet4!A:C,2,FALSE)</f>
        <v>883</v>
      </c>
      <c r="E818" s="106">
        <f>VLOOKUP(A818,Sheet5!A:B,2,FALSE)</f>
        <v>7.3158</v>
      </c>
      <c r="F818" s="106">
        <f>VLOOKUP(A818,Sheet6!A:B,2,FALSE)</f>
        <v>100.21</v>
      </c>
      <c r="G818" s="106">
        <f>VLOOKUP(A818,WTI原油期货!A:B,2,FALSE)</f>
        <v>60.75</v>
      </c>
      <c r="H818" s="106">
        <f>VLOOKUP(A818,天然气期货!A:B,2,FALSE)</f>
        <v>3.329</v>
      </c>
      <c r="I818" s="111">
        <f>VLOOKUP(A818,黄金期货!A:B,2,FALSE)</f>
        <v>3240.4</v>
      </c>
      <c r="J818" s="106">
        <f>VLOOKUP(A818,Sheet3!A:E,5,FALSE)</f>
        <v>2325</v>
      </c>
      <c r="L818" s="112">
        <f t="shared" si="32"/>
        <v>-0.0127388535031847</v>
      </c>
    </row>
    <row r="819" spans="1:12">
      <c r="A819" s="109">
        <v>45763</v>
      </c>
      <c r="B819" s="106">
        <f>VLOOKUP(A819,港存及港价!A:B,2,FALSE)</f>
        <v>187.27</v>
      </c>
      <c r="C819" s="106">
        <v>3850</v>
      </c>
      <c r="D819" s="106">
        <f>VLOOKUP(A819,Sheet4!A:C,2,FALSE)</f>
        <v>880</v>
      </c>
      <c r="E819" s="106">
        <f>VLOOKUP(A819,Sheet5!A:B,2,FALSE)</f>
        <v>7.3063</v>
      </c>
      <c r="F819" s="106">
        <f>VLOOKUP(A819,Sheet6!A:B,2,FALSE)</f>
        <v>99.38</v>
      </c>
      <c r="G819" s="106">
        <f>VLOOKUP(A819,WTI原油期货!A:B,2,FALSE)</f>
        <v>62.47</v>
      </c>
      <c r="H819" s="106">
        <f>VLOOKUP(A819,天然气期货!A:B,2,FALSE)</f>
        <v>3.247</v>
      </c>
      <c r="I819" s="111">
        <f>VLOOKUP(A819,黄金期货!A:B,2,FALSE)</f>
        <v>3346.4</v>
      </c>
      <c r="J819" s="106">
        <f>VLOOKUP(A819,Sheet3!A:E,5,FALSE)</f>
        <v>2300</v>
      </c>
      <c r="L819" s="112">
        <f t="shared" si="32"/>
        <v>-0.010752688172043</v>
      </c>
    </row>
    <row r="820" spans="1:12">
      <c r="A820" s="109">
        <v>45764</v>
      </c>
      <c r="B820" s="106">
        <f>VLOOKUP(A820,港存及港价!A:B,2,FALSE)</f>
        <v>189.21</v>
      </c>
      <c r="C820" s="106">
        <v>3850</v>
      </c>
      <c r="D820" s="106">
        <f>VLOOKUP(A820,Sheet4!A:C,2,FALSE)</f>
        <v>878</v>
      </c>
      <c r="E820" s="106">
        <f>VLOOKUP(A820,Sheet5!A:B,2,FALSE)</f>
        <v>7.3</v>
      </c>
      <c r="F820" s="106">
        <f>VLOOKUP(A820,Sheet6!A:B,2,FALSE)</f>
        <v>99.38</v>
      </c>
      <c r="G820" s="106">
        <f>VLOOKUP(A820,WTI原油期货!A:B,2,FALSE)</f>
        <v>64.68</v>
      </c>
      <c r="H820" s="106">
        <f>VLOOKUP(A820,天然气期货!A:B,2,FALSE)</f>
        <v>3.245</v>
      </c>
      <c r="I820" s="111">
        <f>VLOOKUP(A820,黄金期货!A:B,2,FALSE)</f>
        <v>3328.4</v>
      </c>
      <c r="J820" s="106">
        <f>VLOOKUP(A820,Sheet3!A:E,5,FALSE)</f>
        <v>2290</v>
      </c>
      <c r="L820" s="112">
        <f t="shared" si="32"/>
        <v>-0.00434782608695652</v>
      </c>
    </row>
    <row r="821" spans="1:12">
      <c r="A821" s="109">
        <v>45765</v>
      </c>
      <c r="B821" s="106">
        <f>VLOOKUP(A821,港存及港价!A:B,2,FALSE)</f>
        <v>187.31</v>
      </c>
      <c r="C821" s="106">
        <v>3850</v>
      </c>
      <c r="D821" s="106">
        <f>VLOOKUP(A821,Sheet4!A:C,2,FALSE)</f>
        <v>877</v>
      </c>
      <c r="E821" s="106">
        <f>VLOOKUP(A821,Sheet5!A:B,2,FALSE)</f>
        <v>7.3003</v>
      </c>
      <c r="F821" s="106">
        <f>F820</f>
        <v>99.38</v>
      </c>
      <c r="G821" s="106">
        <f>G820</f>
        <v>64.68</v>
      </c>
      <c r="H821" s="106">
        <f>H820</f>
        <v>3.245</v>
      </c>
      <c r="I821" s="111">
        <f>I820</f>
        <v>3328.4</v>
      </c>
      <c r="J821" s="106">
        <f>VLOOKUP(A821,Sheet3!A:E,5,FALSE)</f>
        <v>2290</v>
      </c>
      <c r="L821" s="112">
        <f t="shared" si="32"/>
        <v>0</v>
      </c>
    </row>
    <row r="822" spans="1:12">
      <c r="A822" s="109">
        <v>45768</v>
      </c>
      <c r="B822" s="106">
        <f>VLOOKUP(A822,港存及港价!A:B,2,FALSE)</f>
        <v>190.15</v>
      </c>
      <c r="C822" s="106">
        <v>3850</v>
      </c>
      <c r="D822" s="106">
        <f>VLOOKUP(A822,Sheet4!A:C,2,FALSE)</f>
        <v>875</v>
      </c>
      <c r="E822" s="106">
        <f>VLOOKUP(A822,Sheet5!A:B,2,FALSE)</f>
        <v>7.2924</v>
      </c>
      <c r="F822" s="106">
        <f>VLOOKUP(A822,Sheet6!A:B,2,FALSE)</f>
        <v>98.28</v>
      </c>
      <c r="G822" s="106">
        <f>VLOOKUP(A822,WTI原油期货!A:B,2,FALSE)</f>
        <v>63.08</v>
      </c>
      <c r="H822" s="106">
        <f>VLOOKUP(A822,天然气期货!A:B,2,FALSE)</f>
        <v>3.177</v>
      </c>
      <c r="I822" s="111">
        <f>VLOOKUP(A822,黄金期货!A:B,2,FALSE)</f>
        <v>3425.3</v>
      </c>
      <c r="J822" s="106">
        <f>VLOOKUP(A822,Sheet3!A:E,5,FALSE)</f>
        <v>2355</v>
      </c>
      <c r="L822" s="112">
        <f t="shared" si="32"/>
        <v>0.0283842794759825</v>
      </c>
    </row>
    <row r="823" spans="1:12">
      <c r="A823" s="109">
        <v>45769</v>
      </c>
      <c r="B823" s="106">
        <f>VLOOKUP(A823,港存及港价!A:B,2,FALSE)</f>
        <v>189.65</v>
      </c>
      <c r="C823" s="106">
        <v>3850</v>
      </c>
      <c r="D823" s="106">
        <f>VLOOKUP(A823,Sheet4!A:C,2,FALSE)</f>
        <v>874</v>
      </c>
      <c r="E823" s="106">
        <f>VLOOKUP(A823,Sheet5!A:B,2,FALSE)</f>
        <v>7.3123</v>
      </c>
      <c r="F823" s="106">
        <f>VLOOKUP(A823,Sheet6!A:B,2,FALSE)</f>
        <v>98.92</v>
      </c>
      <c r="G823" s="106">
        <f>VLOOKUP(A823,WTI原油期货!A:B,2,FALSE)</f>
        <v>64.31</v>
      </c>
      <c r="H823" s="106">
        <f>VLOOKUP(A823,天然气期货!A:B,2,FALSE)</f>
        <v>3.007</v>
      </c>
      <c r="I823" s="111">
        <f>VLOOKUP(A823,黄金期货!A:B,2,FALSE)</f>
        <v>3419.4</v>
      </c>
      <c r="J823" s="106">
        <f>VLOOKUP(A823,Sheet3!A:E,5,FALSE)</f>
        <v>2365</v>
      </c>
      <c r="L823" s="112">
        <f t="shared" si="32"/>
        <v>0.00424628450106157</v>
      </c>
    </row>
    <row r="824" spans="1:12">
      <c r="A824" s="109">
        <v>45770</v>
      </c>
      <c r="B824" s="106">
        <f>VLOOKUP(A824,港存及港价!A:B,2,FALSE)</f>
        <v>187.6</v>
      </c>
      <c r="C824" s="106">
        <v>3850</v>
      </c>
      <c r="D824" s="106">
        <f>VLOOKUP(A824,Sheet4!A:C,2,FALSE)</f>
        <v>874</v>
      </c>
      <c r="E824" s="106">
        <f>VLOOKUP(A824,Sheet5!A:B,2,FALSE)</f>
        <v>7.287</v>
      </c>
      <c r="F824" s="106">
        <f>VLOOKUP(A824,Sheet6!A:B,2,FALSE)</f>
        <v>99.84</v>
      </c>
      <c r="G824" s="106">
        <f>VLOOKUP(A824,WTI原油期货!A:B,2,FALSE)</f>
        <v>62.27</v>
      </c>
      <c r="H824" s="106">
        <f>VLOOKUP(A824,天然气期货!A:B,2,FALSE)</f>
        <v>3.022</v>
      </c>
      <c r="I824" s="111">
        <f>VLOOKUP(A824,黄金期货!A:B,2,FALSE)</f>
        <v>3294.1</v>
      </c>
      <c r="J824" s="106">
        <f>VLOOKUP(A824,Sheet3!A:E,5,FALSE)</f>
        <v>2355</v>
      </c>
      <c r="L824" s="112">
        <f t="shared" si="32"/>
        <v>-0.00422832980972516</v>
      </c>
    </row>
    <row r="825" spans="1:12">
      <c r="A825" s="109">
        <v>45771</v>
      </c>
      <c r="B825" s="106">
        <f>VLOOKUP(A825,港存及港价!A:B,2,FALSE)</f>
        <v>191.6</v>
      </c>
      <c r="C825" s="106">
        <v>3850</v>
      </c>
      <c r="D825" s="106">
        <f>VLOOKUP(A825,Sheet4!A:C,2,FALSE)</f>
        <v>871</v>
      </c>
      <c r="E825" s="106">
        <f>VLOOKUP(A825,Sheet5!A:B,2,FALSE)</f>
        <v>7.2884</v>
      </c>
      <c r="F825" s="106">
        <f>VLOOKUP(A825,Sheet6!A:B,2,FALSE)</f>
        <v>99.38</v>
      </c>
      <c r="G825" s="106">
        <f>VLOOKUP(A825,WTI原油期货!A:B,2,FALSE)</f>
        <v>62.79</v>
      </c>
      <c r="H825" s="106">
        <f>VLOOKUP(A825,天然气期货!A:B,2,FALSE)</f>
        <v>2.93</v>
      </c>
      <c r="I825" s="111">
        <f>VLOOKUP(A825,黄金期货!A:B,2,FALSE)</f>
        <v>3348.6</v>
      </c>
      <c r="J825" s="106">
        <f>VLOOKUP(A825,Sheet3!A:E,5,FALSE)</f>
        <v>2355</v>
      </c>
      <c r="L825" s="112">
        <f t="shared" si="32"/>
        <v>0</v>
      </c>
    </row>
    <row r="826" spans="1:12">
      <c r="A826" s="109">
        <v>45772</v>
      </c>
      <c r="B826" s="106">
        <f>VLOOKUP(A826,港存及港价!A:B,2,FALSE)</f>
        <v>191.2</v>
      </c>
      <c r="C826" s="106">
        <v>3850</v>
      </c>
      <c r="D826" s="106">
        <f>VLOOKUP(A826,Sheet4!A:C,2,FALSE)</f>
        <v>870</v>
      </c>
      <c r="E826" s="106">
        <f>VLOOKUP(A826,Sheet5!A:B,2,FALSE)</f>
        <v>7.2877</v>
      </c>
      <c r="F826" s="106">
        <f>VLOOKUP(A826,Sheet6!A:B,2,FALSE)</f>
        <v>99.47</v>
      </c>
      <c r="G826" s="106">
        <f>VLOOKUP(A826,WTI原油期货!A:B,2,FALSE)</f>
        <v>63.02</v>
      </c>
      <c r="H826" s="106">
        <f>VLOOKUP(A826,天然气期货!A:B,2,FALSE)</f>
        <v>2.937</v>
      </c>
      <c r="I826" s="111">
        <f>VLOOKUP(A826,黄金期货!A:B,2,FALSE)</f>
        <v>3298.4</v>
      </c>
      <c r="J826" s="106">
        <f>VLOOKUP(A826,Sheet3!A:E,5,FALSE)</f>
        <v>2355</v>
      </c>
      <c r="L826" s="112">
        <f t="shared" si="32"/>
        <v>0</v>
      </c>
    </row>
    <row r="827" spans="1:12">
      <c r="A827" s="109">
        <v>45774</v>
      </c>
      <c r="B827" s="106">
        <f>VLOOKUP(A827,港存及港价!A:B,2,FALSE)</f>
        <v>193.4</v>
      </c>
      <c r="C827" s="106">
        <v>3850</v>
      </c>
      <c r="D827" s="106">
        <f>VLOOKUP(A827,Sheet4!A:C,2,FALSE)</f>
        <v>869</v>
      </c>
      <c r="E827" s="106">
        <f>E826</f>
        <v>7.2877</v>
      </c>
      <c r="F827" s="106">
        <f>F826</f>
        <v>99.47</v>
      </c>
      <c r="G827" s="106">
        <f>G826</f>
        <v>63.02</v>
      </c>
      <c r="H827" s="106">
        <f>H826</f>
        <v>2.937</v>
      </c>
      <c r="I827" s="111">
        <f>I826</f>
        <v>3298.4</v>
      </c>
      <c r="J827" s="106">
        <f>VLOOKUP(A827,Sheet3!A:E,5,FALSE)</f>
        <v>2450</v>
      </c>
      <c r="L827" s="112">
        <f t="shared" si="32"/>
        <v>0.0403397027600849</v>
      </c>
    </row>
    <row r="828" spans="1:12">
      <c r="A828" s="109">
        <v>45775</v>
      </c>
      <c r="B828" s="106">
        <f>VLOOKUP(A828,港存及港价!A:B,2,FALSE)</f>
        <v>195.8</v>
      </c>
      <c r="C828" s="106">
        <v>3850</v>
      </c>
      <c r="D828" s="106">
        <f>VLOOKUP(A828,Sheet4!A:C,2,FALSE)</f>
        <v>866</v>
      </c>
      <c r="E828" s="106">
        <f>VLOOKUP(A828,Sheet5!A:B,2,FALSE)</f>
        <v>7.2947</v>
      </c>
      <c r="F828" s="106">
        <f>VLOOKUP(A828,Sheet6!A:B,2,FALSE)</f>
        <v>99.01</v>
      </c>
      <c r="G828" s="106">
        <f>VLOOKUP(A828,WTI原油期货!A:B,2,FALSE)</f>
        <v>62.05</v>
      </c>
      <c r="H828" s="106">
        <f>VLOOKUP(A828,天然气期货!A:B,2,FALSE)</f>
        <v>3.17</v>
      </c>
      <c r="I828" s="111">
        <f>VLOOKUP(A828,黄金期货!A:B,2,FALSE)</f>
        <v>3333</v>
      </c>
      <c r="J828" s="106">
        <f>VLOOKUP(A828,Sheet3!A:E,5,FALSE)</f>
        <v>2420</v>
      </c>
      <c r="L828" s="112">
        <f t="shared" si="32"/>
        <v>-0.0122448979591837</v>
      </c>
    </row>
    <row r="829" spans="1:12">
      <c r="A829" s="109">
        <v>45776</v>
      </c>
      <c r="B829" s="106">
        <f>VLOOKUP(A829,港存及港价!A:B,2,FALSE)</f>
        <v>194.8</v>
      </c>
      <c r="C829" s="106">
        <v>3850</v>
      </c>
      <c r="D829" s="106">
        <f>VLOOKUP(A829,Sheet4!A:C,2,FALSE)</f>
        <v>865</v>
      </c>
      <c r="E829" s="106">
        <f>VLOOKUP(A829,Sheet5!A:B,2,FALSE)</f>
        <v>7.2695</v>
      </c>
      <c r="F829" s="106">
        <f>VLOOKUP(A829,Sheet6!A:B,2,FALSE)</f>
        <v>99.24</v>
      </c>
      <c r="G829" s="106">
        <f>VLOOKUP(A829,WTI原油期货!A:B,2,FALSE)</f>
        <v>60.42</v>
      </c>
      <c r="H829" s="106">
        <f>VLOOKUP(A829,天然气期货!A:B,2,FALSE)</f>
        <v>3.386</v>
      </c>
      <c r="I829" s="111">
        <f>VLOOKUP(A829,黄金期货!A:B,2,FALSE)</f>
        <v>3333.6</v>
      </c>
      <c r="J829" s="106">
        <f>VLOOKUP(A829,Sheet3!A:E,5,FALSE)</f>
        <v>2440</v>
      </c>
      <c r="L829" s="112">
        <f t="shared" si="32"/>
        <v>0.00826446280991736</v>
      </c>
    </row>
    <row r="830" spans="1:12">
      <c r="A830" s="109">
        <v>45777</v>
      </c>
      <c r="B830" s="106">
        <f>VLOOKUP(A830,港存及港价!A:B,2,FALSE)</f>
        <v>198.33</v>
      </c>
      <c r="C830" s="106">
        <v>3850</v>
      </c>
      <c r="D830" s="106">
        <f>VLOOKUP(A830,Sheet4!A:C,2,FALSE)</f>
        <v>863</v>
      </c>
      <c r="E830" s="106">
        <f>VLOOKUP(A830,Sheet5!A:B,2,FALSE)</f>
        <v>7.2714</v>
      </c>
      <c r="F830" s="106">
        <f>VLOOKUP(A830,Sheet6!A:B,2,FALSE)</f>
        <v>99.47</v>
      </c>
      <c r="G830" s="106">
        <f>VLOOKUP(A830,WTI原油期货!A:B,2,FALSE)</f>
        <v>58.21</v>
      </c>
      <c r="H830" s="106">
        <f>VLOOKUP(A830,天然气期货!A:B,2,FALSE)</f>
        <v>3.326</v>
      </c>
      <c r="I830" s="111">
        <f>VLOOKUP(A830,黄金期货!A:B,2,FALSE)</f>
        <v>3319.1</v>
      </c>
      <c r="J830" s="106">
        <f>VLOOKUP(A830,Sheet3!A:E,5,FALSE)</f>
        <v>2550</v>
      </c>
      <c r="L830" s="112">
        <f t="shared" si="32"/>
        <v>0.0450819672131148</v>
      </c>
    </row>
    <row r="831" spans="1:12">
      <c r="A831" s="109">
        <v>45783</v>
      </c>
      <c r="B831" s="106">
        <f>VLOOKUP(A831,港存及港价!A:B,2,FALSE)</f>
        <v>200.74</v>
      </c>
      <c r="C831" s="106">
        <v>3850</v>
      </c>
      <c r="D831" s="106">
        <f>VLOOKUP(A831,Sheet4!A:C,2,FALSE)</f>
        <v>859</v>
      </c>
      <c r="E831" s="106">
        <f>VLOOKUP(A831,Sheet5!A:B,2,FALSE)</f>
        <v>7.2171</v>
      </c>
      <c r="F831" s="106">
        <f>VLOOKUP(A831,Sheet6!A:B,2,FALSE)</f>
        <v>99.24</v>
      </c>
      <c r="G831" s="106">
        <f>VLOOKUP(A831,WTI原油期货!A:B,2,FALSE)</f>
        <v>59.09</v>
      </c>
      <c r="H831" s="106">
        <f>VLOOKUP(A831,天然气期货!A:B,2,FALSE)</f>
        <v>3.463</v>
      </c>
      <c r="I831" s="111">
        <f>VLOOKUP(A831,黄金期货!A:B,2,FALSE)</f>
        <v>3422.8</v>
      </c>
      <c r="J831" s="106">
        <f>VLOOKUP(A831,Sheet3!A:E,5,FALSE)</f>
        <v>2550</v>
      </c>
      <c r="L831" s="112">
        <f t="shared" si="32"/>
        <v>0</v>
      </c>
    </row>
    <row r="832" spans="1:12">
      <c r="A832" s="109">
        <v>45784</v>
      </c>
      <c r="B832" s="106">
        <f>VLOOKUP(A832,港存及港价!A:B,2,FALSE)</f>
        <v>199.95</v>
      </c>
      <c r="C832" s="106">
        <v>3850</v>
      </c>
      <c r="D832" s="106">
        <f>VLOOKUP(A832,Sheet4!A:C,2,FALSE)</f>
        <v>857</v>
      </c>
      <c r="E832" s="106">
        <f>VLOOKUP(A832,Sheet5!A:B,2,FALSE)</f>
        <v>7.2253</v>
      </c>
      <c r="F832" s="106">
        <f>VLOOKUP(A832,Sheet6!A:B,2,FALSE)</f>
        <v>99.61</v>
      </c>
      <c r="G832" s="106">
        <f>VLOOKUP(A832,WTI原油期货!A:B,2,FALSE)</f>
        <v>58.07</v>
      </c>
      <c r="H832" s="106">
        <f>VLOOKUP(A832,天然气期货!A:B,2,FALSE)</f>
        <v>3.621</v>
      </c>
      <c r="I832" s="111">
        <f>VLOOKUP(A832,黄金期货!A:B,2,FALSE)</f>
        <v>3391.9</v>
      </c>
      <c r="J832" s="106">
        <f>VLOOKUP(A832,Sheet3!A:E,5,FALSE)</f>
        <v>2610</v>
      </c>
      <c r="L832" s="112">
        <f t="shared" si="32"/>
        <v>0.0235294117647059</v>
      </c>
    </row>
    <row r="833" spans="1:12">
      <c r="A833" s="109">
        <v>45785</v>
      </c>
      <c r="B833" s="106">
        <f>VLOOKUP(A833,港存及港价!A:B,2,FALSE)</f>
        <v>201.7</v>
      </c>
      <c r="C833" s="106">
        <v>3850</v>
      </c>
      <c r="D833" s="106">
        <f>VLOOKUP(A833,Sheet4!A:C,2,FALSE)</f>
        <v>857</v>
      </c>
      <c r="E833" s="106">
        <f>VLOOKUP(A833,Sheet5!A:B,2,FALSE)</f>
        <v>7.2348</v>
      </c>
      <c r="F833" s="106">
        <f>VLOOKUP(A833,Sheet6!A:B,2,FALSE)</f>
        <v>100.64</v>
      </c>
      <c r="G833" s="106">
        <f>VLOOKUP(A833,WTI原油期货!A:B,2,FALSE)</f>
        <v>59.91</v>
      </c>
      <c r="H833" s="106">
        <f>VLOOKUP(A833,天然气期货!A:B,2,FALSE)</f>
        <v>3.592</v>
      </c>
      <c r="I833" s="111">
        <f>VLOOKUP(A833,黄金期货!A:B,2,FALSE)</f>
        <v>3306</v>
      </c>
      <c r="J833" s="106">
        <f>VLOOKUP(A833,Sheet3!A:E,5,FALSE)</f>
        <v>2610</v>
      </c>
      <c r="L833" s="112">
        <f t="shared" si="32"/>
        <v>0</v>
      </c>
    </row>
    <row r="834" spans="1:12">
      <c r="A834" s="109">
        <v>45786</v>
      </c>
      <c r="B834" s="106">
        <f>VLOOKUP(A834,港存及港价!A:B,2,FALSE)</f>
        <v>201.3</v>
      </c>
      <c r="C834" s="106">
        <v>3850</v>
      </c>
      <c r="D834" s="106">
        <f>VLOOKUP(A834,Sheet4!A:C,2,FALSE)</f>
        <v>856</v>
      </c>
      <c r="E834" s="106">
        <f>VLOOKUP(A834,Sheet5!A:B,2,FALSE)</f>
        <v>7.237</v>
      </c>
      <c r="F834" s="106">
        <f>VLOOKUP(A834,Sheet6!A:B,2,FALSE)</f>
        <v>100.34</v>
      </c>
      <c r="G834" s="106">
        <f>VLOOKUP(A834,WTI原油期货!A:B,2,FALSE)</f>
        <v>61.02</v>
      </c>
      <c r="H834" s="106">
        <f>VLOOKUP(A834,天然气期货!A:B,2,FALSE)</f>
        <v>3.795</v>
      </c>
      <c r="I834" s="111">
        <f>VLOOKUP(A834,黄金期货!A:B,2,FALSE)</f>
        <v>3344</v>
      </c>
      <c r="J834" s="106">
        <f>VLOOKUP(A834,Sheet3!A:E,5,FALSE)</f>
        <v>2600</v>
      </c>
      <c r="L834" s="112">
        <f t="shared" si="32"/>
        <v>-0.00383141762452107</v>
      </c>
    </row>
    <row r="835" spans="1:12">
      <c r="A835" s="109">
        <v>45789</v>
      </c>
      <c r="B835" s="106">
        <f>VLOOKUP(A835,港存及港价!A:B,2,FALSE)</f>
        <v>198.45</v>
      </c>
      <c r="C835" s="106">
        <v>3850</v>
      </c>
      <c r="D835" s="106">
        <f>VLOOKUP(A835,Sheet4!A:C,2,FALSE)</f>
        <v>857</v>
      </c>
      <c r="E835" s="106">
        <f>VLOOKUP(A835,Sheet5!A:B,2,FALSE)</f>
        <v>7.2029</v>
      </c>
      <c r="F835" s="106">
        <f>VLOOKUP(A835,Sheet6!A:B,2,FALSE)</f>
        <v>101.79</v>
      </c>
      <c r="G835" s="106">
        <f>VLOOKUP(A835,WTI原油期货!A:B,2,FALSE)</f>
        <v>61.56</v>
      </c>
      <c r="H835" s="106">
        <f>VLOOKUP(A835,天然气期货!A:B,2,FALSE)</f>
        <v>3.646</v>
      </c>
      <c r="I835" s="111">
        <f>VLOOKUP(A835,黄金期货!A:B,2,FALSE)</f>
        <v>3228</v>
      </c>
      <c r="J835" s="106">
        <f>VLOOKUP(A835,Sheet3!A:E,5,FALSE)</f>
        <v>2600</v>
      </c>
      <c r="L835" s="112">
        <f t="shared" ref="L835:L882" si="33">(J835-J834)/J834</f>
        <v>0</v>
      </c>
    </row>
    <row r="836" spans="1:12">
      <c r="A836" s="109">
        <v>45790</v>
      </c>
      <c r="B836" s="106">
        <f>VLOOKUP(A836,港存及港价!A:B,2,FALSE)</f>
        <v>199.45</v>
      </c>
      <c r="C836" s="106">
        <v>3850</v>
      </c>
      <c r="D836" s="106">
        <f>VLOOKUP(A836,Sheet4!A:C,2,FALSE)</f>
        <v>859</v>
      </c>
      <c r="E836" s="106">
        <f>VLOOKUP(A836,Sheet5!A:B,2,FALSE)</f>
        <v>7.2064</v>
      </c>
      <c r="F836" s="106">
        <f>VLOOKUP(A836,Sheet6!A:B,2,FALSE)</f>
        <v>101</v>
      </c>
      <c r="G836" s="106">
        <f>VLOOKUP(A836,WTI原油期货!A:B,2,FALSE)</f>
        <v>63.25</v>
      </c>
      <c r="H836" s="106">
        <f>VLOOKUP(A836,天然气期货!A:B,2,FALSE)</f>
        <v>3.647</v>
      </c>
      <c r="I836" s="111">
        <f>VLOOKUP(A836,黄金期货!A:B,2,FALSE)</f>
        <v>3247.8</v>
      </c>
      <c r="J836" s="106">
        <f>VLOOKUP(A836,Sheet3!A:E,5,FALSE)</f>
        <v>2585</v>
      </c>
      <c r="L836" s="112">
        <f t="shared" si="33"/>
        <v>-0.00576923076923077</v>
      </c>
    </row>
    <row r="837" spans="1:12">
      <c r="A837" s="109">
        <v>45791</v>
      </c>
      <c r="B837" s="106">
        <f>VLOOKUP(A837,港存及港价!A:B,2,FALSE)</f>
        <v>197.8</v>
      </c>
      <c r="C837" s="106">
        <v>3850</v>
      </c>
      <c r="D837" s="106">
        <f>VLOOKUP(A837,Sheet4!A:C,2,FALSE)</f>
        <v>864</v>
      </c>
      <c r="E837" s="106">
        <f>VLOOKUP(A837,Sheet5!A:B,2,FALSE)</f>
        <v>7.2085</v>
      </c>
      <c r="F837" s="106">
        <f>VLOOKUP(A837,Sheet6!A:B,2,FALSE)</f>
        <v>101.04</v>
      </c>
      <c r="G837" s="106">
        <f>VLOOKUP(A837,WTI原油期货!A:B,2,FALSE)</f>
        <v>62.68</v>
      </c>
      <c r="H837" s="106">
        <f>VLOOKUP(A837,天然气期货!A:B,2,FALSE)</f>
        <v>3.492</v>
      </c>
      <c r="I837" s="111">
        <f>VLOOKUP(A837,黄金期货!A:B,2,FALSE)</f>
        <v>3188.3</v>
      </c>
      <c r="J837" s="106">
        <f>VLOOKUP(A837,Sheet3!A:E,5,FALSE)</f>
        <v>2570</v>
      </c>
      <c r="L837" s="112">
        <f t="shared" si="33"/>
        <v>-0.00580270793036751</v>
      </c>
    </row>
    <row r="838" spans="1:12">
      <c r="A838" s="109">
        <v>45792</v>
      </c>
      <c r="B838" s="106">
        <f>VLOOKUP(A838,港存及港价!A:B,2,FALSE)</f>
        <v>197.95</v>
      </c>
      <c r="C838" s="106">
        <v>3850</v>
      </c>
      <c r="D838" s="106">
        <f>VLOOKUP(A838,Sheet4!A:C,2,FALSE)</f>
        <v>866</v>
      </c>
      <c r="E838" s="106">
        <f>VLOOKUP(A838,Sheet5!A:B,2,FALSE)</f>
        <v>7.2073</v>
      </c>
      <c r="F838" s="106">
        <f>VLOOKUP(A838,Sheet6!A:B,2,FALSE)</f>
        <v>100.88</v>
      </c>
      <c r="G838" s="106">
        <f>VLOOKUP(A838,WTI原油期货!A:B,2,FALSE)</f>
        <v>61.15</v>
      </c>
      <c r="H838" s="106">
        <f>VLOOKUP(A838,天然气期货!A:B,2,FALSE)</f>
        <v>3.362</v>
      </c>
      <c r="I838" s="111">
        <f>VLOOKUP(A838,黄金期货!A:B,2,FALSE)</f>
        <v>3226.6</v>
      </c>
      <c r="J838" s="106">
        <f>VLOOKUP(A838,Sheet3!A:E,5,FALSE)</f>
        <v>2570</v>
      </c>
      <c r="L838" s="112">
        <f t="shared" si="33"/>
        <v>0</v>
      </c>
    </row>
    <row r="839" spans="1:12">
      <c r="A839" s="109">
        <v>45793</v>
      </c>
      <c r="B839" s="106">
        <f>VLOOKUP(A839,港存及港价!A:B,2,FALSE)</f>
        <v>196.85</v>
      </c>
      <c r="C839" s="106">
        <v>3850</v>
      </c>
      <c r="D839" s="106">
        <f>VLOOKUP(A839,Sheet4!A:C,2,FALSE)</f>
        <v>865</v>
      </c>
      <c r="E839" s="106">
        <f>VLOOKUP(A839,Sheet5!A:B,2,FALSE)</f>
        <v>7.2095</v>
      </c>
      <c r="F839" s="106">
        <f>VLOOKUP(A839,Sheet6!A:B,2,FALSE)</f>
        <v>101.09</v>
      </c>
      <c r="G839" s="106">
        <f>VLOOKUP(A839,WTI原油期货!A:B,2,FALSE)</f>
        <v>61.97</v>
      </c>
      <c r="H839" s="106">
        <f>VLOOKUP(A839,天然气期货!A:B,2,FALSE)</f>
        <v>3.334</v>
      </c>
      <c r="I839" s="111">
        <f>VLOOKUP(A839,黄金期货!A:B,2,FALSE)</f>
        <v>3187.2</v>
      </c>
      <c r="J839" s="106">
        <f>VLOOKUP(A839,Sheet3!A:E,5,FALSE)</f>
        <v>2560</v>
      </c>
      <c r="L839" s="112">
        <f t="shared" si="33"/>
        <v>-0.00389105058365759</v>
      </c>
    </row>
    <row r="840" spans="1:12">
      <c r="A840" s="109">
        <v>45796</v>
      </c>
      <c r="B840" s="106">
        <f>VLOOKUP(A840,港存及港价!A:B,2,FALSE)</f>
        <v>195.38</v>
      </c>
      <c r="C840" s="106">
        <v>3850</v>
      </c>
      <c r="D840" s="106">
        <f>VLOOKUP(A840,Sheet4!A:C,2,FALSE)</f>
        <v>863</v>
      </c>
      <c r="E840" s="106">
        <f>VLOOKUP(A840,Sheet5!A:B,2,FALSE)</f>
        <v>7.2149</v>
      </c>
      <c r="F840" s="106">
        <f>VLOOKUP(A840,Sheet6!A:B,2,FALSE)</f>
        <v>100.43</v>
      </c>
      <c r="G840" s="106">
        <f>VLOOKUP(A840,WTI原油期货!A:B,2,FALSE)</f>
        <v>62.69</v>
      </c>
      <c r="H840" s="106">
        <f>VLOOKUP(A840,天然气期货!A:B,2,FALSE)</f>
        <v>3.452</v>
      </c>
      <c r="I840" s="111">
        <f>VLOOKUP(A840,黄金期货!A:B,2,FALSE)</f>
        <v>3261.4</v>
      </c>
      <c r="J840" s="106">
        <f>VLOOKUP(A840,Sheet3!A:E,5,FALSE)</f>
        <v>2525</v>
      </c>
      <c r="L840" s="112">
        <f t="shared" si="33"/>
        <v>-0.013671875</v>
      </c>
    </row>
    <row r="841" spans="1:12">
      <c r="A841" s="109">
        <v>45797</v>
      </c>
      <c r="B841" s="106">
        <f>VLOOKUP(A841,港存及港价!A:B,2,FALSE)</f>
        <v>195.25</v>
      </c>
      <c r="C841" s="106">
        <v>3850</v>
      </c>
      <c r="D841" s="106">
        <f>VLOOKUP(A841,Sheet4!A:C,2,FALSE)</f>
        <v>863</v>
      </c>
      <c r="E841" s="106">
        <f>VLOOKUP(A841,Sheet5!A:B,2,FALSE)</f>
        <v>7.2195</v>
      </c>
      <c r="F841" s="106">
        <f>VLOOKUP(A841,Sheet6!A:B,2,FALSE)</f>
        <v>100.12</v>
      </c>
      <c r="G841" s="106">
        <f>VLOOKUP(A841,WTI原油期货!A:B,2,FALSE)</f>
        <v>62.56</v>
      </c>
      <c r="H841" s="106">
        <f>VLOOKUP(A841,天然气期货!A:B,2,FALSE)</f>
        <v>3.767</v>
      </c>
      <c r="I841" s="111">
        <f>VLOOKUP(A841,黄金期货!A:B,2,FALSE)</f>
        <v>3312.6</v>
      </c>
      <c r="J841" s="106">
        <f>VLOOKUP(A841,Sheet3!A:E,5,FALSE)</f>
        <v>2480</v>
      </c>
      <c r="L841" s="112">
        <f t="shared" si="33"/>
        <v>-0.0178217821782178</v>
      </c>
    </row>
    <row r="842" spans="1:12">
      <c r="A842" s="109">
        <v>45798</v>
      </c>
      <c r="B842" s="106">
        <f>VLOOKUP(A842,港存及港价!A:B,2,FALSE)</f>
        <v>195.52</v>
      </c>
      <c r="C842" s="106">
        <v>3850</v>
      </c>
      <c r="D842" s="106">
        <f>VLOOKUP(A842,Sheet4!A:C,2,FALSE)</f>
        <v>863</v>
      </c>
      <c r="E842" s="106">
        <f>VLOOKUP(A842,Sheet5!A:B,2,FALSE)</f>
        <v>7.2025</v>
      </c>
      <c r="F842" s="106">
        <f>VLOOKUP(A842,Sheet6!A:B,2,FALSE)</f>
        <v>99.56</v>
      </c>
      <c r="G842" s="106">
        <f>VLOOKUP(A842,WTI原油期货!A:B,2,FALSE)</f>
        <v>61.57</v>
      </c>
      <c r="H842" s="106">
        <f>VLOOKUP(A842,天然气期货!A:B,2,FALSE)</f>
        <v>3.737</v>
      </c>
      <c r="I842" s="111">
        <f>VLOOKUP(A842,黄金期货!A:B,2,FALSE)</f>
        <v>3341.9</v>
      </c>
      <c r="J842" s="106">
        <f>VLOOKUP(A842,Sheet3!A:E,5,FALSE)</f>
        <v>2490</v>
      </c>
      <c r="L842" s="112">
        <f t="shared" si="33"/>
        <v>0.00403225806451613</v>
      </c>
    </row>
    <row r="843" spans="1:12">
      <c r="A843" s="109">
        <v>45799</v>
      </c>
      <c r="B843" s="106">
        <f>VLOOKUP(A843,港存及港价!A:B,2,FALSE)</f>
        <v>195.42</v>
      </c>
      <c r="C843" s="106">
        <v>3850</v>
      </c>
      <c r="D843" s="106">
        <f>VLOOKUP(A843,Sheet4!A:C,2,FALSE)</f>
        <v>863</v>
      </c>
      <c r="E843" s="106">
        <f>VLOOKUP(A843,Sheet5!A:B,2,FALSE)</f>
        <v>7.2043</v>
      </c>
      <c r="F843" s="106">
        <f>VLOOKUP(A843,Sheet6!A:B,2,FALSE)</f>
        <v>99.96</v>
      </c>
      <c r="G843" s="106">
        <f>VLOOKUP(A843,WTI原油期货!A:B,2,FALSE)</f>
        <v>61.2</v>
      </c>
      <c r="H843" s="106">
        <f>VLOOKUP(A843,天然气期货!A:B,2,FALSE)</f>
        <v>3.253</v>
      </c>
      <c r="I843" s="111">
        <f>VLOOKUP(A843,黄金期货!A:B,2,FALSE)</f>
        <v>3323.6</v>
      </c>
      <c r="J843" s="106">
        <f>VLOOKUP(A843,Sheet3!A:E,5,FALSE)</f>
        <v>2480</v>
      </c>
      <c r="L843" s="112">
        <f t="shared" si="33"/>
        <v>-0.00401606425702811</v>
      </c>
    </row>
    <row r="844" spans="1:12">
      <c r="A844" s="109">
        <v>45800</v>
      </c>
      <c r="B844" s="106">
        <f>VLOOKUP(A844,港存及港价!A:B,2,FALSE)</f>
        <v>194.52</v>
      </c>
      <c r="C844" s="106">
        <v>3850</v>
      </c>
      <c r="D844" s="106">
        <f>VLOOKUP(A844,Sheet4!A:C,2,FALSE)</f>
        <v>862</v>
      </c>
      <c r="E844" s="106">
        <f>VLOOKUP(A844,Sheet5!A:B,2,FALSE)</f>
        <v>7.1806</v>
      </c>
      <c r="F844" s="106">
        <f>VLOOKUP(A844,Sheet6!A:B,2,FALSE)</f>
        <v>99.11</v>
      </c>
      <c r="G844" s="106">
        <f>VLOOKUP(A844,WTI原油期货!A:B,2,FALSE)</f>
        <v>61.53</v>
      </c>
      <c r="H844" s="106">
        <f>VLOOKUP(A844,天然气期货!A:B,2,FALSE)</f>
        <v>3.334</v>
      </c>
      <c r="I844" s="111">
        <f>VLOOKUP(A844,黄金期货!A:B,2,FALSE)</f>
        <v>3394.5</v>
      </c>
      <c r="J844" s="106">
        <f>VLOOKUP(A844,Sheet3!A:E,5,FALSE)</f>
        <v>2490</v>
      </c>
      <c r="L844" s="112">
        <f t="shared" si="33"/>
        <v>0.00403225806451613</v>
      </c>
    </row>
    <row r="845" spans="1:12">
      <c r="A845" s="109">
        <v>45803</v>
      </c>
      <c r="B845" s="106">
        <f>VLOOKUP(A845,港存及港价!A:B,2,FALSE)</f>
        <v>200.1</v>
      </c>
      <c r="C845" s="106">
        <v>3850</v>
      </c>
      <c r="D845" s="106">
        <f>VLOOKUP(A845,Sheet4!A:C,2,FALSE)</f>
        <v>860</v>
      </c>
      <c r="E845" s="106">
        <f>VLOOKUP(A845,Sheet5!A:B,2,FALSE)</f>
        <v>7.1869</v>
      </c>
      <c r="F845" s="106">
        <f>VLOOKUP(A845,Sheet6!A:B,2,FALSE)</f>
        <v>99.11</v>
      </c>
      <c r="G845" s="106">
        <f>VLOOKUP(A845,WTI原油期货!A:B,2,FALSE)</f>
        <v>61.49</v>
      </c>
      <c r="H845" s="106">
        <f>VLOOKUP(A845,天然气期货!A:B,2,FALSE)</f>
        <v>3.667</v>
      </c>
      <c r="I845" s="111">
        <f>VLOOKUP(A845,黄金期货!A:B,2,FALSE)</f>
        <v>3374.47</v>
      </c>
      <c r="J845" s="106">
        <f>VLOOKUP(A845,Sheet3!A:E,5,FALSE)</f>
        <v>2515</v>
      </c>
      <c r="L845" s="112">
        <f t="shared" si="33"/>
        <v>0.0100401606425703</v>
      </c>
    </row>
    <row r="846" spans="1:12">
      <c r="A846" s="109">
        <v>45804</v>
      </c>
      <c r="B846" s="106">
        <f>VLOOKUP(A846,港存及港价!A:B,2,FALSE)</f>
        <v>199.5</v>
      </c>
      <c r="C846" s="106">
        <v>3850</v>
      </c>
      <c r="D846" s="106">
        <f>VLOOKUP(A846,Sheet4!A:C,2,FALSE)</f>
        <v>860</v>
      </c>
      <c r="E846" s="106">
        <f>VLOOKUP(A846,Sheet5!A:B,2,FALSE)</f>
        <v>7.1956</v>
      </c>
      <c r="F846" s="106">
        <f>VLOOKUP(A846,Sheet6!A:B,2,FALSE)</f>
        <v>99.52</v>
      </c>
      <c r="G846" s="106">
        <f>VLOOKUP(A846,WTI原油期货!A:B,2,FALSE)</f>
        <v>60.89</v>
      </c>
      <c r="H846" s="106">
        <f>VLOOKUP(A846,天然气期货!A:B,2,FALSE)</f>
        <v>3.398</v>
      </c>
      <c r="I846" s="111">
        <f>VLOOKUP(A846,黄金期货!A:B,2,FALSE)</f>
        <v>3313.7</v>
      </c>
      <c r="J846" s="106">
        <f>VLOOKUP(A846,Sheet3!A:E,5,FALSE)</f>
        <v>2490</v>
      </c>
      <c r="L846" s="112">
        <f t="shared" si="33"/>
        <v>-0.0099403578528827</v>
      </c>
    </row>
    <row r="847" spans="1:12">
      <c r="A847" s="109">
        <v>45805</v>
      </c>
      <c r="B847" s="106">
        <f>VLOOKUP(A847,港存及港价!A:B,2,FALSE)</f>
        <v>198.4</v>
      </c>
      <c r="C847" s="106">
        <v>3850</v>
      </c>
      <c r="D847" s="106">
        <f>VLOOKUP(A847,Sheet4!A:C,2,FALSE)</f>
        <v>859</v>
      </c>
      <c r="E847" s="106">
        <f>VLOOKUP(A847,Sheet5!A:B,2,FALSE)</f>
        <v>7.1948</v>
      </c>
      <c r="F847" s="106">
        <f>VLOOKUP(A847,Sheet6!A:B,2,FALSE)</f>
        <v>99.88</v>
      </c>
      <c r="G847" s="106">
        <f>VLOOKUP(A847,WTI原油期货!A:B,2,FALSE)</f>
        <v>61.84</v>
      </c>
      <c r="H847" s="106">
        <f>VLOOKUP(A847,天然气期货!A:B,2,FALSE)</f>
        <v>3.204</v>
      </c>
      <c r="I847" s="111">
        <f>VLOOKUP(A847,黄金期货!A:B,2,FALSE)</f>
        <v>3308.3</v>
      </c>
      <c r="J847" s="106">
        <f>VLOOKUP(A847,Sheet3!A:E,5,FALSE)</f>
        <v>2475</v>
      </c>
      <c r="L847" s="112">
        <f t="shared" si="33"/>
        <v>-0.00602409638554217</v>
      </c>
    </row>
    <row r="848" spans="1:12">
      <c r="A848" s="109">
        <v>45806</v>
      </c>
      <c r="B848" s="106">
        <f>VLOOKUP(A848,港存及港价!A:B,2,FALSE)</f>
        <v>199.5</v>
      </c>
      <c r="C848" s="106">
        <v>3850</v>
      </c>
      <c r="D848" s="106">
        <f>VLOOKUP(A848,Sheet4!A:C,2,FALSE)</f>
        <v>858</v>
      </c>
      <c r="E848" s="106">
        <f>VLOOKUP(A848,Sheet5!A:B,2,FALSE)</f>
        <v>7.1859</v>
      </c>
      <c r="F848" s="106">
        <f>VLOOKUP(A848,Sheet6!A:B,2,FALSE)</f>
        <v>99.28</v>
      </c>
      <c r="G848" s="106">
        <f>VLOOKUP(A848,WTI原油期货!A:B,2,FALSE)</f>
        <v>60.94</v>
      </c>
      <c r="H848" s="106">
        <f>VLOOKUP(A848,天然气期货!A:B,2,FALSE)</f>
        <v>3.522</v>
      </c>
      <c r="I848" s="111">
        <f>VLOOKUP(A848,黄金期货!A:B,2,FALSE)</f>
        <v>3343.9</v>
      </c>
      <c r="J848" s="106">
        <f>VLOOKUP(A848,Sheet3!A:E,5,FALSE)</f>
        <v>2400</v>
      </c>
      <c r="L848" s="112">
        <f t="shared" si="33"/>
        <v>-0.0303030303030303</v>
      </c>
    </row>
    <row r="849" spans="1:12">
      <c r="A849" s="109">
        <v>45807</v>
      </c>
      <c r="B849" s="106">
        <f>VLOOKUP(A849,港存及港价!A:B,2,FALSE)</f>
        <v>200.5</v>
      </c>
      <c r="C849" s="106">
        <v>3850</v>
      </c>
      <c r="D849" s="106">
        <f>VLOOKUP(A849,Sheet4!A:C,2,FALSE)</f>
        <v>856</v>
      </c>
      <c r="E849" s="106">
        <f>VLOOKUP(A849,Sheet5!A:B,2,FALSE)</f>
        <v>7.1998</v>
      </c>
      <c r="F849" s="106">
        <f>VLOOKUP(A849,Sheet6!A:B,2,FALSE)</f>
        <v>99.33</v>
      </c>
      <c r="G849" s="106">
        <f>VLOOKUP(A849,WTI原油期货!A:B,2,FALSE)</f>
        <v>60.79</v>
      </c>
      <c r="H849" s="106">
        <f>VLOOKUP(A849,天然气期货!A:B,2,FALSE)</f>
        <v>3.447</v>
      </c>
      <c r="I849" s="111">
        <f>VLOOKUP(A849,黄金期货!A:B,2,FALSE)</f>
        <v>3315.4</v>
      </c>
      <c r="J849" s="106">
        <f>VLOOKUP(A849,Sheet3!A:E,5,FALSE)</f>
        <v>2400</v>
      </c>
      <c r="L849" s="112">
        <f t="shared" si="33"/>
        <v>0</v>
      </c>
    </row>
    <row r="850" spans="1:12">
      <c r="A850" s="109">
        <v>45811</v>
      </c>
      <c r="B850" s="106">
        <f>VLOOKUP(A850,港存及港价!A:B,2,FALSE)</f>
        <v>206.53</v>
      </c>
      <c r="C850" s="106">
        <v>3850</v>
      </c>
      <c r="D850" s="106">
        <f>VLOOKUP(A850,Sheet4!A:C,2,FALSE)</f>
        <v>853</v>
      </c>
      <c r="E850" s="106">
        <f>VLOOKUP(A850,Sheet5!A:B,2,FALSE)</f>
        <v>7.1881</v>
      </c>
      <c r="F850" s="106">
        <f>VLOOKUP(A850,Sheet6!A:B,2,FALSE)</f>
        <v>99.23</v>
      </c>
      <c r="G850" s="106">
        <f>VLOOKUP(A850,WTI原油期货!A:B,2,FALSE)</f>
        <v>63.41</v>
      </c>
      <c r="H850" s="106">
        <f>VLOOKUP(A850,天然气期货!A:B,2,FALSE)</f>
        <v>3.722</v>
      </c>
      <c r="I850" s="111">
        <f>VLOOKUP(A850,黄金期货!A:B,2,FALSE)</f>
        <v>3377.1</v>
      </c>
      <c r="J850" s="106">
        <f>VLOOKUP(A850,Sheet3!A:E,5,FALSE)</f>
        <v>2385</v>
      </c>
      <c r="L850" s="112">
        <f t="shared" si="33"/>
        <v>-0.00625</v>
      </c>
    </row>
    <row r="851" spans="1:12">
      <c r="A851" s="109">
        <v>45812</v>
      </c>
      <c r="B851" s="106">
        <f>VLOOKUP(A851,港存及港价!A:B,2,FALSE)</f>
        <v>206.5</v>
      </c>
      <c r="C851" s="106">
        <v>3850</v>
      </c>
      <c r="D851" s="106">
        <f>VLOOKUP(A851,Sheet4!A:C,2,FALSE)</f>
        <v>852</v>
      </c>
      <c r="E851" s="106">
        <f>VLOOKUP(A851,Sheet5!A:B,2,FALSE)</f>
        <v>7.1852</v>
      </c>
      <c r="F851" s="106">
        <f>VLOOKUP(A851,Sheet6!A:B,2,FALSE)</f>
        <v>98.79</v>
      </c>
      <c r="G851" s="106">
        <f>VLOOKUP(A851,WTI原油期货!A:B,2,FALSE)</f>
        <v>62.85</v>
      </c>
      <c r="H851" s="106">
        <f>VLOOKUP(A851,天然气期货!A:B,2,FALSE)</f>
        <v>3.716</v>
      </c>
      <c r="I851" s="111">
        <f>VLOOKUP(A851,黄金期货!A:B,2,FALSE)</f>
        <v>3399.2</v>
      </c>
      <c r="J851" s="106">
        <f>VLOOKUP(A851,Sheet3!A:E,5,FALSE)</f>
        <v>2280</v>
      </c>
      <c r="L851" s="112">
        <f t="shared" si="33"/>
        <v>-0.0440251572327044</v>
      </c>
    </row>
    <row r="852" spans="1:12">
      <c r="A852" s="109">
        <v>45813</v>
      </c>
      <c r="B852" s="106">
        <f>VLOOKUP(A852,港存及港价!A:B,2,FALSE)</f>
        <v>204.83</v>
      </c>
      <c r="C852" s="106">
        <v>3850</v>
      </c>
      <c r="D852" s="106">
        <f>VLOOKUP(A852,Sheet4!A:C,2,FALSE)</f>
        <v>851</v>
      </c>
      <c r="E852" s="106">
        <f>VLOOKUP(A852,Sheet5!A:B,2,FALSE)</f>
        <v>7.176</v>
      </c>
      <c r="F852" s="106">
        <f>VLOOKUP(A852,Sheet6!A:B,2,FALSE)</f>
        <v>98.74</v>
      </c>
      <c r="G852" s="106">
        <f>VLOOKUP(A852,WTI原油期货!A:B,2,FALSE)</f>
        <v>63.37</v>
      </c>
      <c r="H852" s="106">
        <f>VLOOKUP(A852,天然气期货!A:B,2,FALSE)</f>
        <v>3.677</v>
      </c>
      <c r="I852" s="111">
        <f>VLOOKUP(A852,黄金期货!A:B,2,FALSE)</f>
        <v>3375.1</v>
      </c>
      <c r="J852" s="106">
        <f>VLOOKUP(A852,Sheet3!A:E,5,FALSE)</f>
        <v>2280</v>
      </c>
      <c r="L852" s="112">
        <f t="shared" si="33"/>
        <v>0</v>
      </c>
    </row>
    <row r="853" spans="1:12">
      <c r="A853" s="109">
        <v>45814</v>
      </c>
      <c r="B853" s="106">
        <f>VLOOKUP(A853,港存及港价!A:B,2,FALSE)</f>
        <v>204.8</v>
      </c>
      <c r="C853" s="106">
        <v>3850</v>
      </c>
      <c r="D853" s="106">
        <f>VLOOKUP(A853,Sheet4!A:C,2,FALSE)</f>
        <v>851</v>
      </c>
      <c r="E853" s="106">
        <f>VLOOKUP(A853,Sheet5!A:B,2,FALSE)</f>
        <v>7.1896</v>
      </c>
      <c r="F853" s="106">
        <f>VLOOKUP(A853,Sheet6!A:B,2,FALSE)</f>
        <v>99.19</v>
      </c>
      <c r="G853" s="106">
        <f>VLOOKUP(A853,WTI原油期货!A:B,2,FALSE)</f>
        <v>64.58</v>
      </c>
      <c r="H853" s="106">
        <f>VLOOKUP(A853,天然气期货!A:B,2,FALSE)</f>
        <v>3.784</v>
      </c>
      <c r="I853" s="111">
        <f>VLOOKUP(A853,黄金期货!A:B,2,FALSE)</f>
        <v>3346.6</v>
      </c>
      <c r="J853" s="106">
        <f>VLOOKUP(A853,Sheet3!A:E,5,FALSE)</f>
        <v>2285</v>
      </c>
      <c r="L853" s="112">
        <f t="shared" si="33"/>
        <v>0.00219298245614035</v>
      </c>
    </row>
    <row r="854" spans="1:12">
      <c r="A854" s="109">
        <v>45817</v>
      </c>
      <c r="B854" s="106">
        <f>VLOOKUP(A854,港存及港价!A:B,2,FALSE)</f>
        <v>216.38</v>
      </c>
      <c r="C854" s="106">
        <v>3850</v>
      </c>
      <c r="D854" s="106">
        <f>VLOOKUP(A854,Sheet4!A:C,2,FALSE)</f>
        <v>850</v>
      </c>
      <c r="E854" s="106">
        <f>VLOOKUP(A854,Sheet5!A:B,2,FALSE)</f>
        <v>7.1811</v>
      </c>
      <c r="F854" s="106">
        <f>VLOOKUP(A854,Sheet6!A:B,2,FALSE)</f>
        <v>98.94</v>
      </c>
      <c r="G854" s="106">
        <f>VLOOKUP(A854,WTI原油期货!A:B,2,FALSE)</f>
        <v>64.22</v>
      </c>
      <c r="H854" s="106">
        <f>VLOOKUP(A854,天然气期货!A:B,2,FALSE)</f>
        <v>3.635</v>
      </c>
      <c r="I854" s="111">
        <f>VLOOKUP(A854,黄金期货!A:B,2,FALSE)</f>
        <v>3354.9</v>
      </c>
      <c r="J854" s="106">
        <f>VLOOKUP(A854,Sheet3!A:E,5,FALSE)</f>
        <v>2290</v>
      </c>
      <c r="L854" s="112">
        <f t="shared" si="33"/>
        <v>0.00218818380743982</v>
      </c>
    </row>
    <row r="855" spans="1:12">
      <c r="A855" s="109">
        <v>45818</v>
      </c>
      <c r="B855" s="106">
        <f>VLOOKUP(A855,港存及港价!A:B,2,FALSE)</f>
        <v>220.45</v>
      </c>
      <c r="C855" s="106">
        <v>3850</v>
      </c>
      <c r="D855" s="106">
        <f>VLOOKUP(A855,Sheet4!A:C,2,FALSE)</f>
        <v>850</v>
      </c>
      <c r="E855" s="106">
        <f>VLOOKUP(A855,Sheet5!A:B,2,FALSE)</f>
        <v>7.1877</v>
      </c>
      <c r="F855" s="106">
        <f>VLOOKUP(A855,Sheet6!A:B,2,FALSE)</f>
        <v>99.1</v>
      </c>
      <c r="G855" s="106">
        <f>VLOOKUP(A855,WTI原油期货!A:B,2,FALSE)</f>
        <v>63.91</v>
      </c>
      <c r="H855" s="106">
        <f>VLOOKUP(A855,天然气期货!A:B,2,FALSE)</f>
        <v>3.533</v>
      </c>
      <c r="I855" s="111">
        <f>VLOOKUP(A855,黄金期货!A:B,2,FALSE)</f>
        <v>3343.4</v>
      </c>
      <c r="J855" s="106">
        <f>VLOOKUP(A855,Sheet3!A:E,5,FALSE)</f>
        <v>2285</v>
      </c>
      <c r="L855" s="112">
        <f t="shared" si="33"/>
        <v>-0.00218340611353712</v>
      </c>
    </row>
    <row r="856" spans="1:12">
      <c r="A856" s="109">
        <v>45819</v>
      </c>
      <c r="B856" s="106">
        <f>VLOOKUP(A856,港存及港价!A:B,2,FALSE)</f>
        <v>217.93</v>
      </c>
      <c r="C856" s="106">
        <v>3850</v>
      </c>
      <c r="D856" s="106">
        <f>VLOOKUP(A856,Sheet4!A:C,2,FALSE)</f>
        <v>849</v>
      </c>
      <c r="E856" s="106">
        <f>VLOOKUP(A856,Sheet5!A:B,2,FALSE)</f>
        <v>7.1932</v>
      </c>
      <c r="F856" s="106">
        <f>VLOOKUP(A856,Sheet6!A:B,2,FALSE)</f>
        <v>98.63</v>
      </c>
      <c r="G856" s="106">
        <f>VLOOKUP(A856,WTI原油期货!A:B,2,FALSE)</f>
        <v>66.9</v>
      </c>
      <c r="H856" s="106">
        <f>VLOOKUP(A856,天然气期货!A:B,2,FALSE)</f>
        <v>3.507</v>
      </c>
      <c r="I856" s="111">
        <f>VLOOKUP(A856,黄金期货!A:B,2,FALSE)</f>
        <v>3343.7</v>
      </c>
      <c r="J856" s="106">
        <f>VLOOKUP(A856,Sheet3!A:E,5,FALSE)</f>
        <v>2270</v>
      </c>
      <c r="L856" s="112">
        <f t="shared" si="33"/>
        <v>-0.00656455142231947</v>
      </c>
    </row>
    <row r="857" spans="1:12">
      <c r="A857" s="109">
        <v>45820</v>
      </c>
      <c r="B857" s="106">
        <f>VLOOKUP(A857,港存及港价!A:B,2,FALSE)</f>
        <v>214.48</v>
      </c>
      <c r="C857" s="106">
        <v>3850</v>
      </c>
      <c r="D857" s="106">
        <f>VLOOKUP(A857,Sheet4!A:C,2,FALSE)</f>
        <v>850</v>
      </c>
      <c r="E857" s="106">
        <f>VLOOKUP(A857,Sheet5!A:B,2,FALSE)</f>
        <v>7.1733</v>
      </c>
      <c r="F857" s="106">
        <f>VLOOKUP(A857,Sheet6!A:B,2,FALSE)</f>
        <v>97.92</v>
      </c>
      <c r="G857" s="106">
        <f>VLOOKUP(A857,WTI原油期货!A:B,2,FALSE)</f>
        <v>66.64</v>
      </c>
      <c r="H857" s="106">
        <f>VLOOKUP(A857,天然气期货!A:B,2,FALSE)</f>
        <v>3.492</v>
      </c>
      <c r="I857" s="111">
        <f>VLOOKUP(A857,黄金期货!A:B,2,FALSE)</f>
        <v>3402.4</v>
      </c>
      <c r="J857" s="106">
        <f>VLOOKUP(A857,Sheet3!A:E,5,FALSE)</f>
        <v>2260</v>
      </c>
      <c r="L857" s="112">
        <f t="shared" si="33"/>
        <v>-0.00440528634361234</v>
      </c>
    </row>
    <row r="858" spans="1:12">
      <c r="A858" s="109">
        <v>45821</v>
      </c>
      <c r="B858" s="106">
        <f>VLOOKUP(A858,港存及港价!A:B,2,FALSE)</f>
        <v>214.6</v>
      </c>
      <c r="C858" s="106">
        <v>3850</v>
      </c>
      <c r="D858" s="106">
        <f>VLOOKUP(A858,Sheet4!A:C,2,FALSE)</f>
        <v>852</v>
      </c>
      <c r="E858" s="106">
        <f>VLOOKUP(A858,Sheet5!A:B,2,FALSE)</f>
        <v>7.1816</v>
      </c>
      <c r="F858" s="106">
        <f>VLOOKUP(A858,Sheet6!A:B,2,FALSE)</f>
        <v>98.18</v>
      </c>
      <c r="G858" s="106">
        <f>VLOOKUP(A858,WTI原油期货!A:B,2,FALSE)</f>
        <v>71.29</v>
      </c>
      <c r="H858" s="106">
        <f>VLOOKUP(A858,天然气期货!A:B,2,FALSE)</f>
        <v>3.581</v>
      </c>
      <c r="I858" s="111">
        <f>VLOOKUP(A858,黄金期货!A:B,2,FALSE)</f>
        <v>3452.8</v>
      </c>
      <c r="J858" s="106">
        <f>VLOOKUP(A858,Sheet3!A:E,5,FALSE)</f>
        <v>2305</v>
      </c>
      <c r="L858" s="112">
        <f t="shared" si="33"/>
        <v>0.0199115044247788</v>
      </c>
    </row>
    <row r="859" spans="1:12">
      <c r="A859" s="109">
        <v>45824</v>
      </c>
      <c r="B859" s="106">
        <f>VLOOKUP(A859,港存及港价!A:B,2,FALSE)</f>
        <v>215.8</v>
      </c>
      <c r="C859" s="106">
        <v>3850</v>
      </c>
      <c r="D859" s="106">
        <f>VLOOKUP(A859,Sheet4!A:C,2,FALSE)</f>
        <v>856</v>
      </c>
      <c r="E859" s="106">
        <f>VLOOKUP(A859,Sheet5!A:B,2,FALSE)</f>
        <v>7.1798</v>
      </c>
      <c r="F859" s="106">
        <f>VLOOKUP(A859,Sheet6!A:B,2,FALSE)</f>
        <v>98</v>
      </c>
      <c r="G859" s="106">
        <f>VLOOKUP(A859,WTI原油期货!A:B,2,FALSE)</f>
        <v>71.77</v>
      </c>
      <c r="H859" s="106">
        <f>VLOOKUP(A859,天然气期货!A:B,2,FALSE)</f>
        <v>3.844</v>
      </c>
      <c r="I859" s="111">
        <f>VLOOKUP(A859,黄金期货!A:B,2,FALSE)</f>
        <v>3417.3</v>
      </c>
      <c r="J859" s="106">
        <f>VLOOKUP(A859,Sheet3!A:E,5,FALSE)</f>
        <v>2430</v>
      </c>
      <c r="L859" s="113">
        <f t="shared" si="33"/>
        <v>0.0542299349240781</v>
      </c>
    </row>
    <row r="860" spans="1:12">
      <c r="A860" s="109">
        <v>45825</v>
      </c>
      <c r="B860" s="106">
        <f>VLOOKUP(A860,港存及港价!A:B,2,FALSE)</f>
        <v>214.25</v>
      </c>
      <c r="C860" s="106">
        <v>3850</v>
      </c>
      <c r="D860" s="106">
        <f>VLOOKUP(A860,Sheet4!A:C,2,FALSE)</f>
        <v>856</v>
      </c>
      <c r="E860" s="106">
        <f>VLOOKUP(A860,Sheet5!A:B,2,FALSE)</f>
        <v>7.1852</v>
      </c>
      <c r="F860" s="106">
        <f>VLOOKUP(A860,Sheet6!A:B,2,FALSE)</f>
        <v>98.82</v>
      </c>
      <c r="G860" s="106">
        <f>VLOOKUP(A860,WTI原油期货!A:B,2,FALSE)</f>
        <v>74.84</v>
      </c>
      <c r="H860" s="106">
        <f>VLOOKUP(A860,天然气期货!A:B,2,FALSE)</f>
        <v>3.949</v>
      </c>
      <c r="I860" s="111">
        <f>VLOOKUP(A860,黄金期货!A:B,2,FALSE)</f>
        <v>3406.9</v>
      </c>
      <c r="J860" s="106">
        <f>VLOOKUP(A860,Sheet3!A:E,5,FALSE)</f>
        <v>2450</v>
      </c>
      <c r="L860" s="112">
        <f t="shared" si="33"/>
        <v>0.00823045267489712</v>
      </c>
    </row>
    <row r="861" spans="1:12">
      <c r="A861" s="109">
        <v>45826</v>
      </c>
      <c r="B861" s="106">
        <f>VLOOKUP(A861,港存及港价!A:B,2,FALSE)</f>
        <v>213.53</v>
      </c>
      <c r="C861" s="106">
        <v>3850</v>
      </c>
      <c r="D861" s="106">
        <f>VLOOKUP(A861,Sheet4!A:C,2,FALSE)</f>
        <v>858</v>
      </c>
      <c r="E861" s="106">
        <f>VLOOKUP(A861,Sheet5!A:B,2,FALSE)</f>
        <v>7.1894</v>
      </c>
      <c r="F861" s="106">
        <f>VLOOKUP(A861,Sheet6!A:B,2,FALSE)</f>
        <v>98.9</v>
      </c>
      <c r="G861" s="106">
        <f>VLOOKUP(A861,WTI原油期货!A:B,2,FALSE)</f>
        <v>75.14</v>
      </c>
      <c r="H861" s="106">
        <f>VLOOKUP(A861,天然气期货!A:B,2,FALSE)</f>
        <v>4.077</v>
      </c>
      <c r="I861" s="111">
        <f>VLOOKUP(A861,黄金期货!A:B,2,FALSE)</f>
        <v>3408.1</v>
      </c>
      <c r="J861" s="106">
        <f>VLOOKUP(A861,Sheet3!A:E,5,FALSE)</f>
        <v>2465</v>
      </c>
      <c r="L861" s="112">
        <f t="shared" si="33"/>
        <v>0.00612244897959184</v>
      </c>
    </row>
    <row r="862" spans="1:12">
      <c r="A862" s="109">
        <v>45827</v>
      </c>
      <c r="B862" s="106">
        <f>VLOOKUP(A862,港存及港价!A:B,2,FALSE)</f>
        <v>215.96</v>
      </c>
      <c r="C862" s="106">
        <v>3850</v>
      </c>
      <c r="D862" s="106">
        <f>VLOOKUP(A862,Sheet4!A:C,2,FALSE)</f>
        <v>859</v>
      </c>
      <c r="E862" s="106">
        <f>VLOOKUP(A862,Sheet5!A:B,2,FALSE)</f>
        <v>7.1884</v>
      </c>
      <c r="F862" s="106">
        <f>VLOOKUP(A862,Sheet6!A:B,2,FALSE)</f>
        <v>98.9</v>
      </c>
      <c r="G862" s="106">
        <f>VLOOKUP(A862,WTI原油期货!A:B,2,FALSE)</f>
        <v>73.82</v>
      </c>
      <c r="H862" s="106">
        <f>VLOOKUP(A862,天然气期货!A:B,2,FALSE)</f>
        <v>4.086</v>
      </c>
      <c r="I862" s="111">
        <f>VLOOKUP(A862,黄金期货!A:B,2,FALSE)</f>
        <v>3384.97</v>
      </c>
      <c r="J862" s="106">
        <f>VLOOKUP(A862,Sheet3!A:E,5,FALSE)</f>
        <v>2460</v>
      </c>
      <c r="L862" s="112">
        <f t="shared" si="33"/>
        <v>-0.00202839756592292</v>
      </c>
    </row>
    <row r="863" spans="1:12">
      <c r="A863" s="109">
        <v>45828</v>
      </c>
      <c r="B863" s="106">
        <f>VLOOKUP(A863,港存及港价!A:B,2,FALSE)</f>
        <v>215.73</v>
      </c>
      <c r="C863" s="106">
        <v>3850</v>
      </c>
      <c r="D863" s="106">
        <f>VLOOKUP(A863,Sheet4!A:C,2,FALSE)</f>
        <v>860</v>
      </c>
      <c r="E863" s="106">
        <f>VLOOKUP(A863,Sheet5!A:B,2,FALSE)</f>
        <v>7.1799</v>
      </c>
      <c r="F863" s="106">
        <f>VLOOKUP(A863,Sheet6!A:B,2,FALSE)</f>
        <v>98.71</v>
      </c>
      <c r="G863" s="106">
        <f>VLOOKUP(A863,WTI原油期货!A:B,2,FALSE)</f>
        <v>74.93</v>
      </c>
      <c r="H863" s="106">
        <f>VLOOKUP(A863,天然气期货!A:B,2,FALSE)</f>
        <v>3.949</v>
      </c>
      <c r="I863" s="111">
        <f>VLOOKUP(A863,黄金期货!A:B,2,FALSE)</f>
        <v>3385.7</v>
      </c>
      <c r="J863" s="106">
        <f>VLOOKUP(A863,Sheet3!A:E,5,FALSE)</f>
        <v>2430</v>
      </c>
      <c r="L863" s="112">
        <f t="shared" si="33"/>
        <v>-0.0121951219512195</v>
      </c>
    </row>
    <row r="864" spans="1:12">
      <c r="A864" s="109">
        <v>45831</v>
      </c>
      <c r="B864" s="106">
        <f>VLOOKUP(A864,港存及港价!A:B,2,FALSE)</f>
        <v>217.63</v>
      </c>
      <c r="C864" s="106">
        <v>3850</v>
      </c>
      <c r="D864" s="106">
        <f>VLOOKUP(A864,Sheet4!A:C,2,FALSE)</f>
        <v>861</v>
      </c>
      <c r="E864" s="106">
        <f>VLOOKUP(A864,Sheet5!A:B,2,FALSE)</f>
        <v>7.18</v>
      </c>
      <c r="F864" s="106">
        <f>VLOOKUP(A864,Sheet6!A:B,2,FALSE)</f>
        <v>98.42</v>
      </c>
      <c r="G864" s="106">
        <f>VLOOKUP(A864,WTI原油期货!A:B,2,FALSE)</f>
        <v>68.51</v>
      </c>
      <c r="H864" s="106">
        <f>VLOOKUP(A864,天然气期货!A:B,2,FALSE)</f>
        <v>3.698</v>
      </c>
      <c r="I864" s="111">
        <f>VLOOKUP(A864,黄金期货!A:B,2,FALSE)</f>
        <v>3380.6</v>
      </c>
      <c r="J864" s="106">
        <f>VLOOKUP(A864,Sheet3!A:E,5,FALSE)</f>
        <v>2470</v>
      </c>
      <c r="L864" s="112">
        <f t="shared" si="33"/>
        <v>0.0164609053497942</v>
      </c>
    </row>
    <row r="865" spans="1:12">
      <c r="A865" s="109">
        <v>45832</v>
      </c>
      <c r="B865" s="106">
        <f>VLOOKUP(A865,港存及港价!A:B,2,FALSE)</f>
        <v>218.6</v>
      </c>
      <c r="C865" s="106">
        <v>3850</v>
      </c>
      <c r="D865" s="106">
        <f>VLOOKUP(A865,Sheet4!A:C,2,FALSE)</f>
        <v>860</v>
      </c>
      <c r="E865" s="106">
        <f>VLOOKUP(A865,Sheet5!A:B,2,FALSE)</f>
        <v>7.1717</v>
      </c>
      <c r="F865" s="106">
        <f>VLOOKUP(A865,Sheet6!A:B,2,FALSE)</f>
        <v>97.86</v>
      </c>
      <c r="G865" s="106">
        <f>VLOOKUP(A865,WTI原油期货!A:B,2,FALSE)</f>
        <v>64.37</v>
      </c>
      <c r="H865" s="106">
        <f>VLOOKUP(A865,天然气期货!A:B,2,FALSE)</f>
        <v>3.537</v>
      </c>
      <c r="I865" s="111">
        <f>VLOOKUP(A865,黄金期货!A:B,2,FALSE)</f>
        <v>3320</v>
      </c>
      <c r="J865" s="106">
        <f>VLOOKUP(A865,Sheet3!A:E,5,FALSE)</f>
        <v>2360</v>
      </c>
      <c r="L865" s="112">
        <f t="shared" si="33"/>
        <v>-0.0445344129554656</v>
      </c>
    </row>
    <row r="866" spans="1:12">
      <c r="A866" s="109">
        <v>45833</v>
      </c>
      <c r="B866" s="106">
        <f>VLOOKUP(A866,港存及港价!A:B,2,FALSE)</f>
        <v>219</v>
      </c>
      <c r="C866" s="106">
        <v>3850</v>
      </c>
      <c r="D866" s="106">
        <f>VLOOKUP(A866,Sheet4!A:C,2,FALSE)</f>
        <v>858</v>
      </c>
      <c r="E866" s="106">
        <f>VLOOKUP(A866,Sheet5!A:B,2,FALSE)</f>
        <v>7.1768</v>
      </c>
      <c r="F866" s="106">
        <f>VLOOKUP(A866,Sheet6!A:B,2,FALSE)</f>
        <v>97.68</v>
      </c>
      <c r="G866" s="106">
        <f>VLOOKUP(A866,WTI原油期货!A:B,2,FALSE)</f>
        <v>64.92</v>
      </c>
      <c r="H866" s="106">
        <f>VLOOKUP(A866,天然气期货!A:B,2,FALSE)</f>
        <v>3.406</v>
      </c>
      <c r="I866" s="111">
        <f>VLOOKUP(A866,黄金期货!A:B,2,FALSE)</f>
        <v>3329</v>
      </c>
      <c r="J866" s="106">
        <f>VLOOKUP(A866,Sheet3!A:E,5,FALSE)</f>
        <v>2320</v>
      </c>
      <c r="L866" s="112">
        <f t="shared" si="33"/>
        <v>-0.0169491525423729</v>
      </c>
    </row>
    <row r="867" spans="1:12">
      <c r="A867" s="109">
        <v>45834</v>
      </c>
      <c r="B867" s="106">
        <f>VLOOKUP(A867,港存及港价!A:B,2,FALSE)</f>
        <v>219.95</v>
      </c>
      <c r="C867" s="106">
        <v>3850</v>
      </c>
      <c r="D867" s="106">
        <f>VLOOKUP(A867,Sheet4!A:C,2,FALSE)</f>
        <v>857</v>
      </c>
      <c r="E867" s="106">
        <f>VLOOKUP(A867,Sheet5!A:B,2,FALSE)</f>
        <v>7.1676</v>
      </c>
      <c r="F867" s="106">
        <f>VLOOKUP(A867,Sheet6!A:B,2,FALSE)</f>
        <v>97.15</v>
      </c>
      <c r="G867" s="106">
        <f>VLOOKUP(A867,WTI原油期货!A:B,2,FALSE)</f>
        <v>65.24</v>
      </c>
      <c r="H867" s="106">
        <f>VLOOKUP(A867,天然气期货!A:B,2,FALSE)</f>
        <v>3.261</v>
      </c>
      <c r="I867" s="111">
        <f>VLOOKUP(A867,黄金期货!A:B,2,FALSE)</f>
        <v>3333.9</v>
      </c>
      <c r="J867" s="106">
        <f>VLOOKUP(A867,Sheet3!A:E,5,FALSE)</f>
        <v>2320</v>
      </c>
      <c r="L867" s="112">
        <f t="shared" si="33"/>
        <v>0</v>
      </c>
    </row>
    <row r="868" spans="1:12">
      <c r="A868" s="109">
        <v>45835</v>
      </c>
      <c r="B868" s="106">
        <f>VLOOKUP(A868,港存及港价!A:B,2,FALSE)</f>
        <v>218.62</v>
      </c>
      <c r="C868" s="106">
        <v>3850</v>
      </c>
      <c r="D868" s="106">
        <f>VLOOKUP(A868,Sheet4!A:C,2,FALSE)</f>
        <v>859</v>
      </c>
      <c r="E868" s="106">
        <f>VLOOKUP(A868,Sheet5!A:B,2,FALSE)</f>
        <v>7.1726</v>
      </c>
      <c r="F868" s="106">
        <f>VLOOKUP(A868,Sheet6!A:B,2,FALSE)</f>
        <v>97.4</v>
      </c>
      <c r="G868" s="106">
        <f>VLOOKUP(A868,WTI原油期货!A:B,2,FALSE)</f>
        <v>65.52</v>
      </c>
      <c r="H868" s="106">
        <f>VLOOKUP(A868,天然气期货!A:B,2,FALSE)</f>
        <v>3.739</v>
      </c>
      <c r="I868" s="111">
        <f>VLOOKUP(A868,黄金期货!A:B,2,FALSE)</f>
        <v>3287.6</v>
      </c>
      <c r="J868" s="106">
        <f>VLOOKUP(A868,Sheet3!A:E,5,FALSE)</f>
        <v>2320</v>
      </c>
      <c r="L868" s="112">
        <f t="shared" si="33"/>
        <v>0</v>
      </c>
    </row>
    <row r="869" spans="1:12">
      <c r="A869" s="109">
        <v>45838</v>
      </c>
      <c r="B869" s="106">
        <f>VLOOKUP(A869,港存及港价!A:B,2,FALSE)</f>
        <v>232.29</v>
      </c>
      <c r="C869" s="106">
        <v>3850</v>
      </c>
      <c r="D869" s="106">
        <f>VLOOKUP(A869,Sheet4!A:C,2,FALSE)</f>
        <v>857</v>
      </c>
      <c r="E869" s="106">
        <f>VLOOKUP(A869,Sheet5!A:B,2,FALSE)</f>
        <v>7.1639</v>
      </c>
      <c r="F869" s="106">
        <f>VLOOKUP(A869,Sheet6!A:B,2,FALSE)</f>
        <v>96.88</v>
      </c>
      <c r="G869" s="106">
        <f>VLOOKUP(A869,WTI原油期货!A:B,2,FALSE)</f>
        <v>65.11</v>
      </c>
      <c r="H869" s="106">
        <f>VLOOKUP(A869,天然气期货!A:B,2,FALSE)</f>
        <v>3.456</v>
      </c>
      <c r="I869" s="111">
        <f>VLOOKUP(A869,黄金期货!A:B,2,FALSE)</f>
        <v>3307.7</v>
      </c>
      <c r="J869" s="106">
        <f>VLOOKUP(A869,Sheet3!A:E,5,FALSE)</f>
        <v>2320</v>
      </c>
      <c r="L869" s="112">
        <f t="shared" si="33"/>
        <v>0</v>
      </c>
    </row>
    <row r="870" spans="1:12">
      <c r="A870" s="109">
        <v>45839</v>
      </c>
      <c r="B870" s="106">
        <f>VLOOKUP(A870,港存及港价!A:B,2,FALSE)</f>
        <v>231.49</v>
      </c>
      <c r="C870" s="106">
        <v>3850</v>
      </c>
      <c r="D870" s="106">
        <f>VLOOKUP(A870,Sheet4!A:C,2,FALSE)</f>
        <v>855</v>
      </c>
      <c r="E870" s="106">
        <f>VLOOKUP(A870,Sheet5!A:B,2,FALSE)</f>
        <v>7.1654</v>
      </c>
      <c r="F870" s="106">
        <f>VLOOKUP(A870,Sheet6!A:B,2,FALSE)</f>
        <v>96.82</v>
      </c>
      <c r="G870" s="106">
        <f>VLOOKUP(A870,WTI原油期货!A:B,2,FALSE)</f>
        <v>65.45</v>
      </c>
      <c r="H870" s="106">
        <f>VLOOKUP(A870,天然气期货!A:B,2,FALSE)</f>
        <v>3.415</v>
      </c>
      <c r="I870" s="111">
        <f>VLOOKUP(A870,黄金期货!A:B,2,FALSE)</f>
        <v>3349.8</v>
      </c>
      <c r="J870" s="106">
        <f>VLOOKUP(A870,Sheet3!A:E,5,FALSE)</f>
        <v>2315</v>
      </c>
      <c r="L870" s="112">
        <f t="shared" si="33"/>
        <v>-0.0021551724137931</v>
      </c>
    </row>
    <row r="871" spans="1:12">
      <c r="A871" s="109">
        <v>45840</v>
      </c>
      <c r="B871" s="106">
        <f>VLOOKUP(A871,港存及港价!A:B,2,FALSE)</f>
        <v>231.89</v>
      </c>
      <c r="C871" s="106">
        <v>3850</v>
      </c>
      <c r="D871" s="106">
        <f>VLOOKUP(A871,Sheet4!A:C,2,FALSE)</f>
        <v>855</v>
      </c>
      <c r="E871" s="106">
        <f>VLOOKUP(A871,Sheet5!A:B,2,FALSE)</f>
        <v>7.1658</v>
      </c>
      <c r="F871" s="106">
        <f>VLOOKUP(A871,Sheet6!A:B,2,FALSE)</f>
        <v>96.78</v>
      </c>
      <c r="G871" s="106">
        <f>VLOOKUP(A871,WTI原油期货!A:B,2,FALSE)</f>
        <v>67.45</v>
      </c>
      <c r="H871" s="106">
        <f>VLOOKUP(A871,天然气期货!A:B,2,FALSE)</f>
        <v>3.488</v>
      </c>
      <c r="I871" s="111">
        <f>VLOOKUP(A871,黄金期货!A:B,2,FALSE)</f>
        <v>3359.7</v>
      </c>
      <c r="J871" s="106">
        <f>VLOOKUP(A871,Sheet3!A:E,5,FALSE)</f>
        <v>2315</v>
      </c>
      <c r="L871" s="112">
        <f t="shared" si="33"/>
        <v>0</v>
      </c>
    </row>
    <row r="872" spans="1:12">
      <c r="A872" s="109">
        <v>45841</v>
      </c>
      <c r="B872" s="106">
        <f>VLOOKUP(A872,港存及港价!A:B,2,FALSE)</f>
        <v>231.59</v>
      </c>
      <c r="C872" s="106">
        <v>3850</v>
      </c>
      <c r="D872" s="106">
        <f>VLOOKUP(A872,Sheet4!A:C,2,FALSE)</f>
        <v>855</v>
      </c>
      <c r="E872" s="106">
        <f>VLOOKUP(A872,Sheet5!A:B,2,FALSE)</f>
        <v>7.1692</v>
      </c>
      <c r="F872" s="106">
        <f>VLOOKUP(A872,Sheet6!A:B,2,FALSE)</f>
        <v>97.18</v>
      </c>
      <c r="G872" s="106">
        <f>VLOOKUP(A872,WTI原油期货!A:B,2,FALSE)</f>
        <v>67</v>
      </c>
      <c r="H872" s="106">
        <f>VLOOKUP(A872,天然气期货!A:B,2,FALSE)</f>
        <v>3.409</v>
      </c>
      <c r="I872" s="111">
        <f>VLOOKUP(A872,黄金期货!A:B,2,FALSE)</f>
        <v>3342.9</v>
      </c>
      <c r="J872" s="106">
        <f>VLOOKUP(A872,Sheet3!A:E,5,FALSE)</f>
        <v>2290</v>
      </c>
      <c r="L872" s="112">
        <f t="shared" si="33"/>
        <v>-0.0107991360691145</v>
      </c>
    </row>
    <row r="873" spans="1:12">
      <c r="A873" s="109">
        <v>45842</v>
      </c>
      <c r="B873" s="106">
        <f>VLOOKUP(A873,港存及港价!A:B,2,FALSE)</f>
        <v>229.19</v>
      </c>
      <c r="C873" s="106">
        <v>3850</v>
      </c>
      <c r="D873" s="106">
        <f>VLOOKUP(A873,Sheet4!A:C,2,FALSE)</f>
        <v>855</v>
      </c>
      <c r="E873" s="106">
        <f>VLOOKUP(A873,Sheet5!A:B,2,FALSE)</f>
        <v>7.1653</v>
      </c>
      <c r="F873" s="106">
        <f>VLOOKUP(A873,Sheet6!A:B,2,FALSE)</f>
        <v>96.96</v>
      </c>
      <c r="G873" s="106">
        <f>VLOOKUP(A873,WTI原油期货!A:B,2,FALSE)</f>
        <v>66.49</v>
      </c>
      <c r="H873" s="106">
        <f>VLOOKUP(A873,天然气期货!A:B,2,FALSE)</f>
        <v>3.39</v>
      </c>
      <c r="I873" s="111">
        <f>VLOOKUP(A873,黄金期货!A:B,2,FALSE)</f>
        <v>3346.5</v>
      </c>
      <c r="J873" s="106">
        <f>VLOOKUP(A873,Sheet3!A:E,5,FALSE)</f>
        <v>2280</v>
      </c>
      <c r="L873" s="112">
        <f t="shared" si="33"/>
        <v>-0.00436681222707424</v>
      </c>
    </row>
    <row r="874" spans="1:12">
      <c r="A874" s="109">
        <v>45845</v>
      </c>
      <c r="B874" s="106">
        <f>VLOOKUP(A874,港存及港价!A:B,2,FALSE)</f>
        <v>241.56</v>
      </c>
      <c r="C874" s="106">
        <v>3850</v>
      </c>
      <c r="D874" s="106">
        <f>VLOOKUP(A874,Sheet4!A:C,2,FALSE)</f>
        <v>853</v>
      </c>
      <c r="E874" s="106">
        <f>VLOOKUP(A874,Sheet5!A:B,2,FALSE)</f>
        <v>7.1747</v>
      </c>
      <c r="F874" s="106">
        <f>VLOOKUP(A874,Sheet6!A:B,2,FALSE)</f>
        <v>97.48</v>
      </c>
      <c r="G874" s="106">
        <f>VLOOKUP(A874,WTI原油期货!A:B,2,FALSE)</f>
        <v>67.93</v>
      </c>
      <c r="H874" s="106">
        <f>VLOOKUP(A874,天然气期货!A:B,2,FALSE)</f>
        <v>3.412</v>
      </c>
      <c r="I874" s="111">
        <f>VLOOKUP(A874,黄金期货!A:B,2,FALSE)</f>
        <v>3342.8</v>
      </c>
      <c r="J874" s="106">
        <f>VLOOKUP(A874,Sheet3!A:E,5,FALSE)</f>
        <v>2280</v>
      </c>
      <c r="L874" s="112">
        <f t="shared" si="33"/>
        <v>0</v>
      </c>
    </row>
    <row r="875" spans="1:12">
      <c r="A875" s="109">
        <v>45846</v>
      </c>
      <c r="B875" s="106">
        <f>VLOOKUP(A875,港存及港价!A:B,2,FALSE)</f>
        <v>241.45</v>
      </c>
      <c r="C875" s="106">
        <v>3850</v>
      </c>
      <c r="D875" s="106">
        <f>VLOOKUP(A875,Sheet4!A:C,2,FALSE)</f>
        <v>852</v>
      </c>
      <c r="E875" s="106">
        <f>VLOOKUP(A875,Sheet5!A:B,2,FALSE)</f>
        <v>7.1741</v>
      </c>
      <c r="F875" s="106">
        <f>VLOOKUP(A875,Sheet6!A:B,2,FALSE)</f>
        <v>97.52</v>
      </c>
      <c r="G875" s="106">
        <f>VLOOKUP(A875,WTI原油期货!A:B,2,FALSE)</f>
        <v>68.33</v>
      </c>
      <c r="H875" s="106">
        <f>VLOOKUP(A875,天然气期货!A:B,2,FALSE)</f>
        <v>3.34</v>
      </c>
      <c r="I875" s="111">
        <f>VLOOKUP(A875,黄金期货!A:B,2,FALSE)</f>
        <v>3316.9</v>
      </c>
      <c r="J875" s="106">
        <f>VLOOKUP(A875,Sheet3!A:E,5,FALSE)</f>
        <v>2295</v>
      </c>
      <c r="L875" s="112">
        <f t="shared" si="33"/>
        <v>0.00657894736842105</v>
      </c>
    </row>
    <row r="876" spans="1:12">
      <c r="A876" s="109">
        <v>45847</v>
      </c>
      <c r="B876" s="106">
        <f>VLOOKUP(A876,港存及港价!A:B,2,FALSE)</f>
        <v>239.45</v>
      </c>
      <c r="C876" s="106">
        <v>3850</v>
      </c>
      <c r="D876" s="106">
        <f>VLOOKUP(A876,Sheet4!A:C,2,FALSE)</f>
        <v>852</v>
      </c>
      <c r="E876" s="106">
        <f>VLOOKUP(A876,Sheet5!A:B,2,FALSE)</f>
        <v>7.1802</v>
      </c>
      <c r="F876" s="106">
        <f>VLOOKUP(A876,Sheet6!A:B,2,FALSE)</f>
        <v>97.56</v>
      </c>
      <c r="G876" s="106">
        <f>VLOOKUP(A876,WTI原油期货!A:B,2,FALSE)</f>
        <v>68.38</v>
      </c>
      <c r="H876" s="106">
        <f>VLOOKUP(A876,天然气期货!A:B,2,FALSE)</f>
        <v>3.214</v>
      </c>
      <c r="I876" s="111">
        <f>VLOOKUP(A876,黄金期货!A:B,2,FALSE)</f>
        <v>3321</v>
      </c>
      <c r="J876" s="106">
        <f>VLOOKUP(A876,Sheet3!A:E,5,FALSE)</f>
        <v>2310</v>
      </c>
      <c r="L876" s="112">
        <f t="shared" si="33"/>
        <v>0.0065359477124183</v>
      </c>
    </row>
    <row r="877" spans="1:12">
      <c r="A877" s="109">
        <v>45848</v>
      </c>
      <c r="B877" s="106">
        <f>VLOOKUP(A877,港存及港价!A:B,2,FALSE)</f>
        <v>238.95</v>
      </c>
      <c r="C877" s="106">
        <v>3850</v>
      </c>
      <c r="D877" s="106">
        <f>VLOOKUP(A877,Sheet4!A:C,2,FALSE)</f>
        <v>853</v>
      </c>
      <c r="E877" s="106">
        <f>VLOOKUP(A877,Sheet5!A:B,2,FALSE)</f>
        <v>7.1749</v>
      </c>
      <c r="F877" s="106">
        <f>VLOOKUP(A877,Sheet6!A:B,2,FALSE)</f>
        <v>97.65</v>
      </c>
      <c r="G877" s="106">
        <f>VLOOKUP(A877,WTI原油期货!A:B,2,FALSE)</f>
        <v>66.57</v>
      </c>
      <c r="H877" s="106">
        <f>VLOOKUP(A877,天然气期货!A:B,2,FALSE)</f>
        <v>3.337</v>
      </c>
      <c r="I877" s="111">
        <f>VLOOKUP(A877,黄金期货!A:B,2,FALSE)</f>
        <v>3325.7</v>
      </c>
      <c r="J877" s="106">
        <f>VLOOKUP(A877,Sheet3!A:E,5,FALSE)</f>
        <v>2330</v>
      </c>
      <c r="L877" s="112">
        <f t="shared" si="33"/>
        <v>0.00865800865800866</v>
      </c>
    </row>
    <row r="878" spans="1:12">
      <c r="A878" s="109">
        <v>45849</v>
      </c>
      <c r="B878" s="106">
        <f>VLOOKUP(A878,港存及港价!A:B,2,FALSE)</f>
        <v>238.45</v>
      </c>
      <c r="C878" s="106">
        <v>3850</v>
      </c>
      <c r="D878" s="106">
        <f>VLOOKUP(A878,Sheet4!A:C,2,FALSE)</f>
        <v>854</v>
      </c>
      <c r="E878" s="106">
        <f>VLOOKUP(A878,Sheet5!A:B,2,FALSE)</f>
        <v>7.1686</v>
      </c>
      <c r="F878" s="106">
        <f>VLOOKUP(A878,Sheet6!A:B,2,FALSE)</f>
        <v>97.85</v>
      </c>
      <c r="G878" s="106">
        <f>VLOOKUP(A878,WTI原油期货!A:B,2,FALSE)</f>
        <v>68.45</v>
      </c>
      <c r="H878" s="106">
        <f>VLOOKUP(A878,天然气期货!A:B,2,FALSE)</f>
        <v>3.314</v>
      </c>
      <c r="I878" s="111">
        <f>VLOOKUP(A878,黄金期货!A:B,2,FALSE)</f>
        <v>3364</v>
      </c>
      <c r="J878" s="106">
        <f>VLOOKUP(A878,Sheet3!A:E,5,FALSE)</f>
        <v>2340</v>
      </c>
      <c r="L878" s="112">
        <f t="shared" si="33"/>
        <v>0.00429184549356223</v>
      </c>
    </row>
    <row r="879" spans="1:12">
      <c r="A879" s="109">
        <v>45852</v>
      </c>
      <c r="B879" s="106">
        <f>VLOOKUP(A879,港存及港价!A:B,2,FALSE)</f>
        <v>244.39</v>
      </c>
      <c r="C879" s="106">
        <v>3850</v>
      </c>
      <c r="D879" s="106">
        <f>VLOOKUP(A879,Sheet4!A:C,2,FALSE)</f>
        <v>854</v>
      </c>
      <c r="E879" s="106">
        <f>VLOOKUP(A879,Sheet5!A:B,2,FALSE)</f>
        <v>7.1672</v>
      </c>
      <c r="F879" s="106">
        <f>VLOOKUP(A879,Sheet6!A:B,2,FALSE)</f>
        <v>98.08</v>
      </c>
      <c r="G879" s="106">
        <f>VLOOKUP(A879,WTI原油期货!A:B,2,FALSE)</f>
        <v>65.81</v>
      </c>
      <c r="H879" s="106">
        <f>VLOOKUP(A879,天然气期货!A:B,2,FALSE)</f>
        <v>3.466</v>
      </c>
      <c r="I879" s="111">
        <f>VLOOKUP(A879,黄金期货!A:B,2,FALSE)</f>
        <v>3359.1</v>
      </c>
      <c r="J879" s="106">
        <f>VLOOKUP(A879,Sheet3!A:E,5,FALSE)</f>
        <v>2360</v>
      </c>
      <c r="L879" s="112">
        <f t="shared" si="33"/>
        <v>0.00854700854700855</v>
      </c>
    </row>
    <row r="880" spans="1:12">
      <c r="A880" s="109">
        <v>45853</v>
      </c>
      <c r="B880" s="106">
        <f>VLOOKUP(A880,港存及港价!A:B,2,FALSE)</f>
        <v>244.45</v>
      </c>
      <c r="C880" s="106">
        <v>3850</v>
      </c>
      <c r="D880" s="106">
        <f>VLOOKUP(A880,Sheet4!A:C,2,FALSE)</f>
        <v>854</v>
      </c>
      <c r="E880" s="106">
        <f>VLOOKUP(A880,Sheet5!A:B,2,FALSE)</f>
        <v>7.173</v>
      </c>
      <c r="F880" s="106">
        <f>VLOOKUP(A880,Sheet6!A:B,2,FALSE)</f>
        <v>98.62</v>
      </c>
      <c r="G880" s="106">
        <f>VLOOKUP(A880,WTI原油期货!A:B,2,FALSE)</f>
        <v>65.37</v>
      </c>
      <c r="H880" s="106">
        <f>VLOOKUP(A880,天然气期货!A:B,2,FALSE)</f>
        <v>3.523</v>
      </c>
      <c r="I880" s="111">
        <f>VLOOKUP(A880,黄金期货!A:B,2,FALSE)</f>
        <v>3336.7</v>
      </c>
      <c r="J880" s="106">
        <f>VLOOKUP(A880,Sheet3!A:E,5,FALSE)</f>
        <v>2385</v>
      </c>
      <c r="L880" s="112">
        <f t="shared" si="33"/>
        <v>0.0105932203389831</v>
      </c>
    </row>
    <row r="881" spans="1:12">
      <c r="A881" s="109">
        <v>45854</v>
      </c>
      <c r="B881" s="106">
        <f>VLOOKUP(A881,港存及港价!A:B,2,FALSE)</f>
        <v>243.33</v>
      </c>
      <c r="C881" s="106">
        <v>3850</v>
      </c>
      <c r="D881" s="106">
        <f>VLOOKUP(A881,Sheet4!A:C,2,FALSE)</f>
        <v>854</v>
      </c>
      <c r="E881" s="106">
        <f>VLOOKUP(A881,Sheet5!A:B,2,FALSE)</f>
        <v>7.1796</v>
      </c>
      <c r="F881" s="106">
        <f>VLOOKUP(A881,Sheet6!A:B,2,FALSE)</f>
        <v>98.39</v>
      </c>
      <c r="G881" s="106">
        <f>VLOOKUP(A881,WTI原油期货!A:B,2,FALSE)</f>
        <v>66.38</v>
      </c>
      <c r="H881" s="106">
        <f>VLOOKUP(A881,天然气期货!A:B,2,FALSE)</f>
        <v>3.551</v>
      </c>
      <c r="I881" s="111">
        <f>VLOOKUP(A881,黄金期货!A:B,2,FALSE)</f>
        <v>3359.1</v>
      </c>
      <c r="J881" s="106">
        <f>VLOOKUP(A881,Sheet3!A:E,5,FALSE)</f>
        <v>2370</v>
      </c>
      <c r="L881" s="112">
        <f t="shared" si="33"/>
        <v>-0.00628930817610063</v>
      </c>
    </row>
    <row r="882" spans="1:12">
      <c r="A882" s="109">
        <v>45855</v>
      </c>
      <c r="B882" s="106">
        <f>VLOOKUP(A882,港存及港价!A:B,2,FALSE)</f>
        <v>242.39</v>
      </c>
      <c r="C882" s="106">
        <v>3850</v>
      </c>
      <c r="D882" s="106">
        <f>VLOOKUP(A882,Sheet4!A:C,2,FALSE)</f>
        <v>854</v>
      </c>
      <c r="E882" s="106">
        <f>VLOOKUP(A882,Sheet5!A:B,2,FALSE)</f>
        <v>7.184</v>
      </c>
      <c r="F882" s="106">
        <f>VLOOKUP(A882,Sheet6!A:B,2,FALSE)</f>
        <v>98.73</v>
      </c>
      <c r="G882" s="106">
        <f>VLOOKUP(A882,WTI原油期货!A:B,2,FALSE)</f>
        <v>67.54</v>
      </c>
      <c r="H882" s="106">
        <f>VLOOKUP(A882,天然气期货!A:B,2,FALSE)</f>
        <v>3.542</v>
      </c>
      <c r="I882" s="111">
        <f>VLOOKUP(A882,黄金期货!A:B,2,FALSE)</f>
        <v>3345.3</v>
      </c>
      <c r="J882" s="106">
        <f>VLOOKUP(A882,Sheet3!A:E,5,FALSE)</f>
        <v>2355</v>
      </c>
      <c r="L882" s="112">
        <f t="shared" si="33"/>
        <v>-0.00632911392405063</v>
      </c>
    </row>
  </sheetData>
  <autoFilter xmlns:etc="http://www.wps.cn/officeDocument/2017/etCustomData" ref="L1:L882" etc:filterBottomFollowUsedRange="0">
    <extLst/>
  </autoFilter>
  <sortState ref="I2:K884">
    <sortCondition ref="K2:K884"/>
  </sortState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85"/>
  <sheetViews>
    <sheetView workbookViewId="0">
      <selection activeCell="C1163" sqref="C1163"/>
    </sheetView>
  </sheetViews>
  <sheetFormatPr defaultColWidth="9" defaultRowHeight="14.25" outlineLevelCol="2"/>
  <sheetData>
    <row r="1" spans="1:3">
      <c r="A1" s="81" t="s">
        <v>13</v>
      </c>
      <c r="B1" s="82" t="s">
        <v>1</v>
      </c>
      <c r="C1" s="83" t="s">
        <v>9</v>
      </c>
    </row>
    <row r="2" spans="1:3">
      <c r="A2" s="84">
        <v>41641</v>
      </c>
      <c r="B2" s="85">
        <v>116.9</v>
      </c>
      <c r="C2" s="86">
        <v>1250</v>
      </c>
    </row>
    <row r="3" spans="1:3">
      <c r="A3" s="84">
        <v>41642</v>
      </c>
      <c r="B3" s="85">
        <v>114.6</v>
      </c>
      <c r="C3" s="86">
        <v>1250</v>
      </c>
    </row>
    <row r="4" spans="1:3">
      <c r="A4" s="84">
        <v>41642</v>
      </c>
      <c r="B4" s="85">
        <v>114.6</v>
      </c>
      <c r="C4" s="86">
        <v>1250</v>
      </c>
    </row>
    <row r="5" spans="1:3">
      <c r="A5" s="84">
        <v>41645</v>
      </c>
      <c r="B5" s="85">
        <v>111</v>
      </c>
      <c r="C5" s="86">
        <v>1375</v>
      </c>
    </row>
    <row r="6" spans="1:3">
      <c r="A6" s="84">
        <v>41646</v>
      </c>
      <c r="B6" s="85">
        <v>108.7</v>
      </c>
      <c r="C6" s="86">
        <v>1375</v>
      </c>
    </row>
    <row r="7" spans="1:3">
      <c r="A7" s="84">
        <v>41647</v>
      </c>
      <c r="B7" s="85">
        <v>106</v>
      </c>
      <c r="C7" s="86">
        <v>1375</v>
      </c>
    </row>
    <row r="8" spans="1:3">
      <c r="A8" s="84">
        <v>41648</v>
      </c>
      <c r="B8" s="85">
        <v>106</v>
      </c>
      <c r="C8" s="86">
        <v>1375</v>
      </c>
    </row>
    <row r="9" spans="1:3">
      <c r="A9" s="84">
        <v>41649</v>
      </c>
      <c r="B9" s="85">
        <v>106</v>
      </c>
      <c r="C9" s="86">
        <v>1342.5</v>
      </c>
    </row>
    <row r="10" spans="1:3">
      <c r="A10" s="84">
        <v>41652</v>
      </c>
      <c r="B10" s="85">
        <v>106</v>
      </c>
      <c r="C10" s="86">
        <v>1342.5</v>
      </c>
    </row>
    <row r="11" spans="1:3">
      <c r="A11" s="84">
        <v>41653</v>
      </c>
      <c r="B11" s="85">
        <v>109</v>
      </c>
      <c r="C11" s="86">
        <v>1342.5</v>
      </c>
    </row>
    <row r="12" spans="1:3">
      <c r="A12" s="84">
        <v>41654</v>
      </c>
      <c r="B12" s="85">
        <v>111.6</v>
      </c>
      <c r="C12" s="86">
        <v>1300</v>
      </c>
    </row>
    <row r="13" spans="1:3">
      <c r="A13" s="84">
        <v>41655</v>
      </c>
      <c r="B13" s="85">
        <v>113.6</v>
      </c>
      <c r="C13" s="86">
        <v>1311.25</v>
      </c>
    </row>
    <row r="14" spans="1:3">
      <c r="A14" s="84">
        <v>41656</v>
      </c>
      <c r="B14" s="85">
        <v>113.7</v>
      </c>
      <c r="C14" s="86">
        <v>1311.25</v>
      </c>
    </row>
    <row r="15" spans="1:3">
      <c r="A15" s="84">
        <v>41659</v>
      </c>
      <c r="B15" s="85">
        <v>113.7</v>
      </c>
      <c r="C15" s="86">
        <v>1325</v>
      </c>
    </row>
    <row r="16" spans="1:3">
      <c r="A16" s="84">
        <v>41660</v>
      </c>
      <c r="B16" s="85">
        <v>111.7</v>
      </c>
      <c r="C16" s="86">
        <v>1318.75</v>
      </c>
    </row>
    <row r="17" spans="1:3">
      <c r="A17" s="84">
        <v>41661</v>
      </c>
      <c r="B17" s="85">
        <v>109.6</v>
      </c>
      <c r="C17" s="86">
        <v>1331.25</v>
      </c>
    </row>
    <row r="18" spans="1:3">
      <c r="A18" s="84">
        <v>41662</v>
      </c>
      <c r="B18" s="85">
        <v>109.6</v>
      </c>
      <c r="C18" s="86">
        <v>1335</v>
      </c>
    </row>
    <row r="19" spans="1:3">
      <c r="A19" s="84">
        <v>41663</v>
      </c>
      <c r="B19" s="85">
        <v>108</v>
      </c>
      <c r="C19" s="86">
        <v>1335</v>
      </c>
    </row>
    <row r="20" spans="1:3">
      <c r="A20" s="84">
        <v>41665</v>
      </c>
      <c r="B20" s="85">
        <v>108</v>
      </c>
      <c r="C20" s="86">
        <v>1335</v>
      </c>
    </row>
    <row r="21" spans="1:3">
      <c r="A21" s="84">
        <v>41666</v>
      </c>
      <c r="B21" s="85">
        <v>108</v>
      </c>
      <c r="C21" s="86">
        <v>1335</v>
      </c>
    </row>
    <row r="22" spans="1:3">
      <c r="A22" s="84">
        <v>41667</v>
      </c>
      <c r="B22" s="85">
        <v>108</v>
      </c>
      <c r="C22" s="86">
        <v>1335</v>
      </c>
    </row>
    <row r="23" spans="1:3">
      <c r="A23" s="84">
        <v>41668</v>
      </c>
      <c r="B23" s="85">
        <v>108</v>
      </c>
      <c r="C23" s="86">
        <v>1335</v>
      </c>
    </row>
    <row r="24" spans="1:3">
      <c r="A24" s="84">
        <v>41669</v>
      </c>
      <c r="B24" s="85">
        <v>108</v>
      </c>
      <c r="C24" s="86">
        <v>1335</v>
      </c>
    </row>
    <row r="25" spans="1:3">
      <c r="A25" s="84">
        <v>41677</v>
      </c>
      <c r="B25" s="85">
        <v>108</v>
      </c>
      <c r="C25" s="86">
        <v>1335</v>
      </c>
    </row>
    <row r="26" spans="1:3">
      <c r="A26" s="84">
        <v>41678</v>
      </c>
      <c r="B26" s="85">
        <v>114</v>
      </c>
      <c r="C26" s="86">
        <v>1335</v>
      </c>
    </row>
    <row r="27" spans="1:3">
      <c r="A27" s="84">
        <v>41680</v>
      </c>
      <c r="B27" s="85">
        <v>114</v>
      </c>
      <c r="C27" s="86">
        <v>1393.75</v>
      </c>
    </row>
    <row r="28" spans="1:3">
      <c r="A28" s="84">
        <v>41681</v>
      </c>
      <c r="B28" s="85">
        <v>114.3</v>
      </c>
      <c r="C28" s="86">
        <v>1393.75</v>
      </c>
    </row>
    <row r="29" spans="1:3">
      <c r="A29" s="84">
        <v>41682</v>
      </c>
      <c r="B29" s="85">
        <v>121.3</v>
      </c>
      <c r="C29" s="86">
        <v>1418.75</v>
      </c>
    </row>
    <row r="30" spans="1:3">
      <c r="A30" s="84">
        <v>41683</v>
      </c>
      <c r="B30" s="85">
        <v>131.3</v>
      </c>
      <c r="C30" s="86">
        <v>1465</v>
      </c>
    </row>
    <row r="31" spans="1:3">
      <c r="A31" s="84">
        <v>41684</v>
      </c>
      <c r="B31" s="85">
        <v>131.3</v>
      </c>
      <c r="C31" s="86">
        <v>1465</v>
      </c>
    </row>
    <row r="32" spans="1:3">
      <c r="A32" s="84">
        <v>41687</v>
      </c>
      <c r="B32" s="85">
        <v>129.3</v>
      </c>
      <c r="C32" s="86">
        <v>1481.25</v>
      </c>
    </row>
    <row r="33" spans="1:3">
      <c r="A33" s="84">
        <v>41688</v>
      </c>
      <c r="B33" s="85">
        <v>129.5</v>
      </c>
      <c r="C33" s="86">
        <v>1485</v>
      </c>
    </row>
    <row r="34" spans="1:3">
      <c r="A34" s="84">
        <v>41689</v>
      </c>
      <c r="B34" s="85">
        <v>129.5</v>
      </c>
      <c r="C34" s="86">
        <v>1488.75</v>
      </c>
    </row>
    <row r="35" spans="1:3">
      <c r="A35" s="84">
        <v>41690</v>
      </c>
      <c r="B35" s="85">
        <v>124.5</v>
      </c>
      <c r="C35" s="86">
        <v>1488.75</v>
      </c>
    </row>
    <row r="36" spans="1:3">
      <c r="A36" s="84">
        <v>41691</v>
      </c>
      <c r="B36" s="85">
        <v>124.5</v>
      </c>
      <c r="C36" s="86">
        <v>1491.25</v>
      </c>
    </row>
    <row r="37" spans="1:3">
      <c r="A37" s="84">
        <v>41694</v>
      </c>
      <c r="B37" s="85">
        <v>129.5</v>
      </c>
      <c r="C37" s="86">
        <v>1491.25</v>
      </c>
    </row>
    <row r="38" spans="1:3">
      <c r="A38" s="84">
        <v>41695</v>
      </c>
      <c r="B38" s="85">
        <v>129.5</v>
      </c>
      <c r="C38" s="86">
        <v>1491.25</v>
      </c>
    </row>
    <row r="39" spans="1:3">
      <c r="A39" s="84">
        <v>41696</v>
      </c>
      <c r="B39" s="85">
        <v>128.5</v>
      </c>
      <c r="C39" s="86">
        <v>1491.25</v>
      </c>
    </row>
    <row r="40" spans="1:3">
      <c r="A40" s="84">
        <v>41697</v>
      </c>
      <c r="B40" s="85">
        <v>135.5</v>
      </c>
      <c r="C40" s="86">
        <v>1486.25</v>
      </c>
    </row>
    <row r="41" spans="1:3">
      <c r="A41" s="84">
        <v>41698</v>
      </c>
      <c r="B41" s="85">
        <v>135.5</v>
      </c>
      <c r="C41" s="86">
        <v>1486.25</v>
      </c>
    </row>
    <row r="42" spans="1:3">
      <c r="A42" s="84">
        <v>41701</v>
      </c>
      <c r="B42" s="85">
        <v>135.5</v>
      </c>
      <c r="C42" s="86">
        <v>1478.75</v>
      </c>
    </row>
    <row r="43" spans="1:3">
      <c r="A43" s="84">
        <v>41702</v>
      </c>
      <c r="B43" s="85">
        <v>135.5</v>
      </c>
      <c r="C43" s="86">
        <v>1473.75</v>
      </c>
    </row>
    <row r="44" spans="1:3">
      <c r="A44" s="84">
        <v>41703</v>
      </c>
      <c r="B44" s="85">
        <v>135.5</v>
      </c>
      <c r="C44" s="86">
        <v>1462.5</v>
      </c>
    </row>
    <row r="45" spans="1:3">
      <c r="A45" s="84">
        <v>41704</v>
      </c>
      <c r="B45" s="85">
        <v>136.9</v>
      </c>
      <c r="C45" s="86">
        <v>1460</v>
      </c>
    </row>
    <row r="46" spans="1:3">
      <c r="A46" s="84">
        <v>41705</v>
      </c>
      <c r="B46" s="85">
        <v>136.9</v>
      </c>
      <c r="C46" s="86">
        <v>1460</v>
      </c>
    </row>
    <row r="47" spans="1:3">
      <c r="A47" s="84">
        <v>41708</v>
      </c>
      <c r="B47" s="85">
        <v>136.9</v>
      </c>
      <c r="C47" s="86">
        <v>1447.5</v>
      </c>
    </row>
    <row r="48" spans="1:3">
      <c r="A48" s="84">
        <v>41709</v>
      </c>
      <c r="B48" s="85">
        <v>136.9</v>
      </c>
      <c r="C48" s="86">
        <v>1447.5</v>
      </c>
    </row>
    <row r="49" spans="1:3">
      <c r="A49" s="84">
        <v>41710</v>
      </c>
      <c r="B49" s="85">
        <v>135.9</v>
      </c>
      <c r="C49" s="86">
        <v>1447.5</v>
      </c>
    </row>
    <row r="50" spans="1:3">
      <c r="A50" s="84">
        <v>41711</v>
      </c>
      <c r="B50" s="85">
        <v>145.9</v>
      </c>
      <c r="C50" s="86">
        <v>1436.25</v>
      </c>
    </row>
    <row r="51" spans="1:3">
      <c r="A51" s="84">
        <v>41712</v>
      </c>
      <c r="B51" s="85">
        <v>145.9</v>
      </c>
      <c r="C51" s="86">
        <v>1436.25</v>
      </c>
    </row>
    <row r="52" spans="1:3">
      <c r="A52" s="84">
        <v>41715</v>
      </c>
      <c r="B52" s="85">
        <v>145.9</v>
      </c>
      <c r="C52" s="86">
        <v>1408.75</v>
      </c>
    </row>
    <row r="53" spans="1:3">
      <c r="A53" s="84">
        <v>41716</v>
      </c>
      <c r="B53" s="85">
        <v>146.9</v>
      </c>
      <c r="C53" s="86">
        <v>1395</v>
      </c>
    </row>
    <row r="54" spans="1:3">
      <c r="A54" s="84">
        <v>41717</v>
      </c>
      <c r="B54" s="85">
        <v>146.9</v>
      </c>
      <c r="C54" s="86">
        <v>1375</v>
      </c>
    </row>
    <row r="55" spans="1:3">
      <c r="A55" s="84">
        <v>41718</v>
      </c>
      <c r="B55" s="85">
        <v>152</v>
      </c>
      <c r="C55" s="86">
        <v>1355</v>
      </c>
    </row>
    <row r="56" spans="1:3">
      <c r="A56" s="84">
        <v>41719</v>
      </c>
      <c r="B56" s="85">
        <v>152</v>
      </c>
      <c r="C56" s="86">
        <v>1355</v>
      </c>
    </row>
    <row r="57" spans="1:3">
      <c r="A57" s="84">
        <v>41722</v>
      </c>
      <c r="B57" s="85">
        <v>152</v>
      </c>
      <c r="C57" s="86">
        <v>1327.5</v>
      </c>
    </row>
    <row r="58" spans="1:3">
      <c r="A58" s="84">
        <v>41723</v>
      </c>
      <c r="B58" s="85">
        <v>151.9</v>
      </c>
      <c r="C58" s="86">
        <v>1313.75</v>
      </c>
    </row>
    <row r="59" spans="1:3">
      <c r="A59" s="84">
        <v>41724</v>
      </c>
      <c r="B59" s="85">
        <v>151.9</v>
      </c>
      <c r="C59" s="86">
        <v>1285</v>
      </c>
    </row>
    <row r="60" spans="1:3">
      <c r="A60" s="84">
        <v>41725</v>
      </c>
      <c r="B60" s="85">
        <v>150.9</v>
      </c>
      <c r="C60" s="86">
        <v>1218.75</v>
      </c>
    </row>
    <row r="61" spans="1:3">
      <c r="A61" s="84">
        <v>41726</v>
      </c>
      <c r="B61" s="85">
        <v>153.9</v>
      </c>
      <c r="C61" s="86">
        <v>1218.75</v>
      </c>
    </row>
    <row r="62" spans="1:3">
      <c r="A62" s="84">
        <v>41729</v>
      </c>
      <c r="B62" s="85">
        <v>153.2</v>
      </c>
      <c r="C62" s="86">
        <v>1193.75</v>
      </c>
    </row>
    <row r="63" spans="1:3">
      <c r="A63" s="84">
        <v>41730</v>
      </c>
      <c r="B63" s="85">
        <v>152.2</v>
      </c>
      <c r="C63" s="86">
        <v>1193.75</v>
      </c>
    </row>
    <row r="64" spans="1:3">
      <c r="A64" s="84">
        <v>41731</v>
      </c>
      <c r="B64" s="85">
        <v>153.9</v>
      </c>
      <c r="C64" s="86">
        <v>1170</v>
      </c>
    </row>
    <row r="65" spans="1:3">
      <c r="A65" s="84">
        <v>41732</v>
      </c>
      <c r="B65" s="85">
        <v>157.9</v>
      </c>
      <c r="C65" s="86">
        <v>1137.5</v>
      </c>
    </row>
    <row r="66" spans="1:3">
      <c r="A66" s="84">
        <v>41733</v>
      </c>
      <c r="B66" s="85">
        <v>157.9</v>
      </c>
      <c r="C66" s="86">
        <v>1137.5</v>
      </c>
    </row>
    <row r="67" spans="1:3">
      <c r="A67" s="84">
        <v>41737</v>
      </c>
      <c r="B67" s="85">
        <v>157.9</v>
      </c>
      <c r="C67" s="86">
        <v>1137.5</v>
      </c>
    </row>
    <row r="68" spans="1:3">
      <c r="A68" s="84">
        <v>41738</v>
      </c>
      <c r="B68" s="85">
        <v>153.8</v>
      </c>
      <c r="C68" s="86">
        <v>1131.25</v>
      </c>
    </row>
    <row r="69" spans="1:3">
      <c r="A69" s="84">
        <v>41739</v>
      </c>
      <c r="B69" s="85">
        <v>161.4</v>
      </c>
      <c r="C69" s="86">
        <v>1056.25</v>
      </c>
    </row>
    <row r="70" spans="1:3">
      <c r="A70" s="84">
        <v>41740</v>
      </c>
      <c r="B70" s="85">
        <v>155.1</v>
      </c>
      <c r="C70" s="86">
        <v>1056.25</v>
      </c>
    </row>
    <row r="71" spans="1:3">
      <c r="A71" s="84">
        <v>41743</v>
      </c>
      <c r="B71" s="85">
        <v>153.8</v>
      </c>
      <c r="C71" s="86">
        <v>1001.25</v>
      </c>
    </row>
    <row r="72" spans="1:3">
      <c r="A72" s="84">
        <v>41744</v>
      </c>
      <c r="B72" s="85">
        <v>158.7</v>
      </c>
      <c r="C72" s="86">
        <v>1030</v>
      </c>
    </row>
    <row r="73" spans="1:3">
      <c r="A73" s="84">
        <v>41745</v>
      </c>
      <c r="B73" s="85">
        <v>158.7</v>
      </c>
      <c r="C73" s="86">
        <v>1030</v>
      </c>
    </row>
    <row r="74" spans="1:3">
      <c r="A74" s="84">
        <v>41746</v>
      </c>
      <c r="B74" s="85">
        <v>158.7</v>
      </c>
      <c r="C74" s="86">
        <v>1030</v>
      </c>
    </row>
    <row r="75" spans="1:3">
      <c r="A75" s="84">
        <v>41747</v>
      </c>
      <c r="B75" s="85">
        <v>158.7</v>
      </c>
      <c r="C75" s="86">
        <v>1030</v>
      </c>
    </row>
    <row r="76" spans="1:3">
      <c r="A76" s="84">
        <v>41750</v>
      </c>
      <c r="B76" s="85">
        <v>158.7</v>
      </c>
      <c r="C76" s="86">
        <v>1042.5</v>
      </c>
    </row>
    <row r="77" spans="1:3">
      <c r="A77" s="84">
        <v>41751</v>
      </c>
      <c r="B77" s="85">
        <v>149.7</v>
      </c>
      <c r="C77" s="86">
        <v>1042.5</v>
      </c>
    </row>
    <row r="78" spans="1:3">
      <c r="A78" s="84">
        <v>41752</v>
      </c>
      <c r="B78" s="85">
        <v>155.7</v>
      </c>
      <c r="C78" s="86">
        <v>1042.5</v>
      </c>
    </row>
    <row r="79" spans="1:3">
      <c r="A79" s="84">
        <v>41753</v>
      </c>
      <c r="B79" s="85">
        <v>152.7</v>
      </c>
      <c r="C79" s="86">
        <v>1042.5</v>
      </c>
    </row>
    <row r="80" spans="1:3">
      <c r="A80" s="84">
        <v>41754</v>
      </c>
      <c r="B80" s="85">
        <v>152.7</v>
      </c>
      <c r="C80" s="86">
        <v>1042.5</v>
      </c>
    </row>
    <row r="81" spans="1:3">
      <c r="A81" s="84">
        <v>41757</v>
      </c>
      <c r="B81" s="85">
        <v>152.7</v>
      </c>
      <c r="C81" s="86">
        <v>1072.5</v>
      </c>
    </row>
    <row r="82" spans="1:3">
      <c r="A82" s="84">
        <v>41758</v>
      </c>
      <c r="B82" s="85">
        <v>151.7</v>
      </c>
      <c r="C82" s="86">
        <v>1072.5</v>
      </c>
    </row>
    <row r="83" spans="1:3">
      <c r="A83" s="84">
        <v>41759</v>
      </c>
      <c r="B83" s="85">
        <v>149.1</v>
      </c>
      <c r="C83" s="86">
        <v>1111.25</v>
      </c>
    </row>
    <row r="84" spans="1:3">
      <c r="A84" s="84">
        <v>41763</v>
      </c>
      <c r="B84" s="85">
        <v>149</v>
      </c>
      <c r="C84" s="86">
        <v>1156.25</v>
      </c>
    </row>
    <row r="85" spans="1:3">
      <c r="A85" s="84">
        <v>41764</v>
      </c>
      <c r="B85" s="85">
        <v>145</v>
      </c>
      <c r="C85" s="86">
        <v>1178.75</v>
      </c>
    </row>
    <row r="86" spans="1:3">
      <c r="A86" s="84">
        <v>41765</v>
      </c>
      <c r="B86" s="85">
        <v>140</v>
      </c>
      <c r="C86" s="86">
        <v>1191.25</v>
      </c>
    </row>
    <row r="87" spans="1:3">
      <c r="A87" s="84">
        <v>41766</v>
      </c>
      <c r="B87" s="85">
        <v>137</v>
      </c>
      <c r="C87" s="86">
        <v>1213.75</v>
      </c>
    </row>
    <row r="88" spans="1:3">
      <c r="A88" s="84">
        <v>41767</v>
      </c>
      <c r="B88" s="85">
        <v>136</v>
      </c>
      <c r="C88" s="86">
        <v>1262.5</v>
      </c>
    </row>
    <row r="89" spans="1:3">
      <c r="A89" s="84">
        <v>41768</v>
      </c>
      <c r="B89" s="85">
        <v>136</v>
      </c>
      <c r="C89" s="86">
        <v>1262.5</v>
      </c>
    </row>
    <row r="90" spans="1:3">
      <c r="A90" s="84">
        <v>41771</v>
      </c>
      <c r="B90" s="85">
        <v>136</v>
      </c>
      <c r="C90" s="86">
        <v>1262.5</v>
      </c>
    </row>
    <row r="91" spans="1:3">
      <c r="A91" s="84">
        <v>41772</v>
      </c>
      <c r="B91" s="85">
        <v>130</v>
      </c>
      <c r="C91" s="86">
        <v>1262.5</v>
      </c>
    </row>
    <row r="92" spans="1:3">
      <c r="A92" s="84">
        <v>41773</v>
      </c>
      <c r="B92" s="85">
        <v>130</v>
      </c>
      <c r="C92" s="86">
        <v>1262.5</v>
      </c>
    </row>
    <row r="93" spans="1:3">
      <c r="A93" s="84">
        <v>41774</v>
      </c>
      <c r="B93" s="85">
        <v>130</v>
      </c>
      <c r="C93" s="86">
        <v>1262.5</v>
      </c>
    </row>
    <row r="94" spans="1:3">
      <c r="A94" s="84">
        <v>41775</v>
      </c>
      <c r="B94" s="85">
        <v>130</v>
      </c>
      <c r="C94" s="86">
        <v>1262.5</v>
      </c>
    </row>
    <row r="95" spans="1:3">
      <c r="A95" s="84">
        <v>41775</v>
      </c>
      <c r="B95" s="85">
        <v>130</v>
      </c>
      <c r="C95" s="86">
        <v>1262.5</v>
      </c>
    </row>
    <row r="96" spans="1:3">
      <c r="A96" s="84">
        <v>41778</v>
      </c>
      <c r="B96" s="85">
        <v>130</v>
      </c>
      <c r="C96" s="86">
        <v>1262.5</v>
      </c>
    </row>
    <row r="97" spans="1:3">
      <c r="A97" s="84">
        <v>41779</v>
      </c>
      <c r="B97" s="85">
        <v>127</v>
      </c>
      <c r="C97" s="86">
        <v>1258.75</v>
      </c>
    </row>
    <row r="98" spans="1:3">
      <c r="A98" s="84">
        <v>41780</v>
      </c>
      <c r="B98" s="85">
        <v>130</v>
      </c>
      <c r="C98" s="86">
        <v>1258.75</v>
      </c>
    </row>
    <row r="99" spans="1:3">
      <c r="A99" s="84">
        <v>41781</v>
      </c>
      <c r="B99" s="85">
        <v>127</v>
      </c>
      <c r="C99" s="86">
        <v>1258.75</v>
      </c>
    </row>
    <row r="100" spans="1:3">
      <c r="A100" s="84">
        <v>41782</v>
      </c>
      <c r="B100" s="85">
        <v>127</v>
      </c>
      <c r="C100" s="86">
        <v>1258.75</v>
      </c>
    </row>
    <row r="101" spans="1:3">
      <c r="A101" s="84">
        <v>41785</v>
      </c>
      <c r="B101" s="85">
        <v>125.2</v>
      </c>
      <c r="C101" s="86">
        <v>1258.75</v>
      </c>
    </row>
    <row r="102" spans="1:3">
      <c r="A102" s="84">
        <v>41786</v>
      </c>
      <c r="B102" s="85">
        <v>121.2</v>
      </c>
      <c r="C102" s="86">
        <v>1258.75</v>
      </c>
    </row>
    <row r="103" spans="1:3">
      <c r="A103" s="84">
        <v>41787</v>
      </c>
      <c r="B103" s="85">
        <v>121.2</v>
      </c>
      <c r="C103" s="86">
        <v>1258.75</v>
      </c>
    </row>
    <row r="104" spans="1:3">
      <c r="A104" s="84">
        <v>41788</v>
      </c>
      <c r="B104" s="85">
        <v>119.2</v>
      </c>
      <c r="C104" s="86">
        <v>1242.5</v>
      </c>
    </row>
    <row r="105" spans="1:3">
      <c r="A105" s="84">
        <v>41789</v>
      </c>
      <c r="B105" s="85">
        <v>119.2</v>
      </c>
      <c r="C105" s="86">
        <v>1242.5</v>
      </c>
    </row>
    <row r="106" spans="1:3">
      <c r="A106" s="84">
        <v>41793</v>
      </c>
      <c r="B106" s="85">
        <v>118.2</v>
      </c>
      <c r="C106" s="86">
        <v>1242.5</v>
      </c>
    </row>
    <row r="107" spans="1:3">
      <c r="A107" s="84">
        <v>41794</v>
      </c>
      <c r="B107" s="85">
        <v>118.2</v>
      </c>
      <c r="C107" s="86">
        <v>1222.5</v>
      </c>
    </row>
    <row r="108" spans="1:3">
      <c r="A108" s="84">
        <v>41795</v>
      </c>
      <c r="B108" s="85">
        <v>112</v>
      </c>
      <c r="C108" s="86">
        <v>1222.5</v>
      </c>
    </row>
    <row r="109" spans="1:3">
      <c r="A109" s="84">
        <v>41796</v>
      </c>
      <c r="B109" s="85">
        <v>112</v>
      </c>
      <c r="C109" s="86">
        <v>1222.5</v>
      </c>
    </row>
    <row r="110" spans="1:3">
      <c r="A110" s="84">
        <v>41799</v>
      </c>
      <c r="B110" s="85">
        <v>114</v>
      </c>
      <c r="C110" s="86">
        <v>1222.5</v>
      </c>
    </row>
    <row r="111" spans="1:3">
      <c r="A111" s="84">
        <v>41800</v>
      </c>
      <c r="B111" s="85">
        <v>118</v>
      </c>
      <c r="C111" s="86">
        <v>1230</v>
      </c>
    </row>
    <row r="112" spans="1:3">
      <c r="A112" s="84">
        <v>41801</v>
      </c>
      <c r="B112" s="85">
        <v>118.2</v>
      </c>
      <c r="C112" s="86">
        <v>1245</v>
      </c>
    </row>
    <row r="113" spans="1:3">
      <c r="A113" s="84">
        <v>41802</v>
      </c>
      <c r="B113" s="85">
        <v>119.2</v>
      </c>
      <c r="C113" s="86">
        <v>1245</v>
      </c>
    </row>
    <row r="114" spans="1:3">
      <c r="A114" s="84">
        <v>41803</v>
      </c>
      <c r="B114" s="85">
        <v>126.2</v>
      </c>
      <c r="C114" s="86">
        <v>1245</v>
      </c>
    </row>
    <row r="115" spans="1:3">
      <c r="A115" s="84">
        <v>41806</v>
      </c>
      <c r="B115" s="85">
        <v>126.2</v>
      </c>
      <c r="C115" s="86">
        <v>1260</v>
      </c>
    </row>
    <row r="116" spans="1:3">
      <c r="A116" s="84">
        <v>41807</v>
      </c>
      <c r="B116" s="85">
        <v>125.2</v>
      </c>
      <c r="C116" s="86">
        <v>1270</v>
      </c>
    </row>
    <row r="117" spans="1:3">
      <c r="A117" s="84">
        <v>41808</v>
      </c>
      <c r="B117" s="85">
        <v>120.2</v>
      </c>
      <c r="C117" s="86">
        <v>1270</v>
      </c>
    </row>
    <row r="118" spans="1:3">
      <c r="A118" s="84">
        <v>41809</v>
      </c>
      <c r="B118" s="85">
        <v>120.2</v>
      </c>
      <c r="C118" s="86">
        <v>1275</v>
      </c>
    </row>
    <row r="119" spans="1:3">
      <c r="A119" s="84">
        <v>41810</v>
      </c>
      <c r="B119" s="85">
        <v>120.2</v>
      </c>
      <c r="C119" s="86">
        <v>1275</v>
      </c>
    </row>
    <row r="120" spans="1:3">
      <c r="A120" s="84">
        <v>41813</v>
      </c>
      <c r="B120" s="85">
        <v>128.1</v>
      </c>
      <c r="C120" s="86">
        <v>1282.5</v>
      </c>
    </row>
    <row r="121" spans="1:3">
      <c r="A121" s="84">
        <v>41814</v>
      </c>
      <c r="B121" s="85">
        <v>128.4</v>
      </c>
      <c r="C121" s="86">
        <v>1295</v>
      </c>
    </row>
    <row r="122" spans="1:3">
      <c r="A122" s="84">
        <v>41815</v>
      </c>
      <c r="B122" s="85">
        <v>131.5</v>
      </c>
      <c r="C122" s="86">
        <v>1312.5</v>
      </c>
    </row>
    <row r="123" spans="1:3">
      <c r="A123" s="84">
        <v>41816</v>
      </c>
      <c r="B123" s="85">
        <v>130.5</v>
      </c>
      <c r="C123" s="86">
        <v>1312.5</v>
      </c>
    </row>
    <row r="124" spans="1:3">
      <c r="A124" s="84">
        <v>41817</v>
      </c>
      <c r="B124" s="85">
        <v>130.5</v>
      </c>
      <c r="C124" s="86">
        <v>1312.5</v>
      </c>
    </row>
    <row r="125" spans="1:3">
      <c r="A125" s="84">
        <v>41820</v>
      </c>
      <c r="B125" s="85">
        <v>129.5</v>
      </c>
      <c r="C125" s="86">
        <v>1335</v>
      </c>
    </row>
    <row r="126" spans="1:3">
      <c r="A126" s="84">
        <v>41821</v>
      </c>
      <c r="B126" s="85">
        <v>130.5</v>
      </c>
      <c r="C126" s="86">
        <v>1287.5</v>
      </c>
    </row>
    <row r="127" spans="1:3">
      <c r="A127" s="84">
        <v>41822</v>
      </c>
      <c r="B127" s="85">
        <v>132.3</v>
      </c>
      <c r="C127" s="86">
        <v>1287.5</v>
      </c>
    </row>
    <row r="128" spans="1:3">
      <c r="A128" s="84">
        <v>41823</v>
      </c>
      <c r="B128" s="85">
        <v>132.8</v>
      </c>
      <c r="C128" s="86">
        <v>1290</v>
      </c>
    </row>
    <row r="129" spans="1:3">
      <c r="A129" s="84">
        <v>41824</v>
      </c>
      <c r="B129" s="85">
        <v>137.8</v>
      </c>
      <c r="C129" s="86">
        <v>1290</v>
      </c>
    </row>
    <row r="130" spans="1:3">
      <c r="A130" s="84">
        <v>41827</v>
      </c>
      <c r="B130" s="85">
        <v>137.8</v>
      </c>
      <c r="C130" s="86">
        <v>1287.5</v>
      </c>
    </row>
    <row r="131" spans="1:3">
      <c r="A131" s="84">
        <v>41828</v>
      </c>
      <c r="B131" s="85">
        <v>137.8</v>
      </c>
      <c r="C131" s="86">
        <v>1282.5</v>
      </c>
    </row>
    <row r="132" spans="1:3">
      <c r="A132" s="84">
        <v>41829</v>
      </c>
      <c r="B132" s="85">
        <v>137.8</v>
      </c>
      <c r="C132" s="86">
        <v>1283.75</v>
      </c>
    </row>
    <row r="133" spans="1:3">
      <c r="A133" s="84">
        <v>41830</v>
      </c>
      <c r="B133" s="85">
        <v>142.5</v>
      </c>
      <c r="C133" s="86">
        <v>1286.25</v>
      </c>
    </row>
    <row r="134" spans="1:3">
      <c r="A134" s="84">
        <v>41831</v>
      </c>
      <c r="B134" s="85">
        <v>144</v>
      </c>
      <c r="C134" s="86">
        <v>1285</v>
      </c>
    </row>
    <row r="135" spans="1:3">
      <c r="A135" s="84">
        <v>41834</v>
      </c>
      <c r="B135" s="85">
        <v>144</v>
      </c>
      <c r="C135" s="86">
        <v>1292.5</v>
      </c>
    </row>
    <row r="136" spans="1:3">
      <c r="A136" s="84">
        <v>41835</v>
      </c>
      <c r="B136" s="85">
        <v>141.2</v>
      </c>
      <c r="C136" s="86">
        <v>1292.5</v>
      </c>
    </row>
    <row r="137" spans="1:3">
      <c r="A137" s="84">
        <v>41836</v>
      </c>
      <c r="B137" s="85">
        <v>141.2</v>
      </c>
      <c r="C137" s="86">
        <v>1295</v>
      </c>
    </row>
    <row r="138" spans="1:3">
      <c r="A138" s="84">
        <v>41837</v>
      </c>
      <c r="B138" s="85">
        <v>139.7</v>
      </c>
      <c r="C138" s="86">
        <v>1295</v>
      </c>
    </row>
    <row r="139" spans="1:3">
      <c r="A139" s="84">
        <v>41838</v>
      </c>
      <c r="B139" s="85">
        <v>138.7</v>
      </c>
      <c r="C139" s="86">
        <v>1295</v>
      </c>
    </row>
    <row r="140" spans="1:3">
      <c r="A140" s="84">
        <v>41841</v>
      </c>
      <c r="B140" s="85">
        <v>138.7</v>
      </c>
      <c r="C140" s="86">
        <v>1290</v>
      </c>
    </row>
    <row r="141" spans="1:3">
      <c r="A141" s="84">
        <v>41842</v>
      </c>
      <c r="B141" s="85">
        <v>144.3</v>
      </c>
      <c r="C141" s="86">
        <v>1282.5</v>
      </c>
    </row>
    <row r="142" spans="1:3">
      <c r="A142" s="84">
        <v>41843</v>
      </c>
      <c r="B142" s="85">
        <v>148.3</v>
      </c>
      <c r="C142" s="86">
        <v>1281.25</v>
      </c>
    </row>
    <row r="143" spans="1:3">
      <c r="A143" s="84">
        <v>41844</v>
      </c>
      <c r="B143" s="85">
        <v>149.3</v>
      </c>
      <c r="C143" s="86">
        <v>1272.5</v>
      </c>
    </row>
    <row r="144" spans="1:3">
      <c r="A144" s="84">
        <v>41845</v>
      </c>
      <c r="B144" s="85">
        <v>148.2</v>
      </c>
      <c r="C144" s="86">
        <v>1265</v>
      </c>
    </row>
    <row r="145" spans="1:3">
      <c r="A145" s="84">
        <v>41848</v>
      </c>
      <c r="B145" s="85">
        <v>148.2</v>
      </c>
      <c r="C145" s="86">
        <v>1263.75</v>
      </c>
    </row>
    <row r="146" spans="1:3">
      <c r="A146" s="84">
        <v>41849</v>
      </c>
      <c r="B146" s="85">
        <v>149.4</v>
      </c>
      <c r="C146" s="86">
        <v>1263.75</v>
      </c>
    </row>
    <row r="147" spans="1:3">
      <c r="A147" s="84">
        <v>41850</v>
      </c>
      <c r="B147" s="85">
        <v>147.3</v>
      </c>
      <c r="C147" s="86">
        <v>1277.5</v>
      </c>
    </row>
    <row r="148" spans="1:3">
      <c r="A148" s="84">
        <v>41851</v>
      </c>
      <c r="B148" s="85">
        <v>150.3</v>
      </c>
      <c r="C148" s="86">
        <v>1277.5</v>
      </c>
    </row>
    <row r="149" spans="1:3">
      <c r="A149" s="84">
        <v>41852</v>
      </c>
      <c r="B149" s="85">
        <v>154.3</v>
      </c>
      <c r="C149" s="86">
        <v>1300</v>
      </c>
    </row>
    <row r="150" spans="1:3">
      <c r="A150" s="84">
        <v>41855</v>
      </c>
      <c r="B150" s="85">
        <v>151.5</v>
      </c>
      <c r="C150" s="86">
        <v>1300</v>
      </c>
    </row>
    <row r="151" spans="1:3">
      <c r="A151" s="84">
        <v>41856</v>
      </c>
      <c r="B151" s="85">
        <v>151.5</v>
      </c>
      <c r="C151" s="86">
        <v>1300</v>
      </c>
    </row>
    <row r="152" spans="1:3">
      <c r="A152" s="84">
        <v>41857</v>
      </c>
      <c r="B152" s="85">
        <v>145.5</v>
      </c>
      <c r="C152" s="86">
        <v>1300</v>
      </c>
    </row>
    <row r="153" spans="1:3">
      <c r="A153" s="84">
        <v>41858</v>
      </c>
      <c r="B153" s="85">
        <v>145.9</v>
      </c>
      <c r="C153" s="86">
        <v>1287.5</v>
      </c>
    </row>
    <row r="154" spans="1:3">
      <c r="A154" s="84">
        <v>41859</v>
      </c>
      <c r="B154" s="85">
        <v>145.9</v>
      </c>
      <c r="C154" s="86">
        <v>1287.5</v>
      </c>
    </row>
    <row r="155" spans="1:3">
      <c r="A155" s="84">
        <v>41862</v>
      </c>
      <c r="B155" s="85">
        <v>143.7</v>
      </c>
      <c r="C155" s="86">
        <v>1272.5</v>
      </c>
    </row>
    <row r="156" spans="1:3">
      <c r="A156" s="84">
        <v>41863</v>
      </c>
      <c r="B156" s="85">
        <v>144.8</v>
      </c>
      <c r="C156" s="86">
        <v>1272.5</v>
      </c>
    </row>
    <row r="157" spans="1:3">
      <c r="A157" s="84">
        <v>41864</v>
      </c>
      <c r="B157" s="85">
        <v>143.8</v>
      </c>
      <c r="C157" s="86">
        <v>1272.5</v>
      </c>
    </row>
    <row r="158" spans="1:3">
      <c r="A158" s="84">
        <v>41865</v>
      </c>
      <c r="B158" s="85">
        <v>137.8</v>
      </c>
      <c r="C158" s="86">
        <v>1272.5</v>
      </c>
    </row>
    <row r="159" spans="1:3">
      <c r="A159" s="84">
        <v>41866</v>
      </c>
      <c r="B159" s="85">
        <v>148.3</v>
      </c>
      <c r="C159" s="86">
        <v>1272.5</v>
      </c>
    </row>
    <row r="160" spans="1:3">
      <c r="A160" s="84">
        <v>41869</v>
      </c>
      <c r="B160" s="85">
        <v>148.3</v>
      </c>
      <c r="C160" s="86">
        <v>1272.5</v>
      </c>
    </row>
    <row r="161" spans="1:3">
      <c r="A161" s="84">
        <v>41870</v>
      </c>
      <c r="B161" s="85">
        <v>149.6</v>
      </c>
      <c r="C161" s="86">
        <v>1255</v>
      </c>
    </row>
    <row r="162" spans="1:3">
      <c r="A162" s="84">
        <v>41871</v>
      </c>
      <c r="B162" s="85">
        <v>150.2</v>
      </c>
      <c r="C162" s="86">
        <v>1255</v>
      </c>
    </row>
    <row r="163" spans="1:3">
      <c r="A163" s="84">
        <v>41872</v>
      </c>
      <c r="B163" s="85">
        <v>146.2</v>
      </c>
      <c r="C163" s="86">
        <v>1255</v>
      </c>
    </row>
    <row r="164" spans="1:3">
      <c r="A164" s="84">
        <v>41873</v>
      </c>
      <c r="B164" s="85">
        <v>146.2</v>
      </c>
      <c r="C164" s="86">
        <v>1255</v>
      </c>
    </row>
    <row r="165" spans="1:3">
      <c r="A165" s="84">
        <v>41876</v>
      </c>
      <c r="B165" s="85">
        <v>147.4</v>
      </c>
      <c r="C165" s="86">
        <v>1255</v>
      </c>
    </row>
    <row r="166" spans="1:3">
      <c r="A166" s="84">
        <v>41877</v>
      </c>
      <c r="B166" s="85">
        <v>145.4</v>
      </c>
      <c r="C166" s="86">
        <v>1255</v>
      </c>
    </row>
    <row r="167" spans="1:3">
      <c r="A167" s="84">
        <v>41878</v>
      </c>
      <c r="B167" s="85">
        <v>145.4</v>
      </c>
      <c r="C167" s="86">
        <v>1255</v>
      </c>
    </row>
    <row r="168" spans="1:3">
      <c r="A168" s="84">
        <v>41879</v>
      </c>
      <c r="B168" s="85">
        <v>145.4</v>
      </c>
      <c r="C168" s="86">
        <v>1250</v>
      </c>
    </row>
    <row r="169" spans="1:3">
      <c r="A169" s="84">
        <v>41880</v>
      </c>
      <c r="B169" s="85">
        <v>145.4</v>
      </c>
      <c r="C169" s="86">
        <v>1250</v>
      </c>
    </row>
    <row r="170" spans="1:3">
      <c r="A170" s="84">
        <v>41887</v>
      </c>
      <c r="B170" s="87">
        <v>150.8</v>
      </c>
      <c r="C170" s="86">
        <v>1263.33333333333</v>
      </c>
    </row>
    <row r="171" spans="1:3">
      <c r="A171" s="84">
        <v>41891</v>
      </c>
      <c r="B171" s="87">
        <v>157.8</v>
      </c>
      <c r="C171" s="86">
        <v>1238.75</v>
      </c>
    </row>
    <row r="172" spans="1:3">
      <c r="A172" s="84">
        <v>41892</v>
      </c>
      <c r="B172" s="87">
        <v>157.8</v>
      </c>
      <c r="C172" s="86">
        <v>1226.25</v>
      </c>
    </row>
    <row r="173" spans="1:3">
      <c r="A173" s="84">
        <v>41893</v>
      </c>
      <c r="B173" s="87">
        <v>163.5</v>
      </c>
      <c r="C173" s="86">
        <v>1220</v>
      </c>
    </row>
    <row r="174" spans="1:3">
      <c r="A174" s="84">
        <v>41894</v>
      </c>
      <c r="B174" s="87">
        <v>164</v>
      </c>
      <c r="C174" s="86">
        <v>1190</v>
      </c>
    </row>
    <row r="175" spans="1:3">
      <c r="A175" s="84">
        <v>41897</v>
      </c>
      <c r="B175" s="87">
        <v>164</v>
      </c>
      <c r="C175" s="86">
        <v>1190</v>
      </c>
    </row>
    <row r="176" spans="1:3">
      <c r="A176" s="84">
        <v>41898</v>
      </c>
      <c r="B176" s="87">
        <v>164</v>
      </c>
      <c r="C176" s="86">
        <v>1142.5</v>
      </c>
    </row>
    <row r="177" spans="1:3">
      <c r="A177" s="84">
        <v>41899</v>
      </c>
      <c r="B177" s="87">
        <v>164</v>
      </c>
      <c r="C177" s="86">
        <v>1142.5</v>
      </c>
    </row>
    <row r="178" spans="1:3">
      <c r="A178" s="84">
        <v>41900</v>
      </c>
      <c r="B178" s="87">
        <v>164</v>
      </c>
      <c r="C178" s="86">
        <v>1142.5</v>
      </c>
    </row>
    <row r="179" spans="1:3">
      <c r="A179" s="84">
        <v>41901</v>
      </c>
      <c r="B179" s="87">
        <v>164</v>
      </c>
      <c r="C179" s="86">
        <v>1142.5</v>
      </c>
    </row>
    <row r="180" spans="1:3">
      <c r="A180" s="84">
        <v>41905</v>
      </c>
      <c r="B180" s="87">
        <v>164.5</v>
      </c>
      <c r="C180" s="86">
        <v>1135</v>
      </c>
    </row>
    <row r="181" spans="1:3">
      <c r="A181" s="84">
        <v>41906</v>
      </c>
      <c r="B181" s="87">
        <v>164.5</v>
      </c>
      <c r="C181" s="86">
        <v>1135</v>
      </c>
    </row>
    <row r="182" spans="1:3">
      <c r="A182" s="84">
        <v>41907</v>
      </c>
      <c r="B182" s="85">
        <v>165.5</v>
      </c>
      <c r="C182" s="88">
        <v>1125</v>
      </c>
    </row>
    <row r="183" spans="1:3">
      <c r="A183" s="84">
        <v>41908</v>
      </c>
      <c r="B183" s="85">
        <v>165.5</v>
      </c>
      <c r="C183" s="88">
        <v>1100</v>
      </c>
    </row>
    <row r="184" spans="1:3">
      <c r="A184" s="84">
        <v>41910</v>
      </c>
      <c r="B184" s="85">
        <v>166.5</v>
      </c>
      <c r="C184" s="88">
        <v>1080</v>
      </c>
    </row>
    <row r="185" spans="1:3">
      <c r="A185" s="84">
        <v>41911</v>
      </c>
      <c r="B185" s="85">
        <v>166.5</v>
      </c>
      <c r="C185" s="88">
        <v>1080</v>
      </c>
    </row>
    <row r="186" spans="1:3">
      <c r="A186" s="84">
        <v>41912</v>
      </c>
      <c r="B186" s="85">
        <v>166.5</v>
      </c>
      <c r="C186" s="88">
        <v>1070</v>
      </c>
    </row>
    <row r="187" spans="1:3">
      <c r="A187" s="84">
        <v>41920</v>
      </c>
      <c r="B187" s="85">
        <v>165.6</v>
      </c>
      <c r="C187" s="88">
        <v>1060</v>
      </c>
    </row>
    <row r="188" spans="1:3">
      <c r="A188" s="84">
        <v>41921</v>
      </c>
      <c r="B188" s="85">
        <v>171.5</v>
      </c>
      <c r="C188" s="88">
        <v>1050</v>
      </c>
    </row>
    <row r="189" spans="1:3">
      <c r="A189" s="84">
        <v>41922</v>
      </c>
      <c r="B189" s="85">
        <v>170.5</v>
      </c>
      <c r="C189" s="88">
        <v>1050</v>
      </c>
    </row>
    <row r="190" spans="1:3">
      <c r="A190" s="84">
        <v>41923</v>
      </c>
      <c r="B190" s="89">
        <v>170</v>
      </c>
      <c r="C190" s="90">
        <v>1050</v>
      </c>
    </row>
    <row r="191" spans="1:3">
      <c r="A191" s="84">
        <v>41925</v>
      </c>
      <c r="B191" s="89">
        <v>170</v>
      </c>
      <c r="C191" s="90">
        <v>1040</v>
      </c>
    </row>
    <row r="192" spans="1:3">
      <c r="A192" s="84">
        <v>41926</v>
      </c>
      <c r="B192" s="89">
        <v>170</v>
      </c>
      <c r="C192" s="90">
        <v>1040</v>
      </c>
    </row>
    <row r="193" spans="1:3">
      <c r="A193" s="84">
        <v>41927</v>
      </c>
      <c r="B193" s="89">
        <v>170</v>
      </c>
      <c r="C193" s="90">
        <v>1030</v>
      </c>
    </row>
    <row r="194" spans="1:3">
      <c r="A194" s="84">
        <v>41928</v>
      </c>
      <c r="B194" s="89">
        <v>170</v>
      </c>
      <c r="C194" s="90">
        <v>1030</v>
      </c>
    </row>
    <row r="195" spans="1:3">
      <c r="A195" s="91">
        <v>41929</v>
      </c>
      <c r="B195" s="92">
        <v>170.6</v>
      </c>
      <c r="C195" s="88">
        <v>1030</v>
      </c>
    </row>
    <row r="196" spans="1:3">
      <c r="A196" s="91">
        <v>41932</v>
      </c>
      <c r="B196" s="92">
        <v>168.5</v>
      </c>
      <c r="C196" s="88">
        <v>980</v>
      </c>
    </row>
    <row r="197" spans="1:3">
      <c r="A197" s="91">
        <v>41933</v>
      </c>
      <c r="B197" s="92">
        <v>168.5</v>
      </c>
      <c r="C197" s="88">
        <v>980</v>
      </c>
    </row>
    <row r="198" spans="1:3">
      <c r="A198" s="91">
        <v>41934</v>
      </c>
      <c r="B198" s="92">
        <v>167.5</v>
      </c>
      <c r="C198" s="88">
        <v>980</v>
      </c>
    </row>
    <row r="199" spans="1:3">
      <c r="A199" s="91">
        <v>41935</v>
      </c>
      <c r="B199" s="92">
        <v>165.5</v>
      </c>
      <c r="C199" s="88">
        <v>980</v>
      </c>
    </row>
    <row r="200" spans="1:3">
      <c r="A200" s="91">
        <v>41936</v>
      </c>
      <c r="B200" s="92">
        <v>164.4</v>
      </c>
      <c r="C200" s="88">
        <v>1000</v>
      </c>
    </row>
    <row r="201" spans="1:3">
      <c r="A201" s="91">
        <v>41939</v>
      </c>
      <c r="B201" s="92">
        <v>164.4</v>
      </c>
      <c r="C201" s="88">
        <v>1000</v>
      </c>
    </row>
    <row r="202" spans="1:3">
      <c r="A202" s="93">
        <v>41940</v>
      </c>
      <c r="B202" s="94">
        <v>161.4</v>
      </c>
      <c r="C202" s="95">
        <v>1000</v>
      </c>
    </row>
    <row r="203" spans="1:3">
      <c r="A203" s="93">
        <v>41941</v>
      </c>
      <c r="B203" s="94">
        <v>160.4</v>
      </c>
      <c r="C203" s="95">
        <v>1000</v>
      </c>
    </row>
    <row r="204" spans="1:3">
      <c r="A204" s="93">
        <v>41942</v>
      </c>
      <c r="B204" s="94">
        <v>160.4</v>
      </c>
      <c r="C204" s="95">
        <v>1050</v>
      </c>
    </row>
    <row r="205" spans="1:3">
      <c r="A205" s="93">
        <v>41943</v>
      </c>
      <c r="B205" s="94">
        <v>164.6</v>
      </c>
      <c r="C205" s="95">
        <v>1050</v>
      </c>
    </row>
    <row r="206" spans="1:3">
      <c r="A206" s="93">
        <v>41946</v>
      </c>
      <c r="B206" s="94">
        <v>164.6</v>
      </c>
      <c r="C206" s="95">
        <v>1050</v>
      </c>
    </row>
    <row r="207" spans="1:3">
      <c r="A207" s="91">
        <v>41947</v>
      </c>
      <c r="B207" s="92">
        <v>162.1</v>
      </c>
      <c r="C207" s="88">
        <v>1050</v>
      </c>
    </row>
    <row r="208" spans="1:3">
      <c r="A208" s="91">
        <v>41948</v>
      </c>
      <c r="B208" s="92">
        <v>162.1</v>
      </c>
      <c r="C208" s="88">
        <v>1060</v>
      </c>
    </row>
    <row r="209" spans="1:3">
      <c r="A209" s="91">
        <v>41949</v>
      </c>
      <c r="B209" s="92">
        <v>164.3</v>
      </c>
      <c r="C209" s="88">
        <v>1130</v>
      </c>
    </row>
    <row r="210" spans="1:3">
      <c r="A210" s="91">
        <v>41950</v>
      </c>
      <c r="B210" s="92">
        <v>157.3</v>
      </c>
      <c r="C210" s="88">
        <v>1130</v>
      </c>
    </row>
    <row r="211" spans="1:3">
      <c r="A211" s="91">
        <v>41953</v>
      </c>
      <c r="B211" s="92">
        <v>155.5</v>
      </c>
      <c r="C211" s="88">
        <v>1180</v>
      </c>
    </row>
    <row r="212" spans="1:3">
      <c r="A212" s="91">
        <v>41954</v>
      </c>
      <c r="B212" s="92">
        <v>155.5</v>
      </c>
      <c r="C212" s="88">
        <v>1180</v>
      </c>
    </row>
    <row r="213" spans="1:3">
      <c r="A213" s="91">
        <v>41955</v>
      </c>
      <c r="B213" s="92">
        <v>159.5</v>
      </c>
      <c r="C213" s="88">
        <v>1180</v>
      </c>
    </row>
    <row r="214" spans="1:3">
      <c r="A214" s="91">
        <v>41956</v>
      </c>
      <c r="B214" s="92">
        <v>157.3</v>
      </c>
      <c r="C214" s="88">
        <v>1180</v>
      </c>
    </row>
    <row r="215" spans="1:3">
      <c r="A215" s="91">
        <v>41957</v>
      </c>
      <c r="B215" s="92">
        <v>157.3</v>
      </c>
      <c r="C215" s="88">
        <v>1180</v>
      </c>
    </row>
    <row r="216" spans="1:3">
      <c r="A216" s="91">
        <v>41960</v>
      </c>
      <c r="B216" s="92">
        <v>157.3</v>
      </c>
      <c r="C216" s="88">
        <v>1180</v>
      </c>
    </row>
    <row r="217" spans="1:3">
      <c r="A217" s="91">
        <v>41961</v>
      </c>
      <c r="B217" s="92">
        <v>159.3</v>
      </c>
      <c r="C217" s="88">
        <v>1180</v>
      </c>
    </row>
    <row r="218" spans="1:3">
      <c r="A218" s="91">
        <v>41962</v>
      </c>
      <c r="B218" s="92">
        <v>159.3</v>
      </c>
      <c r="C218" s="88">
        <v>1180</v>
      </c>
    </row>
    <row r="219" spans="1:3">
      <c r="A219" s="91">
        <v>41963</v>
      </c>
      <c r="B219" s="92">
        <v>154.5</v>
      </c>
      <c r="C219" s="88">
        <v>1160</v>
      </c>
    </row>
    <row r="220" spans="1:3">
      <c r="A220" s="91">
        <v>41964</v>
      </c>
      <c r="B220" s="96">
        <v>154.5</v>
      </c>
      <c r="C220" s="88">
        <v>1160</v>
      </c>
    </row>
    <row r="221" spans="1:3">
      <c r="A221" s="91">
        <v>41967</v>
      </c>
      <c r="B221" s="96">
        <v>150.5</v>
      </c>
      <c r="C221" s="88">
        <v>1160</v>
      </c>
    </row>
    <row r="222" spans="1:3">
      <c r="A222" s="91">
        <v>41968</v>
      </c>
      <c r="B222" s="96">
        <v>150.5</v>
      </c>
      <c r="C222" s="97">
        <v>1170</v>
      </c>
    </row>
    <row r="223" spans="1:3">
      <c r="A223" s="91">
        <v>41969</v>
      </c>
      <c r="B223" s="96">
        <v>150.5</v>
      </c>
      <c r="C223" s="97">
        <v>1170</v>
      </c>
    </row>
    <row r="224" spans="1:3">
      <c r="A224" s="91">
        <v>41970</v>
      </c>
      <c r="B224" s="96">
        <v>146.5</v>
      </c>
      <c r="C224" s="97">
        <v>1200</v>
      </c>
    </row>
    <row r="225" spans="1:3">
      <c r="A225" s="91">
        <v>41971</v>
      </c>
      <c r="B225" s="96">
        <v>134.5</v>
      </c>
      <c r="C225" s="97">
        <v>1200</v>
      </c>
    </row>
    <row r="226" spans="1:3">
      <c r="A226" s="91">
        <v>41972</v>
      </c>
      <c r="B226" s="96">
        <v>134.5</v>
      </c>
      <c r="C226" s="97">
        <v>1200</v>
      </c>
    </row>
    <row r="227" spans="1:3">
      <c r="A227" s="91">
        <v>41973</v>
      </c>
      <c r="B227" s="96">
        <v>134.5</v>
      </c>
      <c r="C227" s="97">
        <v>1200</v>
      </c>
    </row>
    <row r="228" spans="1:3">
      <c r="A228" s="91">
        <v>41974</v>
      </c>
      <c r="B228" s="96">
        <v>134.5</v>
      </c>
      <c r="C228" s="97">
        <v>1250</v>
      </c>
    </row>
    <row r="229" spans="1:3">
      <c r="A229" s="91">
        <v>41975</v>
      </c>
      <c r="B229" s="96">
        <v>125.5</v>
      </c>
      <c r="C229" s="97">
        <v>1250</v>
      </c>
    </row>
    <row r="230" spans="1:3">
      <c r="A230" s="91">
        <v>41976</v>
      </c>
      <c r="B230" s="96">
        <v>125.5</v>
      </c>
      <c r="C230" s="97">
        <v>1250</v>
      </c>
    </row>
    <row r="231" spans="1:3">
      <c r="A231" s="91">
        <v>41977</v>
      </c>
      <c r="B231" s="96">
        <v>126.5</v>
      </c>
      <c r="C231" s="97">
        <v>1280</v>
      </c>
    </row>
    <row r="232" spans="1:3">
      <c r="A232" s="98">
        <v>41978</v>
      </c>
      <c r="B232" s="96">
        <v>126.5</v>
      </c>
      <c r="C232" s="97">
        <v>1280</v>
      </c>
    </row>
    <row r="233" spans="1:3">
      <c r="A233" s="98">
        <v>41981</v>
      </c>
      <c r="B233" s="96">
        <v>125.1</v>
      </c>
      <c r="C233" s="97">
        <v>1280</v>
      </c>
    </row>
    <row r="234" spans="1:3">
      <c r="A234" s="98">
        <v>41982</v>
      </c>
      <c r="B234" s="96">
        <v>125.1</v>
      </c>
      <c r="C234" s="97">
        <v>1300</v>
      </c>
    </row>
    <row r="235" spans="1:3">
      <c r="A235" s="98">
        <v>41983</v>
      </c>
      <c r="B235" s="96">
        <v>121.1</v>
      </c>
      <c r="C235" s="97">
        <v>1300</v>
      </c>
    </row>
    <row r="236" spans="1:3">
      <c r="A236" s="98">
        <v>41984</v>
      </c>
      <c r="B236" s="96">
        <v>121.1</v>
      </c>
      <c r="C236" s="97">
        <v>1320</v>
      </c>
    </row>
    <row r="237" spans="1:3">
      <c r="A237" s="98">
        <v>41985</v>
      </c>
      <c r="B237" s="96">
        <v>111.5</v>
      </c>
      <c r="C237" s="97">
        <v>1320</v>
      </c>
    </row>
    <row r="238" spans="1:3">
      <c r="A238" s="98">
        <v>41988</v>
      </c>
      <c r="B238" s="96">
        <v>111.5</v>
      </c>
      <c r="C238" s="97">
        <v>1320</v>
      </c>
    </row>
    <row r="239" spans="1:3">
      <c r="A239" s="98">
        <v>41989</v>
      </c>
      <c r="B239" s="96">
        <v>113.5</v>
      </c>
      <c r="C239" s="97">
        <v>1300</v>
      </c>
    </row>
    <row r="240" spans="1:3">
      <c r="A240" s="98">
        <v>41990</v>
      </c>
      <c r="B240" s="96">
        <v>110.5</v>
      </c>
      <c r="C240" s="97">
        <v>1300</v>
      </c>
    </row>
    <row r="241" spans="1:3">
      <c r="A241" s="98">
        <v>41991</v>
      </c>
      <c r="B241" s="96">
        <v>111.5</v>
      </c>
      <c r="C241" s="97">
        <v>1300</v>
      </c>
    </row>
    <row r="242" spans="1:3">
      <c r="A242" s="98">
        <v>41998</v>
      </c>
      <c r="B242" s="96">
        <v>111.2</v>
      </c>
      <c r="C242" s="97">
        <v>1350</v>
      </c>
    </row>
    <row r="243" spans="1:3">
      <c r="A243" s="98">
        <v>41999</v>
      </c>
      <c r="B243" s="96">
        <v>111.2</v>
      </c>
      <c r="C243" s="97">
        <v>1350</v>
      </c>
    </row>
    <row r="244" spans="1:3">
      <c r="A244" s="98">
        <v>42000</v>
      </c>
      <c r="B244" s="96">
        <v>111.2</v>
      </c>
      <c r="C244" s="97">
        <v>1350</v>
      </c>
    </row>
    <row r="245" spans="1:3">
      <c r="A245" s="98">
        <v>42001</v>
      </c>
      <c r="B245" s="96">
        <v>111.2</v>
      </c>
      <c r="C245" s="97">
        <v>1350</v>
      </c>
    </row>
    <row r="246" spans="1:3">
      <c r="A246" s="98">
        <v>42002</v>
      </c>
      <c r="B246" s="96">
        <v>124.3</v>
      </c>
      <c r="C246" s="97">
        <v>1350</v>
      </c>
    </row>
    <row r="247" spans="1:3">
      <c r="A247" s="98">
        <v>42003</v>
      </c>
      <c r="B247" s="96">
        <v>123.3</v>
      </c>
      <c r="C247" s="97">
        <v>1350</v>
      </c>
    </row>
    <row r="248" spans="1:3">
      <c r="A248" s="98">
        <v>42004</v>
      </c>
      <c r="B248" s="96">
        <v>123.3</v>
      </c>
      <c r="C248" s="97">
        <v>1350</v>
      </c>
    </row>
    <row r="249" spans="1:3">
      <c r="A249" s="98">
        <v>42008</v>
      </c>
      <c r="B249" s="96">
        <v>122.9</v>
      </c>
      <c r="C249" s="97">
        <v>1350</v>
      </c>
    </row>
    <row r="250" spans="1:3">
      <c r="A250" s="98">
        <v>42012</v>
      </c>
      <c r="B250" s="96">
        <v>124.3</v>
      </c>
      <c r="C250" s="97">
        <v>1375</v>
      </c>
    </row>
    <row r="251" spans="1:3">
      <c r="A251" s="98">
        <v>42019</v>
      </c>
      <c r="B251" s="96">
        <v>120.8</v>
      </c>
      <c r="C251" s="97">
        <v>1410</v>
      </c>
    </row>
    <row r="252" spans="1:3">
      <c r="A252" s="98">
        <v>42026</v>
      </c>
      <c r="B252" s="96">
        <v>120</v>
      </c>
      <c r="C252" s="97">
        <v>1380</v>
      </c>
    </row>
    <row r="253" spans="1:3">
      <c r="A253" s="98">
        <v>42033</v>
      </c>
      <c r="B253" s="96">
        <v>124</v>
      </c>
      <c r="C253" s="97">
        <v>1340</v>
      </c>
    </row>
    <row r="254" spans="1:3">
      <c r="A254" s="98">
        <v>42040</v>
      </c>
      <c r="B254" s="96">
        <v>124</v>
      </c>
      <c r="C254" s="97">
        <v>1350</v>
      </c>
    </row>
    <row r="255" spans="1:3">
      <c r="A255" s="98">
        <v>42047</v>
      </c>
      <c r="B255" s="96">
        <v>109.8</v>
      </c>
      <c r="C255" s="97">
        <v>1345</v>
      </c>
    </row>
    <row r="256" spans="1:3">
      <c r="A256" s="98">
        <v>42061</v>
      </c>
      <c r="B256" s="96">
        <v>105</v>
      </c>
      <c r="C256" s="97">
        <v>1340</v>
      </c>
    </row>
    <row r="257" spans="1:3">
      <c r="A257" s="98">
        <v>42068</v>
      </c>
      <c r="B257" s="96">
        <v>100</v>
      </c>
      <c r="C257" s="97">
        <v>1340</v>
      </c>
    </row>
    <row r="258" spans="1:3">
      <c r="A258" s="98">
        <v>42075</v>
      </c>
      <c r="B258" s="96">
        <v>107</v>
      </c>
      <c r="C258" s="97">
        <v>1335</v>
      </c>
    </row>
    <row r="259" spans="1:3">
      <c r="A259" s="98">
        <v>42082</v>
      </c>
      <c r="B259" s="96">
        <v>98.5</v>
      </c>
      <c r="C259" s="97">
        <v>1329</v>
      </c>
    </row>
    <row r="260" spans="1:3">
      <c r="A260" s="98">
        <v>42089</v>
      </c>
      <c r="B260" s="96">
        <v>97.9</v>
      </c>
      <c r="C260" s="97">
        <v>1310</v>
      </c>
    </row>
    <row r="261" spans="1:3">
      <c r="A261" s="98">
        <v>42096</v>
      </c>
      <c r="B261" s="96">
        <v>93.1</v>
      </c>
      <c r="C261" s="97">
        <v>1223</v>
      </c>
    </row>
    <row r="262" spans="1:3">
      <c r="A262" s="98">
        <v>42103</v>
      </c>
      <c r="B262" s="96">
        <v>94.4</v>
      </c>
      <c r="C262" s="97">
        <v>1150</v>
      </c>
    </row>
    <row r="263" spans="1:3">
      <c r="A263" s="98">
        <v>42110</v>
      </c>
      <c r="B263" s="96">
        <v>114</v>
      </c>
      <c r="C263" s="97">
        <v>1180</v>
      </c>
    </row>
    <row r="264" spans="1:3">
      <c r="A264" s="98">
        <v>42117</v>
      </c>
      <c r="B264" s="96">
        <v>112.9</v>
      </c>
      <c r="C264" s="97">
        <v>1153</v>
      </c>
    </row>
    <row r="265" spans="1:3">
      <c r="A265" s="98">
        <v>42124</v>
      </c>
      <c r="B265" s="96">
        <v>109.2</v>
      </c>
      <c r="C265" s="97">
        <v>1156.25</v>
      </c>
    </row>
    <row r="266" spans="1:3">
      <c r="A266" s="98">
        <v>42131</v>
      </c>
      <c r="B266" s="99">
        <v>101.2</v>
      </c>
      <c r="C266" s="97">
        <v>1158.75</v>
      </c>
    </row>
    <row r="267" spans="1:3">
      <c r="A267" s="98">
        <v>42138</v>
      </c>
      <c r="B267" s="100">
        <v>94.9</v>
      </c>
      <c r="C267" s="97">
        <v>1183.3</v>
      </c>
    </row>
    <row r="268" spans="1:3">
      <c r="A268" s="98">
        <v>42145</v>
      </c>
      <c r="B268" s="100">
        <v>93.6</v>
      </c>
      <c r="C268" s="97">
        <v>1163.75</v>
      </c>
    </row>
    <row r="269" spans="1:3">
      <c r="A269" s="98">
        <v>42152</v>
      </c>
      <c r="B269" s="100">
        <v>90.3</v>
      </c>
      <c r="C269" s="97">
        <v>1170</v>
      </c>
    </row>
    <row r="270" spans="1:3">
      <c r="A270" s="98">
        <v>42159</v>
      </c>
      <c r="B270" s="100">
        <v>98.8</v>
      </c>
      <c r="C270" s="97">
        <v>1197.5</v>
      </c>
    </row>
    <row r="271" spans="1:3">
      <c r="A271" s="98">
        <v>42166</v>
      </c>
      <c r="B271" s="100">
        <v>96.8</v>
      </c>
      <c r="C271" s="97">
        <v>1225</v>
      </c>
    </row>
    <row r="272" spans="1:3">
      <c r="A272" s="98">
        <v>42173</v>
      </c>
      <c r="B272" s="100">
        <v>97</v>
      </c>
      <c r="C272" s="97">
        <v>1260</v>
      </c>
    </row>
    <row r="273" spans="1:3">
      <c r="A273" s="98">
        <v>42180</v>
      </c>
      <c r="B273" s="100">
        <v>93.7</v>
      </c>
      <c r="C273" s="97">
        <v>1260</v>
      </c>
    </row>
    <row r="274" spans="1:3">
      <c r="A274" s="98">
        <v>42187</v>
      </c>
      <c r="B274" s="100">
        <v>93</v>
      </c>
      <c r="C274" s="97">
        <v>1270</v>
      </c>
    </row>
    <row r="275" spans="1:3">
      <c r="A275" s="98">
        <v>42194</v>
      </c>
      <c r="B275" s="96">
        <v>90.4</v>
      </c>
      <c r="C275" s="97">
        <v>1270</v>
      </c>
    </row>
    <row r="276" spans="1:3">
      <c r="A276" s="98">
        <v>42201</v>
      </c>
      <c r="B276" s="96">
        <v>90.1</v>
      </c>
      <c r="C276" s="97">
        <v>1268</v>
      </c>
    </row>
    <row r="277" spans="1:3">
      <c r="A277" s="98">
        <v>42208</v>
      </c>
      <c r="B277" s="96">
        <v>85.3</v>
      </c>
      <c r="C277" s="97">
        <v>1261.875</v>
      </c>
    </row>
    <row r="278" spans="1:3">
      <c r="A278" s="98">
        <v>42215</v>
      </c>
      <c r="B278" s="96">
        <v>94.5</v>
      </c>
      <c r="C278" s="97">
        <v>1250</v>
      </c>
    </row>
    <row r="279" spans="1:3">
      <c r="A279" s="98">
        <v>42222</v>
      </c>
      <c r="B279" s="96">
        <v>101.4</v>
      </c>
      <c r="C279" s="97">
        <v>1236.25</v>
      </c>
    </row>
    <row r="280" spans="1:3">
      <c r="A280" s="98">
        <v>42229</v>
      </c>
      <c r="B280" s="96">
        <v>112.6</v>
      </c>
      <c r="C280" s="97">
        <v>1217.5</v>
      </c>
    </row>
    <row r="281" spans="1:3">
      <c r="A281" s="98">
        <v>42236</v>
      </c>
      <c r="B281" s="96">
        <v>117.2</v>
      </c>
      <c r="C281" s="97">
        <v>1226.25</v>
      </c>
    </row>
    <row r="282" spans="1:3">
      <c r="A282" s="98">
        <v>42243</v>
      </c>
      <c r="B282" s="96">
        <v>105.3</v>
      </c>
      <c r="C282" s="97">
        <v>1187.5</v>
      </c>
    </row>
    <row r="283" spans="1:3">
      <c r="A283" s="98">
        <v>42253</v>
      </c>
      <c r="B283" s="96">
        <v>97.8</v>
      </c>
      <c r="C283" s="97">
        <v>1166.25</v>
      </c>
    </row>
    <row r="284" spans="1:3">
      <c r="A284" s="98">
        <v>42257</v>
      </c>
      <c r="B284" s="96">
        <v>105</v>
      </c>
      <c r="C284" s="97">
        <v>1142.72151898734</v>
      </c>
    </row>
    <row r="285" spans="1:3">
      <c r="A285" s="98">
        <v>42264</v>
      </c>
      <c r="B285" s="96">
        <v>114</v>
      </c>
      <c r="C285" s="97">
        <v>1058.33333333333</v>
      </c>
    </row>
    <row r="286" spans="1:3">
      <c r="A286" s="98">
        <v>42271</v>
      </c>
      <c r="B286" s="96">
        <v>101.9</v>
      </c>
      <c r="C286" s="97">
        <v>1030</v>
      </c>
    </row>
    <row r="287" spans="1:3">
      <c r="A287" s="98">
        <v>42285</v>
      </c>
      <c r="B287" s="96">
        <v>110.2</v>
      </c>
      <c r="C287" s="97">
        <v>1050</v>
      </c>
    </row>
    <row r="288" spans="1:3">
      <c r="A288" s="98">
        <v>42289</v>
      </c>
      <c r="B288" s="96">
        <v>110.2</v>
      </c>
      <c r="C288" s="97">
        <v>1050</v>
      </c>
    </row>
    <row r="289" spans="1:3">
      <c r="A289" s="98">
        <v>42292</v>
      </c>
      <c r="B289" s="96">
        <v>104.9</v>
      </c>
      <c r="C289" s="97">
        <v>1055</v>
      </c>
    </row>
    <row r="290" spans="1:3">
      <c r="A290" s="98">
        <v>42299</v>
      </c>
      <c r="B290" s="96">
        <v>86</v>
      </c>
      <c r="C290" s="97">
        <v>1050</v>
      </c>
    </row>
    <row r="291" spans="1:3">
      <c r="A291" s="98">
        <v>42306</v>
      </c>
      <c r="B291" s="96">
        <v>82.7</v>
      </c>
      <c r="C291" s="97">
        <v>1095</v>
      </c>
    </row>
    <row r="292" spans="1:3">
      <c r="A292" s="98">
        <v>42313</v>
      </c>
      <c r="B292" s="96">
        <v>88</v>
      </c>
      <c r="C292" s="97">
        <v>1135</v>
      </c>
    </row>
    <row r="293" spans="1:3">
      <c r="A293" s="98">
        <v>42320</v>
      </c>
      <c r="B293" s="96">
        <v>90.9</v>
      </c>
      <c r="C293" s="97">
        <v>1148.75</v>
      </c>
    </row>
    <row r="294" spans="1:3">
      <c r="A294" s="98">
        <v>42327</v>
      </c>
      <c r="B294" s="96">
        <v>98.2</v>
      </c>
      <c r="C294" s="97">
        <v>1167.5</v>
      </c>
    </row>
    <row r="295" spans="1:3">
      <c r="A295" s="98">
        <v>42334</v>
      </c>
      <c r="B295" s="96">
        <v>97</v>
      </c>
      <c r="C295" s="97">
        <v>1160</v>
      </c>
    </row>
    <row r="296" spans="1:3">
      <c r="A296" s="98">
        <v>42341</v>
      </c>
      <c r="B296" s="96">
        <v>100.1</v>
      </c>
      <c r="C296" s="97">
        <v>1134</v>
      </c>
    </row>
    <row r="297" spans="1:3">
      <c r="A297" s="98">
        <v>42348</v>
      </c>
      <c r="B297" s="96">
        <v>110.5</v>
      </c>
      <c r="C297" s="97">
        <v>1112</v>
      </c>
    </row>
    <row r="298" spans="1:3">
      <c r="A298" s="98">
        <v>42355</v>
      </c>
      <c r="B298" s="96">
        <v>116.6</v>
      </c>
      <c r="C298" s="97">
        <v>1116</v>
      </c>
    </row>
    <row r="299" spans="1:3">
      <c r="A299" s="98">
        <v>42362</v>
      </c>
      <c r="B299" s="96">
        <v>114.2</v>
      </c>
      <c r="C299" s="97">
        <v>1094</v>
      </c>
    </row>
    <row r="300" spans="1:3">
      <c r="A300" s="98">
        <v>42369</v>
      </c>
      <c r="B300" s="96">
        <v>112.2</v>
      </c>
      <c r="C300" s="97">
        <v>1086</v>
      </c>
    </row>
    <row r="301" spans="1:3">
      <c r="A301" s="98">
        <v>42376</v>
      </c>
      <c r="B301" s="96">
        <v>113.4</v>
      </c>
      <c r="C301" s="97">
        <v>1038</v>
      </c>
    </row>
    <row r="302" spans="1:3">
      <c r="A302" s="98">
        <v>42383</v>
      </c>
      <c r="B302" s="96">
        <v>115.1</v>
      </c>
      <c r="C302" s="97">
        <v>1000</v>
      </c>
    </row>
    <row r="303" spans="1:3">
      <c r="A303" s="98">
        <v>42390</v>
      </c>
      <c r="B303" s="96">
        <v>105.6</v>
      </c>
      <c r="C303" s="97">
        <v>952</v>
      </c>
    </row>
    <row r="304" spans="1:3">
      <c r="A304" s="98">
        <v>42397</v>
      </c>
      <c r="B304" s="96">
        <v>119.1</v>
      </c>
      <c r="C304" s="97">
        <v>926</v>
      </c>
    </row>
    <row r="305" spans="1:3">
      <c r="A305" s="98">
        <v>42404</v>
      </c>
      <c r="B305" s="96">
        <v>137.1</v>
      </c>
      <c r="C305" s="97">
        <v>894</v>
      </c>
    </row>
    <row r="306" spans="1:3">
      <c r="A306" s="98">
        <v>42418</v>
      </c>
      <c r="B306" s="96">
        <v>147.2</v>
      </c>
      <c r="C306" s="97">
        <v>850</v>
      </c>
    </row>
    <row r="307" spans="1:3">
      <c r="A307" s="98">
        <v>42425</v>
      </c>
      <c r="B307" s="96">
        <v>144.1</v>
      </c>
      <c r="C307" s="97">
        <v>826</v>
      </c>
    </row>
    <row r="308" spans="1:3">
      <c r="A308" s="98">
        <v>42432</v>
      </c>
      <c r="B308" s="96">
        <v>161</v>
      </c>
      <c r="C308" s="97">
        <v>786</v>
      </c>
    </row>
    <row r="309" spans="1:3">
      <c r="A309" s="98">
        <v>42439</v>
      </c>
      <c r="B309" s="96">
        <v>146.9</v>
      </c>
      <c r="C309" s="97">
        <v>782</v>
      </c>
    </row>
    <row r="310" spans="1:3">
      <c r="A310" s="98">
        <v>42446</v>
      </c>
      <c r="B310" s="96">
        <v>147.2</v>
      </c>
      <c r="C310" s="97">
        <v>758</v>
      </c>
    </row>
    <row r="311" spans="1:3">
      <c r="A311" s="98">
        <v>42453</v>
      </c>
      <c r="B311" s="96">
        <v>141.5</v>
      </c>
      <c r="C311" s="97">
        <v>740</v>
      </c>
    </row>
    <row r="312" spans="1:3">
      <c r="A312" s="98">
        <v>42460</v>
      </c>
      <c r="B312" s="96">
        <v>137.9</v>
      </c>
      <c r="C312" s="97">
        <v>744</v>
      </c>
    </row>
    <row r="313" spans="1:3">
      <c r="A313" s="98">
        <v>42467</v>
      </c>
      <c r="B313" s="96">
        <v>147.25</v>
      </c>
      <c r="C313" s="97">
        <v>767</v>
      </c>
    </row>
    <row r="314" spans="1:3">
      <c r="A314" s="98">
        <v>42474</v>
      </c>
      <c r="B314" s="96">
        <v>149.4</v>
      </c>
      <c r="C314" s="97">
        <v>757</v>
      </c>
    </row>
    <row r="315" spans="1:3">
      <c r="A315" s="98">
        <v>42481</v>
      </c>
      <c r="B315" s="96">
        <v>159</v>
      </c>
      <c r="C315" s="97">
        <v>757</v>
      </c>
    </row>
    <row r="316" spans="1:3">
      <c r="A316" s="98">
        <v>42488</v>
      </c>
      <c r="B316" s="96">
        <v>160.2</v>
      </c>
      <c r="C316" s="97">
        <v>745</v>
      </c>
    </row>
    <row r="317" spans="1:3">
      <c r="A317" s="98">
        <v>42495</v>
      </c>
      <c r="B317" s="96">
        <v>162.3</v>
      </c>
      <c r="C317" s="97">
        <v>751</v>
      </c>
    </row>
    <row r="318" spans="1:3">
      <c r="A318" s="98">
        <v>42502</v>
      </c>
      <c r="B318" s="96">
        <v>160.6</v>
      </c>
      <c r="C318" s="97">
        <v>749</v>
      </c>
    </row>
    <row r="319" spans="1:3">
      <c r="A319" s="98">
        <v>42509</v>
      </c>
      <c r="B319" s="96">
        <v>161.2</v>
      </c>
      <c r="C319" s="97">
        <v>757.5</v>
      </c>
    </row>
    <row r="320" spans="1:3">
      <c r="A320" s="98">
        <v>42516</v>
      </c>
      <c r="B320" s="96">
        <v>161</v>
      </c>
      <c r="C320" s="97">
        <v>751.25</v>
      </c>
    </row>
    <row r="321" spans="1:3">
      <c r="A321" s="98">
        <v>42523</v>
      </c>
      <c r="B321" s="96">
        <v>163.3</v>
      </c>
      <c r="C321" s="97">
        <v>740</v>
      </c>
    </row>
    <row r="322" spans="1:3">
      <c r="A322" s="98">
        <v>42533</v>
      </c>
      <c r="B322" s="96">
        <v>168.1</v>
      </c>
      <c r="C322" s="97">
        <v>733.75</v>
      </c>
    </row>
    <row r="323" spans="1:3">
      <c r="A323" s="98">
        <v>42537</v>
      </c>
      <c r="B323" s="96">
        <v>166.9</v>
      </c>
      <c r="C323" s="97">
        <v>715</v>
      </c>
    </row>
    <row r="324" spans="1:3">
      <c r="A324" s="98">
        <v>42544</v>
      </c>
      <c r="B324" s="96">
        <v>169.7</v>
      </c>
      <c r="C324" s="97">
        <v>698.75</v>
      </c>
    </row>
    <row r="325" spans="1:3">
      <c r="A325" s="98">
        <v>42551</v>
      </c>
      <c r="B325" s="96">
        <v>172.1</v>
      </c>
      <c r="C325" s="97">
        <v>687.5</v>
      </c>
    </row>
    <row r="326" spans="1:3">
      <c r="A326" s="98">
        <v>42558</v>
      </c>
      <c r="B326" s="96">
        <v>173.9</v>
      </c>
      <c r="C326" s="97">
        <v>675</v>
      </c>
    </row>
    <row r="327" spans="1:3">
      <c r="A327" s="98">
        <v>42565</v>
      </c>
      <c r="B327" s="96">
        <v>174.4</v>
      </c>
      <c r="C327" s="97">
        <v>671.25</v>
      </c>
    </row>
    <row r="328" spans="1:3">
      <c r="A328" s="98">
        <v>42572</v>
      </c>
      <c r="B328" s="96">
        <v>175.6</v>
      </c>
      <c r="C328" s="97">
        <v>661.25</v>
      </c>
    </row>
    <row r="329" spans="1:3">
      <c r="A329" s="98">
        <v>42579</v>
      </c>
      <c r="B329" s="96">
        <v>184</v>
      </c>
      <c r="C329" s="97">
        <v>666.25</v>
      </c>
    </row>
    <row r="330" spans="1:3">
      <c r="A330" s="98">
        <v>42586</v>
      </c>
      <c r="B330" s="96">
        <v>187.4</v>
      </c>
      <c r="C330" s="97">
        <v>653.75</v>
      </c>
    </row>
    <row r="331" spans="1:3">
      <c r="A331" s="98">
        <v>42593</v>
      </c>
      <c r="B331" s="96">
        <v>180</v>
      </c>
      <c r="C331" s="97">
        <v>665</v>
      </c>
    </row>
    <row r="332" spans="1:3">
      <c r="A332" s="98">
        <v>42600</v>
      </c>
      <c r="B332" s="96">
        <v>171</v>
      </c>
      <c r="C332" s="97">
        <v>665</v>
      </c>
    </row>
    <row r="333" spans="1:3">
      <c r="A333" s="98">
        <v>42607</v>
      </c>
      <c r="B333" s="96">
        <v>171.6</v>
      </c>
      <c r="C333" s="97">
        <v>678.75</v>
      </c>
    </row>
    <row r="334" spans="1:3">
      <c r="A334" s="98">
        <v>42614</v>
      </c>
      <c r="B334" s="96">
        <v>174</v>
      </c>
      <c r="C334" s="97">
        <v>701.25</v>
      </c>
    </row>
    <row r="335" spans="1:3">
      <c r="A335" s="98">
        <v>42621</v>
      </c>
      <c r="B335" s="96">
        <v>173</v>
      </c>
      <c r="C335" s="97">
        <v>698.75</v>
      </c>
    </row>
    <row r="336" spans="1:3">
      <c r="A336" s="98">
        <v>42631</v>
      </c>
      <c r="B336" s="96">
        <v>173</v>
      </c>
      <c r="C336" s="97">
        <v>701.666666666667</v>
      </c>
    </row>
    <row r="337" spans="1:3">
      <c r="A337" s="98">
        <v>42635</v>
      </c>
      <c r="B337" s="96">
        <v>173</v>
      </c>
      <c r="C337" s="97">
        <v>712.5</v>
      </c>
    </row>
    <row r="338" spans="1:3">
      <c r="A338" s="98">
        <v>42642</v>
      </c>
      <c r="B338" s="96">
        <v>171</v>
      </c>
      <c r="C338" s="97">
        <v>720</v>
      </c>
    </row>
    <row r="339" spans="1:3">
      <c r="A339" s="98">
        <v>42656</v>
      </c>
      <c r="B339" s="96">
        <v>170</v>
      </c>
      <c r="C339" s="97">
        <v>727.5</v>
      </c>
    </row>
    <row r="340" spans="1:3">
      <c r="A340" s="98">
        <v>42663</v>
      </c>
      <c r="B340" s="96">
        <v>176</v>
      </c>
      <c r="C340" s="97">
        <v>753.75</v>
      </c>
    </row>
    <row r="341" spans="1:3">
      <c r="A341" s="98">
        <v>42670</v>
      </c>
      <c r="B341" s="96">
        <v>170</v>
      </c>
      <c r="C341" s="97">
        <v>775</v>
      </c>
    </row>
    <row r="342" spans="1:3">
      <c r="A342" s="98">
        <v>42677</v>
      </c>
      <c r="B342" s="96">
        <v>172</v>
      </c>
      <c r="C342" s="97">
        <v>838.75</v>
      </c>
    </row>
    <row r="343" spans="1:3">
      <c r="A343" s="98">
        <v>42684</v>
      </c>
      <c r="B343" s="96">
        <v>158</v>
      </c>
      <c r="C343" s="97">
        <v>868.3333</v>
      </c>
    </row>
    <row r="344" spans="1:3">
      <c r="A344" s="98">
        <v>42691</v>
      </c>
      <c r="B344" s="96">
        <v>157</v>
      </c>
      <c r="C344" s="97">
        <v>850</v>
      </c>
    </row>
    <row r="345" spans="1:3">
      <c r="A345" s="98">
        <v>42698</v>
      </c>
      <c r="B345" s="96">
        <v>156</v>
      </c>
      <c r="C345" s="97">
        <v>870</v>
      </c>
    </row>
    <row r="346" spans="1:3">
      <c r="A346" s="98">
        <v>42705</v>
      </c>
      <c r="B346" s="96">
        <v>150</v>
      </c>
      <c r="C346" s="97">
        <v>883</v>
      </c>
    </row>
    <row r="347" spans="1:3">
      <c r="A347" s="98">
        <v>42712</v>
      </c>
      <c r="B347" s="96">
        <v>146</v>
      </c>
      <c r="C347" s="97">
        <v>887.5</v>
      </c>
    </row>
    <row r="348" spans="1:3">
      <c r="A348" s="98">
        <v>42719</v>
      </c>
      <c r="B348" s="96">
        <v>146</v>
      </c>
      <c r="C348" s="97">
        <v>882.5</v>
      </c>
    </row>
    <row r="349" spans="1:3">
      <c r="A349" s="98">
        <v>42726</v>
      </c>
      <c r="B349" s="96">
        <v>150</v>
      </c>
      <c r="C349" s="97">
        <v>878.75</v>
      </c>
    </row>
    <row r="350" spans="1:3">
      <c r="A350" s="98">
        <v>42733</v>
      </c>
      <c r="B350" s="96">
        <v>146</v>
      </c>
      <c r="C350" s="97">
        <v>880</v>
      </c>
    </row>
    <row r="351" spans="1:3">
      <c r="A351" s="98">
        <v>42740</v>
      </c>
      <c r="B351" s="96">
        <v>149</v>
      </c>
      <c r="C351" s="97">
        <v>873.75</v>
      </c>
    </row>
    <row r="352" spans="1:3">
      <c r="A352" s="98">
        <v>42747</v>
      </c>
      <c r="B352" s="96">
        <v>148</v>
      </c>
      <c r="C352" s="97">
        <v>870</v>
      </c>
    </row>
    <row r="353" spans="1:3">
      <c r="A353" s="98">
        <v>42754</v>
      </c>
      <c r="B353" s="96">
        <v>154</v>
      </c>
      <c r="C353" s="97">
        <v>855</v>
      </c>
    </row>
    <row r="354" ht="15" spans="1:3">
      <c r="A354" s="98">
        <v>42775</v>
      </c>
      <c r="B354" s="96">
        <v>148</v>
      </c>
      <c r="C354" s="97">
        <v>898</v>
      </c>
    </row>
    <row r="355" ht="15" spans="1:3">
      <c r="A355" s="98">
        <v>42782</v>
      </c>
      <c r="B355" s="101">
        <v>146</v>
      </c>
      <c r="C355" s="97">
        <v>883.333333333333</v>
      </c>
    </row>
    <row r="356" spans="1:3">
      <c r="A356" s="98">
        <v>42789</v>
      </c>
      <c r="B356" s="96">
        <v>146</v>
      </c>
      <c r="C356" s="97">
        <v>887.5</v>
      </c>
    </row>
    <row r="357" spans="1:3">
      <c r="A357" s="98">
        <v>42796</v>
      </c>
      <c r="B357" s="96">
        <v>130</v>
      </c>
      <c r="C357" s="97">
        <v>890</v>
      </c>
    </row>
    <row r="358" spans="1:3">
      <c r="A358" s="98">
        <v>42803</v>
      </c>
      <c r="B358" s="96">
        <v>124</v>
      </c>
      <c r="C358" s="97">
        <v>890</v>
      </c>
    </row>
    <row r="359" spans="1:3">
      <c r="A359" s="98">
        <v>42810</v>
      </c>
      <c r="B359" s="96">
        <v>128</v>
      </c>
      <c r="C359" s="97">
        <v>872</v>
      </c>
    </row>
    <row r="360" spans="1:3">
      <c r="A360" s="98">
        <v>42817</v>
      </c>
      <c r="B360" s="96">
        <v>132</v>
      </c>
      <c r="C360" s="97">
        <v>845</v>
      </c>
    </row>
    <row r="361" spans="1:3">
      <c r="A361" s="98">
        <v>42824</v>
      </c>
      <c r="B361" s="96">
        <v>134</v>
      </c>
      <c r="C361" s="97">
        <v>845</v>
      </c>
    </row>
    <row r="362" spans="1:3">
      <c r="A362" s="98">
        <v>42831</v>
      </c>
      <c r="B362" s="96">
        <v>130</v>
      </c>
      <c r="C362" s="97">
        <v>873.981481481481</v>
      </c>
    </row>
    <row r="363" spans="1:3">
      <c r="A363" s="98">
        <v>42838</v>
      </c>
      <c r="B363" s="96">
        <v>139</v>
      </c>
      <c r="C363" s="97">
        <v>810</v>
      </c>
    </row>
    <row r="364" spans="1:3">
      <c r="A364" s="98">
        <v>42845</v>
      </c>
      <c r="B364" s="96">
        <v>132</v>
      </c>
      <c r="C364" s="97">
        <v>793.33</v>
      </c>
    </row>
    <row r="365" spans="1:3">
      <c r="A365" s="98">
        <v>42852</v>
      </c>
      <c r="B365" s="96">
        <v>134</v>
      </c>
      <c r="C365" s="97">
        <v>803.333</v>
      </c>
    </row>
    <row r="366" spans="1:3">
      <c r="A366" s="98">
        <v>42859</v>
      </c>
      <c r="B366" s="96">
        <v>130</v>
      </c>
      <c r="C366" s="97">
        <v>820</v>
      </c>
    </row>
    <row r="367" spans="1:3">
      <c r="A367" s="98">
        <v>42866</v>
      </c>
      <c r="B367" s="96">
        <v>136</v>
      </c>
      <c r="C367" s="97">
        <v>816.666666666667</v>
      </c>
    </row>
    <row r="368" spans="1:3">
      <c r="A368" s="98">
        <v>42873</v>
      </c>
      <c r="B368" s="96">
        <v>139.2</v>
      </c>
      <c r="C368" s="97">
        <v>816.666666666667</v>
      </c>
    </row>
    <row r="369" spans="1:3">
      <c r="A369" s="98">
        <v>42880</v>
      </c>
      <c r="B369" s="96">
        <v>143.07</v>
      </c>
      <c r="C369" s="97">
        <v>826.666666666667</v>
      </c>
    </row>
    <row r="370" spans="1:3">
      <c r="A370" s="98">
        <v>42887</v>
      </c>
      <c r="B370" s="96">
        <v>135.97</v>
      </c>
      <c r="C370" s="97">
        <v>833.333333333333</v>
      </c>
    </row>
    <row r="371" spans="1:3">
      <c r="A371" s="98">
        <v>42894</v>
      </c>
      <c r="B371" s="96">
        <v>128.27</v>
      </c>
      <c r="C371" s="97">
        <v>853.333333333333</v>
      </c>
    </row>
    <row r="372" spans="1:3">
      <c r="A372" s="98">
        <v>42901</v>
      </c>
      <c r="B372" s="96">
        <v>124.17</v>
      </c>
      <c r="C372" s="97">
        <v>871.666666666667</v>
      </c>
    </row>
    <row r="373" spans="1:3">
      <c r="A373" s="98">
        <v>42908</v>
      </c>
      <c r="B373" s="96">
        <v>117.17</v>
      </c>
      <c r="C373" s="97">
        <v>865</v>
      </c>
    </row>
    <row r="374" spans="1:3">
      <c r="A374" s="98">
        <v>42915</v>
      </c>
      <c r="B374" s="92">
        <v>112.67</v>
      </c>
      <c r="C374" s="97">
        <v>883.333333333333</v>
      </c>
    </row>
    <row r="375" spans="1:3">
      <c r="A375" s="98">
        <v>42922</v>
      </c>
      <c r="B375" s="96">
        <v>108.47</v>
      </c>
      <c r="C375" s="97">
        <v>880</v>
      </c>
    </row>
    <row r="376" spans="1:3">
      <c r="A376" s="98">
        <v>42929</v>
      </c>
      <c r="B376" s="96">
        <v>97.47</v>
      </c>
      <c r="C376" s="97">
        <v>893.33</v>
      </c>
    </row>
    <row r="377" spans="1:3">
      <c r="A377" s="98">
        <v>42936</v>
      </c>
      <c r="B377" s="96">
        <v>97.47</v>
      </c>
      <c r="C377" s="97">
        <v>916.67</v>
      </c>
    </row>
    <row r="378" spans="1:3">
      <c r="A378" s="98">
        <v>42943</v>
      </c>
      <c r="B378" s="96">
        <v>107.67</v>
      </c>
      <c r="C378" s="97">
        <v>940</v>
      </c>
    </row>
    <row r="379" spans="1:3">
      <c r="A379" s="98">
        <v>42950</v>
      </c>
      <c r="B379" s="96">
        <v>114.5</v>
      </c>
      <c r="C379" s="97">
        <v>951.666666666667</v>
      </c>
    </row>
    <row r="380" spans="1:3">
      <c r="A380" s="98">
        <v>42957</v>
      </c>
      <c r="B380" s="96">
        <v>105.2</v>
      </c>
      <c r="C380" s="97">
        <v>960</v>
      </c>
    </row>
    <row r="381" spans="1:3">
      <c r="A381" s="98">
        <v>42964</v>
      </c>
      <c r="B381" s="96">
        <v>108.2</v>
      </c>
      <c r="C381" s="97">
        <v>953.333333333333</v>
      </c>
    </row>
    <row r="382" spans="1:3">
      <c r="A382" s="98">
        <v>42971</v>
      </c>
      <c r="B382" s="96">
        <v>113.65</v>
      </c>
      <c r="C382" s="97">
        <v>946.666666666667</v>
      </c>
    </row>
    <row r="383" spans="1:3">
      <c r="A383" s="98">
        <v>42978</v>
      </c>
      <c r="B383" s="96">
        <v>107.35</v>
      </c>
      <c r="C383" s="97">
        <v>943.333333333333</v>
      </c>
    </row>
    <row r="384" spans="1:3">
      <c r="A384" s="98">
        <v>42985</v>
      </c>
      <c r="B384" s="96">
        <v>116.83</v>
      </c>
      <c r="C384" s="97">
        <v>970</v>
      </c>
    </row>
    <row r="385" spans="1:3">
      <c r="A385" s="98">
        <v>42992</v>
      </c>
      <c r="B385" s="92">
        <v>116</v>
      </c>
      <c r="C385" s="88">
        <v>1021.66666666667</v>
      </c>
    </row>
    <row r="386" spans="1:3">
      <c r="A386" s="98">
        <v>42999</v>
      </c>
      <c r="B386" s="92">
        <v>127</v>
      </c>
      <c r="C386" s="97">
        <v>1058.33333333333</v>
      </c>
    </row>
    <row r="387" spans="1:3">
      <c r="A387" s="98">
        <v>43006</v>
      </c>
      <c r="B387" s="96">
        <v>131</v>
      </c>
      <c r="C387" s="97">
        <v>1095</v>
      </c>
    </row>
    <row r="388" spans="1:3">
      <c r="A388" s="98">
        <v>43020</v>
      </c>
      <c r="B388" s="96">
        <v>124.3</v>
      </c>
      <c r="C388" s="97">
        <v>1280</v>
      </c>
    </row>
    <row r="389" spans="1:3">
      <c r="A389" s="98">
        <v>43027</v>
      </c>
      <c r="B389" s="96">
        <v>124</v>
      </c>
      <c r="C389" s="97">
        <v>1425</v>
      </c>
    </row>
    <row r="390" spans="1:3">
      <c r="A390" s="98">
        <v>43034</v>
      </c>
      <c r="B390" s="96">
        <v>121.3</v>
      </c>
      <c r="C390" s="97">
        <v>1606.667</v>
      </c>
    </row>
    <row r="391" spans="1:3">
      <c r="A391" s="98">
        <v>43041</v>
      </c>
      <c r="B391" s="96">
        <v>124</v>
      </c>
      <c r="C391" s="97">
        <v>1628.33333333333</v>
      </c>
    </row>
    <row r="392" spans="1:3">
      <c r="A392" s="98">
        <v>43048</v>
      </c>
      <c r="B392" s="96">
        <v>123</v>
      </c>
      <c r="C392" s="97">
        <v>1650</v>
      </c>
    </row>
    <row r="393" spans="1:3">
      <c r="A393" s="98">
        <v>43055</v>
      </c>
      <c r="B393" s="102">
        <v>125</v>
      </c>
      <c r="C393" s="97">
        <v>1656.66666666667</v>
      </c>
    </row>
    <row r="394" spans="1:3">
      <c r="A394" s="98">
        <v>43062</v>
      </c>
      <c r="B394" s="96">
        <v>122</v>
      </c>
      <c r="C394" s="103">
        <v>1516.6667</v>
      </c>
    </row>
    <row r="395" spans="1:3">
      <c r="A395" s="98">
        <v>43069</v>
      </c>
      <c r="B395" s="96">
        <v>129</v>
      </c>
      <c r="C395" s="97">
        <v>1566.66666666667</v>
      </c>
    </row>
    <row r="396" spans="1:3">
      <c r="A396" s="98">
        <v>43076</v>
      </c>
      <c r="B396" s="96">
        <v>141</v>
      </c>
      <c r="C396" s="103">
        <v>1403.33333333333</v>
      </c>
    </row>
    <row r="397" spans="1:3">
      <c r="A397" s="98">
        <v>43083</v>
      </c>
      <c r="B397" s="96">
        <v>136</v>
      </c>
      <c r="C397" s="97">
        <v>1386.66666666667</v>
      </c>
    </row>
    <row r="398" spans="1:3">
      <c r="A398" s="98">
        <v>43090</v>
      </c>
      <c r="B398" s="96">
        <v>125</v>
      </c>
      <c r="C398" s="97">
        <v>1403.33333333333</v>
      </c>
    </row>
    <row r="399" spans="1:3">
      <c r="A399" s="98">
        <v>43097</v>
      </c>
      <c r="B399" s="96">
        <v>137</v>
      </c>
      <c r="C399" s="97">
        <v>1386.66666666667</v>
      </c>
    </row>
    <row r="400" spans="1:3">
      <c r="A400" s="98">
        <v>43104</v>
      </c>
      <c r="B400" s="96">
        <v>139</v>
      </c>
      <c r="C400" s="97">
        <v>1386.66666666667</v>
      </c>
    </row>
    <row r="401" spans="1:3">
      <c r="A401" s="98">
        <v>43111</v>
      </c>
      <c r="B401" s="96">
        <v>147</v>
      </c>
      <c r="C401" s="97">
        <v>1270</v>
      </c>
    </row>
    <row r="402" spans="1:3">
      <c r="A402" s="98">
        <v>43118</v>
      </c>
      <c r="B402" s="96">
        <v>139</v>
      </c>
      <c r="C402" s="97">
        <v>1213.33333333333</v>
      </c>
    </row>
    <row r="403" spans="1:3">
      <c r="A403" s="98">
        <v>43125</v>
      </c>
      <c r="B403" s="96">
        <v>140</v>
      </c>
      <c r="C403" s="97">
        <v>1200</v>
      </c>
    </row>
    <row r="404" spans="1:3">
      <c r="A404" s="98">
        <v>43132</v>
      </c>
      <c r="B404" s="96">
        <v>137</v>
      </c>
      <c r="C404" s="97">
        <v>1266.66666666667</v>
      </c>
    </row>
    <row r="405" spans="1:3">
      <c r="A405" s="98">
        <v>43139</v>
      </c>
      <c r="B405" s="96">
        <v>144</v>
      </c>
      <c r="C405" s="97">
        <v>1266.66666666667</v>
      </c>
    </row>
    <row r="406" spans="1:3">
      <c r="A406" s="98">
        <v>43146</v>
      </c>
      <c r="B406" s="96">
        <v>141</v>
      </c>
      <c r="C406" s="97">
        <v>1266.66666666667</v>
      </c>
    </row>
    <row r="407" spans="1:3">
      <c r="A407" s="98">
        <v>43153</v>
      </c>
      <c r="B407" s="96">
        <v>148</v>
      </c>
      <c r="C407" s="97">
        <v>1266.66666666667</v>
      </c>
    </row>
    <row r="408" spans="1:3">
      <c r="A408" s="98">
        <v>43160</v>
      </c>
      <c r="B408" s="96">
        <v>139</v>
      </c>
      <c r="C408" s="97">
        <v>1260</v>
      </c>
    </row>
    <row r="409" spans="1:3">
      <c r="A409" s="98">
        <v>43167</v>
      </c>
      <c r="B409" s="96">
        <v>134</v>
      </c>
      <c r="C409" s="97">
        <v>1220</v>
      </c>
    </row>
    <row r="410" spans="1:3">
      <c r="A410" s="98">
        <v>43174</v>
      </c>
      <c r="B410" s="96">
        <v>137</v>
      </c>
      <c r="C410" s="97">
        <v>1186.6667</v>
      </c>
    </row>
    <row r="411" spans="1:3">
      <c r="A411" s="98">
        <v>43181</v>
      </c>
      <c r="B411" s="96">
        <v>126</v>
      </c>
      <c r="C411" s="97">
        <v>1110</v>
      </c>
    </row>
    <row r="412" spans="1:3">
      <c r="A412" s="98">
        <v>43188</v>
      </c>
      <c r="B412" s="96">
        <v>134</v>
      </c>
      <c r="C412" s="97">
        <v>1106.6667</v>
      </c>
    </row>
    <row r="413" spans="1:3">
      <c r="A413" s="98">
        <v>43198</v>
      </c>
      <c r="B413" s="96">
        <v>132</v>
      </c>
      <c r="C413" s="97">
        <v>1106.6667</v>
      </c>
    </row>
    <row r="414" spans="1:3">
      <c r="A414" s="98">
        <v>43202</v>
      </c>
      <c r="B414" s="96">
        <v>138</v>
      </c>
      <c r="C414" s="97">
        <v>1063</v>
      </c>
    </row>
    <row r="415" spans="1:3">
      <c r="A415" s="98">
        <v>43209</v>
      </c>
      <c r="B415" s="96">
        <v>138</v>
      </c>
      <c r="C415" s="97">
        <v>1073</v>
      </c>
    </row>
    <row r="416" spans="1:3">
      <c r="A416" s="98">
        <v>43216</v>
      </c>
      <c r="B416" s="96">
        <v>146</v>
      </c>
      <c r="C416" s="97">
        <v>1075</v>
      </c>
    </row>
    <row r="417" spans="1:3">
      <c r="A417" s="98">
        <v>43223</v>
      </c>
      <c r="B417" s="96">
        <v>145</v>
      </c>
      <c r="C417" s="97">
        <v>1100</v>
      </c>
    </row>
    <row r="418" spans="1:3">
      <c r="A418" s="98">
        <v>43230</v>
      </c>
      <c r="B418" s="96">
        <v>141</v>
      </c>
      <c r="C418" s="97">
        <v>1127</v>
      </c>
    </row>
    <row r="419" spans="1:3">
      <c r="A419" s="98">
        <v>43237</v>
      </c>
      <c r="B419" s="96">
        <v>142</v>
      </c>
      <c r="C419" s="97">
        <v>1160</v>
      </c>
    </row>
    <row r="420" spans="1:3">
      <c r="A420" s="98">
        <v>43244</v>
      </c>
      <c r="B420" s="96">
        <v>132</v>
      </c>
      <c r="C420" s="97">
        <v>1143.33333</v>
      </c>
    </row>
    <row r="421" spans="1:3">
      <c r="A421" s="98">
        <v>43250</v>
      </c>
      <c r="B421" s="96">
        <v>137</v>
      </c>
      <c r="C421" s="97">
        <v>1133.33333</v>
      </c>
    </row>
    <row r="422" spans="1:3">
      <c r="A422" s="98">
        <v>43258</v>
      </c>
      <c r="B422" s="96">
        <v>140</v>
      </c>
      <c r="C422" s="97">
        <v>1133.33333</v>
      </c>
    </row>
    <row r="423" spans="1:3">
      <c r="A423" s="98">
        <v>43265</v>
      </c>
      <c r="B423" s="96">
        <v>142</v>
      </c>
      <c r="C423" s="97">
        <v>1130</v>
      </c>
    </row>
    <row r="424" spans="1:3">
      <c r="A424" s="98">
        <v>43272</v>
      </c>
      <c r="B424" s="96">
        <v>152</v>
      </c>
      <c r="C424" s="97">
        <v>1130</v>
      </c>
    </row>
    <row r="425" spans="1:3">
      <c r="A425" s="98">
        <v>43278</v>
      </c>
      <c r="B425" s="96">
        <v>159</v>
      </c>
      <c r="C425" s="97">
        <v>1140</v>
      </c>
    </row>
    <row r="426" spans="1:3">
      <c r="A426" s="98">
        <v>43279</v>
      </c>
      <c r="B426" s="96">
        <v>161</v>
      </c>
      <c r="C426" s="97">
        <v>1141.67</v>
      </c>
    </row>
    <row r="427" spans="1:3">
      <c r="A427" s="98">
        <v>43286</v>
      </c>
      <c r="B427" s="96">
        <v>167</v>
      </c>
      <c r="C427" s="97">
        <v>1180</v>
      </c>
    </row>
    <row r="428" spans="1:3">
      <c r="A428" s="98">
        <v>43293</v>
      </c>
      <c r="B428" s="96">
        <v>163</v>
      </c>
      <c r="C428" s="97">
        <v>1153</v>
      </c>
    </row>
    <row r="429" spans="1:3">
      <c r="A429" s="98">
        <v>43300</v>
      </c>
      <c r="B429" s="96">
        <v>173</v>
      </c>
      <c r="C429" s="97">
        <v>1163</v>
      </c>
    </row>
    <row r="430" spans="1:3">
      <c r="A430" s="98">
        <v>43307</v>
      </c>
      <c r="B430" s="96">
        <v>174</v>
      </c>
      <c r="C430" s="97">
        <v>1176.6666</v>
      </c>
    </row>
    <row r="431" spans="1:3">
      <c r="A431" s="98">
        <v>43311</v>
      </c>
      <c r="B431" s="96">
        <v>172</v>
      </c>
      <c r="C431" s="97">
        <v>1190</v>
      </c>
    </row>
    <row r="432" spans="1:3">
      <c r="A432" s="98">
        <v>43314</v>
      </c>
      <c r="B432" s="96">
        <v>170</v>
      </c>
      <c r="C432" s="97">
        <v>1206.666</v>
      </c>
    </row>
    <row r="433" spans="1:3">
      <c r="A433" s="98">
        <v>43321</v>
      </c>
      <c r="B433" s="96">
        <v>162</v>
      </c>
      <c r="C433" s="97">
        <v>1315</v>
      </c>
    </row>
    <row r="434" spans="1:3">
      <c r="A434" s="98">
        <v>43328</v>
      </c>
      <c r="B434" s="96">
        <v>153</v>
      </c>
      <c r="C434" s="97">
        <v>1355</v>
      </c>
    </row>
    <row r="435" spans="1:3">
      <c r="A435" s="98">
        <v>43335</v>
      </c>
      <c r="B435" s="96">
        <v>149</v>
      </c>
      <c r="C435" s="97">
        <v>1360</v>
      </c>
    </row>
    <row r="436" spans="1:3">
      <c r="A436" s="98">
        <v>43341</v>
      </c>
      <c r="B436" s="96">
        <v>145</v>
      </c>
      <c r="C436" s="97">
        <v>1385</v>
      </c>
    </row>
    <row r="437" spans="1:3">
      <c r="A437" s="98">
        <v>43342</v>
      </c>
      <c r="B437" s="96">
        <v>145</v>
      </c>
      <c r="C437" s="97">
        <v>1395</v>
      </c>
    </row>
    <row r="438" spans="1:3">
      <c r="A438" s="98">
        <v>43349</v>
      </c>
      <c r="B438" s="96">
        <v>144.5</v>
      </c>
      <c r="C438" s="97">
        <v>1420</v>
      </c>
    </row>
    <row r="439" spans="1:3">
      <c r="A439" s="98">
        <v>43356</v>
      </c>
      <c r="B439" s="96">
        <v>150</v>
      </c>
      <c r="C439" s="97">
        <v>1525</v>
      </c>
    </row>
    <row r="440" spans="1:3">
      <c r="A440" s="98">
        <v>43361</v>
      </c>
      <c r="B440" s="96">
        <v>161</v>
      </c>
      <c r="C440" s="97">
        <v>1525</v>
      </c>
    </row>
    <row r="441" spans="1:3">
      <c r="A441" s="98">
        <v>43363</v>
      </c>
      <c r="B441" s="96">
        <v>159</v>
      </c>
      <c r="C441" s="97">
        <v>1512.5</v>
      </c>
    </row>
    <row r="442" spans="1:3">
      <c r="A442" s="98">
        <v>43369</v>
      </c>
      <c r="B442" s="96">
        <v>157</v>
      </c>
      <c r="C442" s="97">
        <v>1515</v>
      </c>
    </row>
    <row r="443" spans="1:3">
      <c r="A443" s="98">
        <v>43370</v>
      </c>
      <c r="B443" s="96">
        <v>160</v>
      </c>
      <c r="C443" s="97">
        <v>1520</v>
      </c>
    </row>
    <row r="444" spans="1:3">
      <c r="A444" s="98">
        <v>43371</v>
      </c>
      <c r="B444" s="96">
        <v>158</v>
      </c>
      <c r="C444" s="97">
        <v>1520</v>
      </c>
    </row>
    <row r="445" spans="1:3">
      <c r="A445" s="98">
        <v>43384</v>
      </c>
      <c r="B445" s="96">
        <v>152</v>
      </c>
      <c r="C445" s="97">
        <v>1535</v>
      </c>
    </row>
    <row r="446" spans="1:3">
      <c r="A446" s="98">
        <v>43388</v>
      </c>
      <c r="B446" s="96">
        <v>156</v>
      </c>
      <c r="C446" s="97">
        <v>1510</v>
      </c>
    </row>
    <row r="447" spans="1:3">
      <c r="A447" s="98">
        <v>43391</v>
      </c>
      <c r="B447" s="96">
        <v>166</v>
      </c>
      <c r="C447" s="97">
        <v>1440</v>
      </c>
    </row>
    <row r="448" spans="1:3">
      <c r="A448" s="98">
        <v>43398</v>
      </c>
      <c r="B448" s="96">
        <v>154</v>
      </c>
      <c r="C448" s="97">
        <v>1430</v>
      </c>
    </row>
    <row r="449" spans="1:3">
      <c r="A449" s="98">
        <v>43403</v>
      </c>
      <c r="B449" s="96">
        <v>149</v>
      </c>
      <c r="C449" s="97">
        <v>1370</v>
      </c>
    </row>
    <row r="450" spans="1:3">
      <c r="A450" s="98">
        <v>43405</v>
      </c>
      <c r="B450" s="96">
        <v>145</v>
      </c>
      <c r="C450" s="97">
        <v>1405</v>
      </c>
    </row>
    <row r="451" spans="1:3">
      <c r="A451" s="98">
        <v>43412</v>
      </c>
      <c r="B451" s="96">
        <v>142</v>
      </c>
      <c r="C451" s="97">
        <v>1390</v>
      </c>
    </row>
    <row r="452" spans="1:3">
      <c r="A452" s="98">
        <v>43419</v>
      </c>
      <c r="B452" s="96">
        <v>147</v>
      </c>
      <c r="C452" s="97">
        <v>1340</v>
      </c>
    </row>
    <row r="453" spans="1:3">
      <c r="A453" s="98">
        <v>43426</v>
      </c>
      <c r="B453" s="96">
        <v>155</v>
      </c>
      <c r="C453" s="97">
        <v>1280</v>
      </c>
    </row>
    <row r="454" spans="1:3">
      <c r="A454" s="98">
        <v>43432</v>
      </c>
      <c r="B454" s="96">
        <v>155</v>
      </c>
      <c r="C454" s="97">
        <v>1210</v>
      </c>
    </row>
    <row r="455" spans="1:3">
      <c r="A455" s="98">
        <v>43433</v>
      </c>
      <c r="B455" s="96">
        <v>153</v>
      </c>
      <c r="C455" s="97">
        <v>1220</v>
      </c>
    </row>
    <row r="456" spans="1:3">
      <c r="A456" s="98">
        <v>43440</v>
      </c>
      <c r="B456" s="96">
        <v>149</v>
      </c>
      <c r="C456" s="97">
        <v>1240</v>
      </c>
    </row>
    <row r="457" spans="1:3">
      <c r="A457" s="98">
        <v>43447</v>
      </c>
      <c r="B457" s="96">
        <v>142</v>
      </c>
      <c r="C457" s="97">
        <v>1240</v>
      </c>
    </row>
    <row r="458" spans="1:3">
      <c r="A458" s="98">
        <v>43454</v>
      </c>
      <c r="B458" s="96">
        <v>155</v>
      </c>
      <c r="C458" s="97">
        <v>1250</v>
      </c>
    </row>
    <row r="459" spans="1:3">
      <c r="A459" s="98">
        <v>43461</v>
      </c>
      <c r="B459" s="96">
        <v>141</v>
      </c>
      <c r="C459" s="97">
        <v>1210</v>
      </c>
    </row>
    <row r="460" spans="1:3">
      <c r="A460" s="98">
        <v>43462</v>
      </c>
      <c r="B460" s="96">
        <v>137</v>
      </c>
      <c r="C460" s="97">
        <v>1200</v>
      </c>
    </row>
    <row r="461" spans="1:3">
      <c r="A461" s="98">
        <v>43468</v>
      </c>
      <c r="B461" s="96">
        <v>134</v>
      </c>
      <c r="C461" s="97">
        <v>1190</v>
      </c>
    </row>
    <row r="462" spans="1:3">
      <c r="A462" s="98">
        <v>43475</v>
      </c>
      <c r="B462" s="96">
        <v>130</v>
      </c>
      <c r="C462" s="97">
        <v>1190</v>
      </c>
    </row>
    <row r="463" spans="1:3">
      <c r="A463" s="98">
        <v>43482</v>
      </c>
      <c r="B463" s="96">
        <v>133</v>
      </c>
      <c r="C463" s="97">
        <v>1115</v>
      </c>
    </row>
    <row r="464" spans="1:3">
      <c r="A464" s="98">
        <v>43489</v>
      </c>
      <c r="B464" s="96">
        <v>135</v>
      </c>
      <c r="C464" s="97">
        <v>1100</v>
      </c>
    </row>
    <row r="465" spans="1:3">
      <c r="A465" s="98">
        <v>43496</v>
      </c>
      <c r="B465" s="96">
        <v>131</v>
      </c>
      <c r="C465" s="97">
        <v>1095</v>
      </c>
    </row>
    <row r="466" spans="1:3">
      <c r="A466" s="98">
        <v>43507</v>
      </c>
      <c r="B466" s="96">
        <v>134</v>
      </c>
      <c r="C466" s="97">
        <v>1095</v>
      </c>
    </row>
    <row r="467" spans="1:3">
      <c r="A467" s="98">
        <v>43510</v>
      </c>
      <c r="B467" s="96">
        <v>145</v>
      </c>
      <c r="C467" s="97">
        <v>1090</v>
      </c>
    </row>
    <row r="468" spans="1:3">
      <c r="A468" s="98">
        <v>43517</v>
      </c>
      <c r="B468" s="96">
        <v>143</v>
      </c>
      <c r="C468" s="97">
        <v>1090</v>
      </c>
    </row>
    <row r="469" spans="1:3">
      <c r="A469" s="98">
        <v>43524</v>
      </c>
      <c r="B469" s="96">
        <v>141</v>
      </c>
      <c r="C469" s="97">
        <v>1090</v>
      </c>
    </row>
    <row r="470" spans="1:3">
      <c r="A470" s="98">
        <v>43531</v>
      </c>
      <c r="B470" s="96">
        <v>139</v>
      </c>
      <c r="C470" s="97">
        <v>1060</v>
      </c>
    </row>
    <row r="471" spans="1:3">
      <c r="A471" s="98">
        <v>43538</v>
      </c>
      <c r="B471" s="96">
        <v>138</v>
      </c>
      <c r="C471" s="97">
        <v>1020</v>
      </c>
    </row>
    <row r="472" spans="1:3">
      <c r="A472" s="98">
        <v>43543</v>
      </c>
      <c r="B472" s="96">
        <v>136</v>
      </c>
      <c r="C472" s="97">
        <v>980</v>
      </c>
    </row>
    <row r="473" spans="1:3">
      <c r="A473" s="98">
        <v>43544</v>
      </c>
      <c r="B473" s="96">
        <v>135</v>
      </c>
      <c r="C473" s="97">
        <v>970</v>
      </c>
    </row>
    <row r="474" spans="1:3">
      <c r="A474" s="98">
        <v>43545</v>
      </c>
      <c r="B474" s="96">
        <v>142</v>
      </c>
      <c r="C474" s="97">
        <v>970</v>
      </c>
    </row>
    <row r="475" spans="1:3">
      <c r="A475" s="98">
        <v>43546</v>
      </c>
      <c r="B475" s="96">
        <v>141</v>
      </c>
      <c r="C475" s="97">
        <v>970</v>
      </c>
    </row>
    <row r="476" spans="1:3">
      <c r="A476" s="98">
        <v>43549</v>
      </c>
      <c r="B476" s="96">
        <v>139</v>
      </c>
      <c r="C476" s="97">
        <v>960</v>
      </c>
    </row>
    <row r="477" spans="1:3">
      <c r="A477" s="98">
        <v>43550</v>
      </c>
      <c r="B477" s="96">
        <v>141</v>
      </c>
      <c r="C477" s="97">
        <v>955</v>
      </c>
    </row>
    <row r="478" spans="1:3">
      <c r="A478" s="98">
        <v>43551</v>
      </c>
      <c r="B478" s="96">
        <v>139</v>
      </c>
      <c r="C478" s="97">
        <v>950</v>
      </c>
    </row>
    <row r="479" spans="1:3">
      <c r="A479" s="98">
        <v>43552</v>
      </c>
      <c r="B479" s="96">
        <v>137</v>
      </c>
      <c r="C479" s="97">
        <v>945</v>
      </c>
    </row>
    <row r="480" spans="1:3">
      <c r="A480" s="98">
        <v>43553</v>
      </c>
      <c r="B480" s="96">
        <v>136</v>
      </c>
      <c r="C480" s="97">
        <v>945</v>
      </c>
    </row>
    <row r="481" spans="1:3">
      <c r="A481" s="98">
        <v>43556</v>
      </c>
      <c r="B481" s="96">
        <v>136</v>
      </c>
      <c r="C481" s="97">
        <v>945</v>
      </c>
    </row>
    <row r="482" spans="1:3">
      <c r="A482" s="98">
        <v>43557</v>
      </c>
      <c r="B482" s="96">
        <v>136</v>
      </c>
      <c r="C482" s="97">
        <v>945</v>
      </c>
    </row>
    <row r="483" spans="1:3">
      <c r="A483" s="98">
        <v>43558</v>
      </c>
      <c r="B483" s="96">
        <v>136</v>
      </c>
      <c r="C483" s="97">
        <v>965</v>
      </c>
    </row>
    <row r="484" spans="1:3">
      <c r="A484" s="98">
        <v>43559</v>
      </c>
      <c r="B484" s="96">
        <v>135</v>
      </c>
      <c r="C484" s="97">
        <v>980</v>
      </c>
    </row>
    <row r="485" spans="1:3">
      <c r="A485" s="98">
        <v>43563</v>
      </c>
      <c r="B485" s="96">
        <v>134</v>
      </c>
      <c r="C485" s="97">
        <v>1025</v>
      </c>
    </row>
    <row r="486" spans="1:3">
      <c r="A486" s="98">
        <v>43564</v>
      </c>
      <c r="B486" s="96">
        <v>133</v>
      </c>
      <c r="C486" s="97">
        <v>1025</v>
      </c>
    </row>
    <row r="487" spans="1:3">
      <c r="A487" s="98">
        <v>43565</v>
      </c>
      <c r="B487" s="96">
        <v>132</v>
      </c>
      <c r="C487" s="97">
        <v>1020</v>
      </c>
    </row>
    <row r="488" spans="1:3">
      <c r="A488" s="98">
        <v>43566</v>
      </c>
      <c r="B488" s="96">
        <v>131</v>
      </c>
      <c r="C488" s="97">
        <v>1020</v>
      </c>
    </row>
    <row r="489" spans="1:3">
      <c r="A489" s="98">
        <v>43567</v>
      </c>
      <c r="B489" s="96">
        <v>133</v>
      </c>
      <c r="C489" s="97">
        <v>1015</v>
      </c>
    </row>
    <row r="490" spans="1:3">
      <c r="A490" s="98">
        <v>43570</v>
      </c>
      <c r="B490" s="96">
        <v>132</v>
      </c>
      <c r="C490" s="97">
        <v>1020</v>
      </c>
    </row>
    <row r="491" spans="1:3">
      <c r="A491" s="98">
        <v>43571</v>
      </c>
      <c r="B491" s="96">
        <v>132</v>
      </c>
      <c r="C491" s="97">
        <v>1015</v>
      </c>
    </row>
    <row r="492" spans="1:3">
      <c r="A492" s="98">
        <v>43572</v>
      </c>
      <c r="B492" s="96">
        <v>126</v>
      </c>
      <c r="C492" s="97">
        <v>1015</v>
      </c>
    </row>
    <row r="493" spans="1:3">
      <c r="A493" s="98">
        <v>43573</v>
      </c>
      <c r="B493" s="96">
        <v>127</v>
      </c>
      <c r="C493" s="97">
        <v>1015</v>
      </c>
    </row>
    <row r="494" spans="1:3">
      <c r="A494" s="98">
        <v>43574</v>
      </c>
      <c r="B494" s="96">
        <v>124</v>
      </c>
      <c r="C494" s="97">
        <v>985</v>
      </c>
    </row>
    <row r="495" spans="1:3">
      <c r="A495" s="98">
        <v>43577</v>
      </c>
      <c r="B495" s="96">
        <v>121</v>
      </c>
      <c r="C495" s="97">
        <v>995</v>
      </c>
    </row>
    <row r="496" spans="1:3">
      <c r="A496" s="98">
        <v>43578</v>
      </c>
      <c r="B496" s="96">
        <v>120</v>
      </c>
      <c r="C496" s="97">
        <v>1005</v>
      </c>
    </row>
    <row r="497" spans="1:3">
      <c r="A497" s="98">
        <v>43579</v>
      </c>
      <c r="B497" s="96">
        <v>119</v>
      </c>
      <c r="C497" s="97">
        <v>995</v>
      </c>
    </row>
    <row r="498" spans="1:3">
      <c r="A498" s="98">
        <v>43580</v>
      </c>
      <c r="B498" s="96">
        <v>118</v>
      </c>
      <c r="C498" s="97">
        <v>995</v>
      </c>
    </row>
    <row r="499" spans="1:3">
      <c r="A499" s="98">
        <v>43581</v>
      </c>
      <c r="B499" s="96">
        <v>118</v>
      </c>
      <c r="C499" s="97">
        <v>1005</v>
      </c>
    </row>
    <row r="500" spans="1:3">
      <c r="A500" s="98">
        <v>43583</v>
      </c>
      <c r="B500" s="96">
        <v>119</v>
      </c>
      <c r="C500" s="97">
        <v>1005</v>
      </c>
    </row>
    <row r="501" spans="1:3">
      <c r="A501" s="98">
        <v>43584</v>
      </c>
      <c r="B501" s="96">
        <v>119</v>
      </c>
      <c r="C501" s="97">
        <v>1005</v>
      </c>
    </row>
    <row r="502" spans="1:3">
      <c r="A502" s="98">
        <v>43585</v>
      </c>
      <c r="B502" s="96">
        <v>121</v>
      </c>
      <c r="C502" s="97">
        <v>1005</v>
      </c>
    </row>
    <row r="503" spans="1:3">
      <c r="A503" s="98">
        <v>43590</v>
      </c>
      <c r="B503" s="96">
        <v>117</v>
      </c>
      <c r="C503" s="97">
        <v>1005</v>
      </c>
    </row>
    <row r="504" spans="1:3">
      <c r="A504" s="98">
        <v>43591</v>
      </c>
      <c r="B504" s="96">
        <v>115</v>
      </c>
      <c r="C504" s="97">
        <v>1005</v>
      </c>
    </row>
    <row r="505" spans="1:3">
      <c r="A505" s="98">
        <v>43592</v>
      </c>
      <c r="B505" s="96">
        <v>125</v>
      </c>
      <c r="C505" s="97">
        <v>1000</v>
      </c>
    </row>
    <row r="506" spans="1:3">
      <c r="A506" s="98">
        <v>43593</v>
      </c>
      <c r="B506" s="96">
        <v>124</v>
      </c>
      <c r="C506" s="97">
        <v>1000</v>
      </c>
    </row>
    <row r="507" spans="1:3">
      <c r="A507" s="98">
        <v>43594</v>
      </c>
      <c r="B507" s="96">
        <v>139</v>
      </c>
      <c r="C507" s="97">
        <v>985</v>
      </c>
    </row>
    <row r="508" spans="1:3">
      <c r="A508" s="98">
        <v>43595</v>
      </c>
      <c r="B508" s="96">
        <v>138</v>
      </c>
      <c r="C508" s="97">
        <v>980</v>
      </c>
    </row>
    <row r="509" spans="1:3">
      <c r="A509" s="98">
        <v>43598</v>
      </c>
      <c r="B509" s="96">
        <v>146</v>
      </c>
      <c r="C509" s="97">
        <v>975</v>
      </c>
    </row>
    <row r="510" spans="1:3">
      <c r="A510" s="98">
        <v>43599</v>
      </c>
      <c r="B510" s="96">
        <v>144</v>
      </c>
      <c r="C510" s="97">
        <v>975</v>
      </c>
    </row>
    <row r="511" spans="1:3">
      <c r="A511" s="98">
        <v>43600</v>
      </c>
      <c r="B511" s="96">
        <v>142</v>
      </c>
      <c r="C511" s="97">
        <v>970</v>
      </c>
    </row>
    <row r="512" spans="1:3">
      <c r="A512" s="98">
        <v>43601</v>
      </c>
      <c r="B512" s="96">
        <v>142</v>
      </c>
      <c r="C512" s="97">
        <v>960</v>
      </c>
    </row>
    <row r="513" spans="1:3">
      <c r="A513" s="98">
        <v>43602</v>
      </c>
      <c r="B513" s="96">
        <v>141</v>
      </c>
      <c r="C513" s="97">
        <v>960</v>
      </c>
    </row>
    <row r="514" spans="1:3">
      <c r="A514" s="98">
        <v>43605</v>
      </c>
      <c r="B514" s="96">
        <v>139</v>
      </c>
      <c r="C514" s="97">
        <v>965</v>
      </c>
    </row>
    <row r="515" spans="1:3">
      <c r="A515" s="98">
        <v>43606</v>
      </c>
      <c r="B515" s="96">
        <v>140</v>
      </c>
      <c r="C515" s="97">
        <v>965</v>
      </c>
    </row>
    <row r="516" spans="1:3">
      <c r="A516" s="98">
        <v>43607</v>
      </c>
      <c r="B516" s="96">
        <v>140</v>
      </c>
      <c r="C516" s="97">
        <v>965</v>
      </c>
    </row>
    <row r="517" spans="1:3">
      <c r="A517" s="98">
        <v>43608</v>
      </c>
      <c r="B517" s="96">
        <v>140</v>
      </c>
      <c r="C517" s="97">
        <v>970</v>
      </c>
    </row>
    <row r="518" spans="1:3">
      <c r="A518" s="98">
        <v>43609</v>
      </c>
      <c r="B518" s="96">
        <v>146</v>
      </c>
      <c r="C518" s="97">
        <v>970</v>
      </c>
    </row>
    <row r="519" spans="1:3">
      <c r="A519" s="98">
        <v>43612</v>
      </c>
      <c r="B519" s="96">
        <v>157</v>
      </c>
      <c r="C519" s="97">
        <v>975</v>
      </c>
    </row>
    <row r="520" spans="1:3">
      <c r="A520" s="98">
        <v>43613</v>
      </c>
      <c r="B520" s="96">
        <v>161</v>
      </c>
      <c r="C520" s="97">
        <v>975</v>
      </c>
    </row>
    <row r="521" spans="1:3">
      <c r="A521" s="98">
        <v>43614</v>
      </c>
      <c r="B521" s="96">
        <v>161</v>
      </c>
      <c r="C521" s="97">
        <v>975</v>
      </c>
    </row>
    <row r="522" spans="1:3">
      <c r="A522" s="98">
        <v>43615</v>
      </c>
      <c r="B522" s="96">
        <v>167</v>
      </c>
      <c r="C522" s="97">
        <v>980</v>
      </c>
    </row>
    <row r="523" spans="1:3">
      <c r="A523" s="98">
        <v>43616</v>
      </c>
      <c r="B523" s="96">
        <v>167</v>
      </c>
      <c r="C523" s="97">
        <v>980</v>
      </c>
    </row>
    <row r="524" spans="1:3">
      <c r="A524" s="98">
        <v>43619</v>
      </c>
      <c r="B524" s="96">
        <v>176</v>
      </c>
      <c r="C524" s="97">
        <v>975</v>
      </c>
    </row>
    <row r="525" spans="1:3">
      <c r="A525" s="98">
        <v>43620</v>
      </c>
      <c r="B525" s="96">
        <v>174</v>
      </c>
      <c r="C525" s="97">
        <v>975</v>
      </c>
    </row>
    <row r="526" spans="1:3">
      <c r="A526" s="98">
        <v>43621</v>
      </c>
      <c r="B526" s="96">
        <v>172</v>
      </c>
      <c r="C526" s="97">
        <v>975</v>
      </c>
    </row>
    <row r="527" spans="1:3">
      <c r="A527" s="98">
        <v>43622</v>
      </c>
      <c r="B527" s="96">
        <v>172</v>
      </c>
      <c r="C527" s="97">
        <v>975</v>
      </c>
    </row>
    <row r="528" spans="1:3">
      <c r="A528" s="98">
        <v>43626</v>
      </c>
      <c r="B528" s="96">
        <v>176</v>
      </c>
      <c r="C528" s="97">
        <v>975</v>
      </c>
    </row>
    <row r="529" spans="1:3">
      <c r="A529" s="98">
        <v>43627</v>
      </c>
      <c r="B529" s="96">
        <v>176</v>
      </c>
      <c r="C529" s="97">
        <v>975</v>
      </c>
    </row>
    <row r="530" spans="1:3">
      <c r="A530" s="98">
        <v>43628</v>
      </c>
      <c r="B530" s="96">
        <v>181</v>
      </c>
      <c r="C530" s="97">
        <v>975</v>
      </c>
    </row>
    <row r="531" spans="1:3">
      <c r="A531" s="98">
        <v>43629</v>
      </c>
      <c r="B531" s="96">
        <v>181</v>
      </c>
      <c r="C531" s="97">
        <v>975</v>
      </c>
    </row>
    <row r="532" spans="1:3">
      <c r="A532" s="98">
        <v>43633</v>
      </c>
      <c r="B532" s="96">
        <v>176</v>
      </c>
      <c r="C532" s="97">
        <v>975</v>
      </c>
    </row>
    <row r="533" spans="1:3">
      <c r="A533" s="98">
        <v>43634</v>
      </c>
      <c r="B533" s="96">
        <v>183</v>
      </c>
      <c r="C533" s="97">
        <v>970</v>
      </c>
    </row>
    <row r="534" spans="1:3">
      <c r="A534" s="98">
        <v>43635</v>
      </c>
      <c r="B534" s="96">
        <v>185</v>
      </c>
      <c r="C534" s="97">
        <v>970</v>
      </c>
    </row>
    <row r="535" spans="1:3">
      <c r="A535" s="98">
        <v>43636</v>
      </c>
      <c r="B535" s="96">
        <v>190</v>
      </c>
      <c r="C535" s="97">
        <v>970</v>
      </c>
    </row>
    <row r="536" spans="1:3">
      <c r="A536" s="98">
        <v>43637</v>
      </c>
      <c r="B536" s="96">
        <v>189</v>
      </c>
      <c r="C536" s="97">
        <v>970</v>
      </c>
    </row>
    <row r="537" spans="1:3">
      <c r="A537" s="98">
        <v>43640</v>
      </c>
      <c r="B537" s="96">
        <v>185</v>
      </c>
      <c r="C537" s="97">
        <v>965</v>
      </c>
    </row>
    <row r="538" spans="1:3">
      <c r="A538" s="98">
        <v>43641</v>
      </c>
      <c r="B538" s="96">
        <v>193</v>
      </c>
      <c r="C538" s="97">
        <v>950</v>
      </c>
    </row>
    <row r="539" spans="1:3">
      <c r="A539" s="98">
        <v>43642</v>
      </c>
      <c r="B539" s="96">
        <v>192</v>
      </c>
      <c r="C539" s="97">
        <v>945</v>
      </c>
    </row>
    <row r="540" spans="1:3">
      <c r="A540" s="98">
        <v>43643</v>
      </c>
      <c r="B540" s="96">
        <v>193</v>
      </c>
      <c r="C540" s="97">
        <v>940</v>
      </c>
    </row>
    <row r="541" spans="1:3">
      <c r="A541" s="98">
        <v>43644</v>
      </c>
      <c r="B541" s="96">
        <v>193</v>
      </c>
      <c r="C541" s="97">
        <v>940</v>
      </c>
    </row>
    <row r="542" spans="1:3">
      <c r="A542" s="98">
        <v>43647</v>
      </c>
      <c r="B542" s="96">
        <v>197</v>
      </c>
      <c r="C542" s="97">
        <v>940</v>
      </c>
    </row>
    <row r="543" spans="1:3">
      <c r="A543" s="98">
        <v>43648</v>
      </c>
      <c r="B543" s="96">
        <v>200</v>
      </c>
      <c r="C543" s="97">
        <v>930</v>
      </c>
    </row>
    <row r="544" spans="1:3">
      <c r="A544" s="98">
        <v>43649</v>
      </c>
      <c r="B544" s="96">
        <v>200</v>
      </c>
      <c r="C544" s="97">
        <v>900</v>
      </c>
    </row>
    <row r="545" spans="1:3">
      <c r="A545" s="98">
        <v>43650</v>
      </c>
      <c r="B545" s="96">
        <v>206</v>
      </c>
      <c r="C545" s="97">
        <v>875</v>
      </c>
    </row>
    <row r="546" spans="1:3">
      <c r="A546" s="98">
        <v>43651</v>
      </c>
      <c r="B546" s="96">
        <v>210</v>
      </c>
      <c r="C546" s="97">
        <v>870</v>
      </c>
    </row>
    <row r="547" spans="1:3">
      <c r="A547" s="98">
        <v>43654</v>
      </c>
      <c r="B547" s="96">
        <v>212</v>
      </c>
      <c r="C547" s="97">
        <v>850</v>
      </c>
    </row>
    <row r="548" spans="1:3">
      <c r="A548" s="98">
        <v>43655</v>
      </c>
      <c r="B548" s="96">
        <v>212</v>
      </c>
      <c r="C548" s="97">
        <v>840</v>
      </c>
    </row>
    <row r="549" spans="1:3">
      <c r="A549" s="98">
        <v>43656</v>
      </c>
      <c r="B549" s="96">
        <v>210</v>
      </c>
      <c r="C549" s="97">
        <v>840</v>
      </c>
    </row>
    <row r="550" spans="1:3">
      <c r="A550" s="98">
        <v>43657</v>
      </c>
      <c r="B550" s="96">
        <v>209</v>
      </c>
      <c r="C550" s="97">
        <v>850</v>
      </c>
    </row>
    <row r="551" spans="1:3">
      <c r="A551" s="98">
        <v>43658</v>
      </c>
      <c r="B551" s="96">
        <v>209</v>
      </c>
      <c r="C551" s="97">
        <v>850</v>
      </c>
    </row>
    <row r="552" spans="1:3">
      <c r="A552" s="98">
        <v>43661</v>
      </c>
      <c r="B552" s="96">
        <v>215</v>
      </c>
      <c r="C552" s="97">
        <v>850</v>
      </c>
    </row>
    <row r="553" spans="1:3">
      <c r="A553" s="98">
        <v>43662</v>
      </c>
      <c r="B553" s="96">
        <v>220</v>
      </c>
      <c r="C553" s="97">
        <v>850</v>
      </c>
    </row>
    <row r="554" spans="1:3">
      <c r="A554" s="98">
        <v>43663</v>
      </c>
      <c r="B554" s="96">
        <v>218</v>
      </c>
      <c r="C554" s="97">
        <v>850</v>
      </c>
    </row>
    <row r="555" spans="1:3">
      <c r="A555" s="98">
        <v>43664</v>
      </c>
      <c r="B555" s="96">
        <v>214</v>
      </c>
      <c r="C555" s="97">
        <v>845</v>
      </c>
    </row>
    <row r="556" spans="1:3">
      <c r="A556" s="98">
        <v>43665</v>
      </c>
      <c r="B556" s="96">
        <v>212</v>
      </c>
      <c r="C556" s="97">
        <v>845</v>
      </c>
    </row>
    <row r="557" spans="1:3">
      <c r="A557" s="98">
        <v>43668</v>
      </c>
      <c r="B557" s="96">
        <v>218</v>
      </c>
      <c r="C557" s="97">
        <v>830</v>
      </c>
    </row>
    <row r="558" spans="1:3">
      <c r="A558" s="98">
        <v>43669</v>
      </c>
      <c r="B558" s="96">
        <v>216</v>
      </c>
      <c r="C558" s="97">
        <v>820</v>
      </c>
    </row>
    <row r="559" spans="1:3">
      <c r="A559" s="98">
        <v>43670</v>
      </c>
      <c r="B559" s="96">
        <v>214</v>
      </c>
      <c r="C559" s="97">
        <v>810</v>
      </c>
    </row>
    <row r="560" spans="1:3">
      <c r="A560" s="98">
        <v>43671</v>
      </c>
      <c r="B560" s="96">
        <v>219</v>
      </c>
      <c r="C560" s="97">
        <v>795</v>
      </c>
    </row>
    <row r="561" spans="1:3">
      <c r="A561" s="98">
        <v>43672</v>
      </c>
      <c r="B561" s="96">
        <v>218</v>
      </c>
      <c r="C561" s="97">
        <v>795</v>
      </c>
    </row>
    <row r="562" spans="1:3">
      <c r="A562" s="98">
        <v>43675</v>
      </c>
      <c r="B562" s="96">
        <v>216</v>
      </c>
      <c r="C562" s="97">
        <v>795</v>
      </c>
    </row>
    <row r="563" spans="1:3">
      <c r="A563" s="98">
        <v>43676</v>
      </c>
      <c r="B563" s="96">
        <v>219</v>
      </c>
      <c r="C563" s="97">
        <v>780</v>
      </c>
    </row>
    <row r="564" spans="1:3">
      <c r="A564" s="98">
        <v>43677</v>
      </c>
      <c r="B564" s="96">
        <v>218</v>
      </c>
      <c r="C564" s="97">
        <v>780</v>
      </c>
    </row>
    <row r="565" spans="1:3">
      <c r="A565" s="98">
        <v>43678</v>
      </c>
      <c r="B565" s="96">
        <v>216</v>
      </c>
      <c r="C565" s="97">
        <v>780</v>
      </c>
    </row>
    <row r="566" spans="1:3">
      <c r="A566" s="98">
        <v>43679</v>
      </c>
      <c r="B566" s="96">
        <v>213</v>
      </c>
      <c r="C566" s="97">
        <v>780</v>
      </c>
    </row>
    <row r="567" spans="1:3">
      <c r="A567" s="98">
        <v>43682</v>
      </c>
      <c r="B567" s="96">
        <v>215</v>
      </c>
      <c r="C567" s="97">
        <v>770</v>
      </c>
    </row>
    <row r="568" spans="1:3">
      <c r="A568" s="98">
        <v>43683</v>
      </c>
      <c r="B568" s="96">
        <v>214</v>
      </c>
      <c r="C568" s="97">
        <v>765</v>
      </c>
    </row>
    <row r="569" spans="1:3">
      <c r="A569" s="98">
        <v>43684</v>
      </c>
      <c r="B569" s="96">
        <v>218</v>
      </c>
      <c r="C569" s="97">
        <v>760</v>
      </c>
    </row>
    <row r="570" spans="1:3">
      <c r="A570" s="98">
        <v>43685</v>
      </c>
      <c r="B570" s="96">
        <v>217</v>
      </c>
      <c r="C570" s="97">
        <v>760</v>
      </c>
    </row>
    <row r="571" spans="1:3">
      <c r="A571" s="98">
        <v>43686</v>
      </c>
      <c r="B571" s="96">
        <v>215</v>
      </c>
      <c r="C571" s="97">
        <v>760</v>
      </c>
    </row>
    <row r="572" spans="1:3">
      <c r="A572" s="98">
        <v>43689</v>
      </c>
      <c r="B572" s="96">
        <v>218</v>
      </c>
      <c r="C572" s="97">
        <v>765</v>
      </c>
    </row>
    <row r="573" spans="1:3">
      <c r="A573" s="98">
        <v>43690</v>
      </c>
      <c r="B573" s="96">
        <v>218</v>
      </c>
      <c r="C573" s="97">
        <v>765</v>
      </c>
    </row>
    <row r="574" spans="1:3">
      <c r="A574" s="98">
        <v>43691</v>
      </c>
      <c r="B574" s="96">
        <v>217</v>
      </c>
      <c r="C574" s="97">
        <v>765</v>
      </c>
    </row>
    <row r="575" spans="1:3">
      <c r="A575" s="98">
        <v>43692</v>
      </c>
      <c r="B575" s="96">
        <v>214</v>
      </c>
      <c r="C575" s="97">
        <v>760</v>
      </c>
    </row>
    <row r="576" spans="1:3">
      <c r="A576" s="98">
        <v>43693</v>
      </c>
      <c r="B576" s="96">
        <v>213</v>
      </c>
      <c r="C576" s="97">
        <v>760</v>
      </c>
    </row>
    <row r="577" spans="1:3">
      <c r="A577" s="98">
        <v>43696</v>
      </c>
      <c r="B577" s="96">
        <v>215</v>
      </c>
      <c r="C577" s="97">
        <v>755</v>
      </c>
    </row>
    <row r="578" spans="1:3">
      <c r="A578" s="98">
        <v>43697</v>
      </c>
      <c r="B578" s="96">
        <v>211</v>
      </c>
      <c r="C578" s="97">
        <v>750</v>
      </c>
    </row>
    <row r="579" spans="1:3">
      <c r="A579" s="98">
        <v>43698</v>
      </c>
      <c r="B579" s="96">
        <v>210</v>
      </c>
      <c r="C579" s="97">
        <v>740</v>
      </c>
    </row>
    <row r="580" spans="1:3">
      <c r="A580" s="98">
        <v>43699</v>
      </c>
      <c r="B580" s="96">
        <v>221</v>
      </c>
      <c r="C580" s="97">
        <v>740</v>
      </c>
    </row>
    <row r="581" spans="1:3">
      <c r="A581" s="98">
        <v>43700</v>
      </c>
      <c r="B581" s="96">
        <v>220</v>
      </c>
      <c r="C581" s="97">
        <v>735</v>
      </c>
    </row>
    <row r="582" spans="1:3">
      <c r="A582" s="98">
        <v>43703</v>
      </c>
      <c r="B582" s="96">
        <v>221</v>
      </c>
      <c r="C582" s="97">
        <v>735</v>
      </c>
    </row>
    <row r="583" spans="1:3">
      <c r="A583" s="98">
        <v>43704</v>
      </c>
      <c r="B583" s="96">
        <v>220</v>
      </c>
      <c r="C583" s="97">
        <v>735</v>
      </c>
    </row>
    <row r="584" spans="1:3">
      <c r="A584" s="98">
        <v>43705</v>
      </c>
      <c r="B584" s="96">
        <v>220</v>
      </c>
      <c r="C584" s="97">
        <v>735</v>
      </c>
    </row>
    <row r="585" spans="1:3">
      <c r="A585" s="98">
        <v>43706</v>
      </c>
      <c r="B585" s="96">
        <v>224</v>
      </c>
      <c r="C585" s="97">
        <v>735</v>
      </c>
    </row>
    <row r="586" spans="1:3">
      <c r="A586" s="98">
        <v>43707</v>
      </c>
      <c r="B586" s="96">
        <v>223</v>
      </c>
      <c r="C586" s="97">
        <v>730</v>
      </c>
    </row>
    <row r="587" spans="1:3">
      <c r="A587" s="98">
        <v>43713</v>
      </c>
      <c r="B587" s="96">
        <v>226</v>
      </c>
      <c r="C587" s="97">
        <v>685</v>
      </c>
    </row>
    <row r="588" spans="1:3">
      <c r="A588" s="98">
        <v>43717</v>
      </c>
      <c r="B588" s="96">
        <v>220</v>
      </c>
      <c r="C588" s="97">
        <v>655</v>
      </c>
    </row>
    <row r="589" spans="1:3">
      <c r="A589" s="98">
        <v>43718</v>
      </c>
      <c r="B589" s="96">
        <v>219</v>
      </c>
      <c r="C589" s="97">
        <v>650</v>
      </c>
    </row>
    <row r="590" spans="1:3">
      <c r="A590" s="98">
        <v>43719</v>
      </c>
      <c r="B590" s="96">
        <v>223</v>
      </c>
      <c r="C590" s="97">
        <v>645</v>
      </c>
    </row>
    <row r="591" spans="1:3">
      <c r="A591" s="98">
        <v>43720</v>
      </c>
      <c r="B591" s="96">
        <v>226</v>
      </c>
      <c r="C591" s="97">
        <v>640</v>
      </c>
    </row>
    <row r="592" spans="1:3">
      <c r="A592" s="98">
        <v>43724</v>
      </c>
      <c r="B592" s="96">
        <v>225</v>
      </c>
      <c r="C592" s="97">
        <v>650</v>
      </c>
    </row>
    <row r="593" spans="1:3">
      <c r="A593" s="98">
        <v>43725</v>
      </c>
      <c r="B593" s="96">
        <v>225</v>
      </c>
      <c r="C593" s="97">
        <v>655</v>
      </c>
    </row>
    <row r="594" spans="1:3">
      <c r="A594" s="98">
        <v>43726</v>
      </c>
      <c r="B594" s="96">
        <v>224</v>
      </c>
      <c r="C594" s="97">
        <v>630</v>
      </c>
    </row>
    <row r="595" spans="1:3">
      <c r="A595" s="98">
        <v>43727</v>
      </c>
      <c r="B595" s="96">
        <v>225</v>
      </c>
      <c r="C595" s="97">
        <v>625</v>
      </c>
    </row>
    <row r="596" spans="1:3">
      <c r="A596" s="98">
        <v>43728</v>
      </c>
      <c r="B596" s="96">
        <v>225</v>
      </c>
      <c r="C596" s="97">
        <v>625</v>
      </c>
    </row>
    <row r="597" spans="1:3">
      <c r="A597" s="98">
        <v>43731</v>
      </c>
      <c r="B597" s="96">
        <v>220</v>
      </c>
      <c r="C597" s="97">
        <v>625</v>
      </c>
    </row>
    <row r="598" spans="1:3">
      <c r="A598" s="98">
        <v>43732</v>
      </c>
      <c r="B598" s="96">
        <v>219</v>
      </c>
      <c r="C598" s="97">
        <v>625</v>
      </c>
    </row>
    <row r="599" spans="1:3">
      <c r="A599" s="98">
        <v>43733</v>
      </c>
      <c r="B599" s="96">
        <v>215</v>
      </c>
      <c r="C599" s="97">
        <v>625</v>
      </c>
    </row>
    <row r="600" spans="1:3">
      <c r="A600" s="98">
        <v>43734</v>
      </c>
      <c r="B600" s="96">
        <v>214</v>
      </c>
      <c r="C600" s="97">
        <v>625</v>
      </c>
    </row>
    <row r="601" spans="1:3">
      <c r="A601" s="98">
        <v>43735</v>
      </c>
      <c r="B601" s="96">
        <v>212</v>
      </c>
      <c r="C601" s="97">
        <v>625</v>
      </c>
    </row>
    <row r="602" spans="1:3">
      <c r="A602" s="98">
        <v>43737</v>
      </c>
      <c r="B602" s="96">
        <v>212</v>
      </c>
      <c r="C602" s="97">
        <v>630</v>
      </c>
    </row>
    <row r="603" spans="1:3">
      <c r="A603" s="98">
        <v>43738</v>
      </c>
      <c r="B603" s="96">
        <v>212</v>
      </c>
      <c r="C603" s="97">
        <v>630</v>
      </c>
    </row>
    <row r="604" spans="1:3">
      <c r="A604" s="98">
        <v>43746</v>
      </c>
      <c r="B604" s="96">
        <v>227</v>
      </c>
      <c r="C604" s="97">
        <v>630</v>
      </c>
    </row>
    <row r="605" spans="1:3">
      <c r="A605" s="98">
        <v>43747</v>
      </c>
      <c r="B605" s="96">
        <v>226</v>
      </c>
      <c r="C605" s="97">
        <v>625</v>
      </c>
    </row>
    <row r="606" spans="1:3">
      <c r="A606" s="98">
        <v>43748</v>
      </c>
      <c r="B606" s="96">
        <v>228</v>
      </c>
      <c r="C606" s="97">
        <v>620</v>
      </c>
    </row>
    <row r="607" spans="1:3">
      <c r="A607" s="98">
        <v>43749</v>
      </c>
      <c r="B607" s="96">
        <v>228</v>
      </c>
      <c r="C607" s="97">
        <v>610</v>
      </c>
    </row>
    <row r="608" spans="1:3">
      <c r="A608" s="98">
        <v>43750</v>
      </c>
      <c r="B608" s="96">
        <v>225</v>
      </c>
      <c r="C608" s="97">
        <v>610</v>
      </c>
    </row>
    <row r="609" spans="1:3">
      <c r="A609" s="98">
        <v>43752</v>
      </c>
      <c r="B609" s="96">
        <v>221</v>
      </c>
      <c r="C609" s="97">
        <v>610</v>
      </c>
    </row>
    <row r="610" spans="1:3">
      <c r="A610" s="98">
        <v>43753</v>
      </c>
      <c r="B610" s="96">
        <v>224</v>
      </c>
      <c r="C610" s="97">
        <v>600</v>
      </c>
    </row>
    <row r="611" spans="1:3">
      <c r="A611" s="98">
        <v>43754</v>
      </c>
      <c r="B611" s="96">
        <v>223</v>
      </c>
      <c r="C611" s="97">
        <v>595</v>
      </c>
    </row>
    <row r="612" spans="1:3">
      <c r="A612" s="98">
        <v>43755</v>
      </c>
      <c r="B612" s="96">
        <v>223</v>
      </c>
      <c r="C612" s="97">
        <v>595</v>
      </c>
    </row>
    <row r="613" spans="1:3">
      <c r="A613" s="98">
        <v>43756</v>
      </c>
      <c r="B613" s="96">
        <v>221</v>
      </c>
      <c r="C613" s="97">
        <v>595</v>
      </c>
    </row>
    <row r="614" spans="1:3">
      <c r="A614" s="98">
        <v>43759</v>
      </c>
      <c r="B614" s="96">
        <v>215</v>
      </c>
      <c r="C614" s="97">
        <v>595</v>
      </c>
    </row>
    <row r="615" spans="1:3">
      <c r="A615" s="98">
        <v>43760</v>
      </c>
      <c r="B615" s="96">
        <v>214</v>
      </c>
      <c r="C615" s="97">
        <v>595</v>
      </c>
    </row>
    <row r="616" spans="1:3">
      <c r="A616" s="98">
        <v>43761</v>
      </c>
      <c r="B616" s="96">
        <v>213</v>
      </c>
      <c r="C616" s="97">
        <v>595</v>
      </c>
    </row>
    <row r="617" spans="1:3">
      <c r="A617" s="98">
        <v>43762</v>
      </c>
      <c r="B617" s="96">
        <v>211</v>
      </c>
      <c r="C617" s="97">
        <v>595</v>
      </c>
    </row>
    <row r="618" spans="1:3">
      <c r="A618" s="98">
        <v>43763</v>
      </c>
      <c r="B618" s="96">
        <v>225</v>
      </c>
      <c r="C618" s="97">
        <v>595</v>
      </c>
    </row>
    <row r="619" spans="1:3">
      <c r="A619" s="98">
        <v>43766</v>
      </c>
      <c r="B619" s="96">
        <v>233</v>
      </c>
      <c r="C619" s="97">
        <v>595</v>
      </c>
    </row>
    <row r="620" spans="1:3">
      <c r="A620" s="98">
        <v>43767</v>
      </c>
      <c r="B620" s="96">
        <v>230</v>
      </c>
      <c r="C620" s="97">
        <v>590</v>
      </c>
    </row>
    <row r="621" spans="1:3">
      <c r="A621" s="98">
        <v>43768</v>
      </c>
      <c r="B621" s="96">
        <v>229</v>
      </c>
      <c r="C621" s="97">
        <v>585</v>
      </c>
    </row>
    <row r="622" spans="1:3">
      <c r="A622" s="98">
        <v>43769</v>
      </c>
      <c r="B622" s="96">
        <v>231</v>
      </c>
      <c r="C622" s="97">
        <v>585</v>
      </c>
    </row>
    <row r="623" spans="1:3">
      <c r="A623" s="98">
        <v>43770</v>
      </c>
      <c r="B623" s="96">
        <v>230</v>
      </c>
      <c r="C623" s="97">
        <v>585</v>
      </c>
    </row>
    <row r="624" spans="1:3">
      <c r="A624" s="98">
        <v>43773</v>
      </c>
      <c r="B624" s="96">
        <v>238</v>
      </c>
      <c r="C624" s="97">
        <v>585</v>
      </c>
    </row>
    <row r="625" spans="1:3">
      <c r="A625" s="98">
        <v>43774</v>
      </c>
      <c r="B625" s="96">
        <v>237</v>
      </c>
      <c r="C625" s="97">
        <v>580</v>
      </c>
    </row>
    <row r="626" spans="1:3">
      <c r="A626" s="98">
        <v>43775</v>
      </c>
      <c r="B626" s="96">
        <v>235</v>
      </c>
      <c r="C626" s="97">
        <v>580</v>
      </c>
    </row>
    <row r="627" spans="1:3">
      <c r="A627" s="98">
        <v>43776</v>
      </c>
      <c r="B627" s="96">
        <v>236</v>
      </c>
      <c r="C627" s="97">
        <v>575</v>
      </c>
    </row>
    <row r="628" spans="1:3">
      <c r="A628" s="98">
        <v>43777</v>
      </c>
      <c r="B628" s="96">
        <v>235</v>
      </c>
      <c r="C628" s="97">
        <v>570</v>
      </c>
    </row>
    <row r="629" spans="1:3">
      <c r="A629" s="98">
        <v>43780</v>
      </c>
      <c r="B629" s="96">
        <v>237</v>
      </c>
      <c r="C629" s="97">
        <v>560</v>
      </c>
    </row>
    <row r="630" spans="1:3">
      <c r="A630" s="98">
        <v>43781</v>
      </c>
      <c r="B630" s="96">
        <v>234</v>
      </c>
      <c r="C630" s="97">
        <v>545</v>
      </c>
    </row>
    <row r="631" spans="1:3">
      <c r="A631" s="98">
        <v>43782</v>
      </c>
      <c r="B631" s="96">
        <v>234</v>
      </c>
      <c r="C631" s="97">
        <v>535</v>
      </c>
    </row>
    <row r="632" spans="1:3">
      <c r="A632" s="98">
        <v>43783</v>
      </c>
      <c r="B632" s="96">
        <v>233</v>
      </c>
      <c r="C632" s="97">
        <v>530</v>
      </c>
    </row>
    <row r="633" spans="1:3">
      <c r="A633" s="98">
        <v>43784</v>
      </c>
      <c r="B633" s="96">
        <v>235</v>
      </c>
      <c r="C633" s="97">
        <v>510</v>
      </c>
    </row>
    <row r="634" spans="1:3">
      <c r="A634" s="98">
        <v>43787</v>
      </c>
      <c r="B634" s="96">
        <v>251</v>
      </c>
      <c r="C634" s="97">
        <v>490</v>
      </c>
    </row>
    <row r="635" spans="1:3">
      <c r="A635" s="98">
        <v>43788</v>
      </c>
      <c r="B635" s="96">
        <v>257</v>
      </c>
      <c r="C635" s="97">
        <v>480</v>
      </c>
    </row>
    <row r="636" spans="1:3">
      <c r="A636" s="98">
        <v>43789</v>
      </c>
      <c r="B636" s="96">
        <v>255</v>
      </c>
      <c r="C636" s="97">
        <v>480</v>
      </c>
    </row>
    <row r="637" spans="1:3">
      <c r="A637" s="98">
        <v>43790</v>
      </c>
      <c r="B637" s="96">
        <v>257</v>
      </c>
      <c r="C637" s="97">
        <v>480</v>
      </c>
    </row>
    <row r="638" spans="1:3">
      <c r="A638" s="98">
        <v>43791</v>
      </c>
      <c r="B638" s="96">
        <v>256</v>
      </c>
      <c r="C638" s="97">
        <v>480</v>
      </c>
    </row>
    <row r="639" spans="1:3">
      <c r="A639" s="98">
        <v>43794</v>
      </c>
      <c r="B639" s="96">
        <v>258</v>
      </c>
      <c r="C639" s="97">
        <v>480</v>
      </c>
    </row>
    <row r="640" spans="1:3">
      <c r="A640" s="98">
        <v>43795</v>
      </c>
      <c r="B640" s="96">
        <v>258</v>
      </c>
      <c r="C640" s="97">
        <v>490</v>
      </c>
    </row>
    <row r="641" spans="1:3">
      <c r="A641" s="98">
        <v>43796</v>
      </c>
      <c r="B641" s="96">
        <v>260</v>
      </c>
      <c r="C641" s="97">
        <v>495</v>
      </c>
    </row>
    <row r="642" spans="1:3">
      <c r="A642" s="98">
        <v>43797</v>
      </c>
      <c r="B642" s="96">
        <v>259</v>
      </c>
      <c r="C642" s="97">
        <v>495</v>
      </c>
    </row>
    <row r="643" spans="1:3">
      <c r="A643" s="98">
        <v>43798</v>
      </c>
      <c r="B643" s="96">
        <v>258</v>
      </c>
      <c r="C643" s="97">
        <v>495</v>
      </c>
    </row>
    <row r="644" spans="1:3">
      <c r="A644" s="98">
        <v>43801</v>
      </c>
      <c r="B644" s="96">
        <v>262</v>
      </c>
      <c r="C644" s="97">
        <v>495</v>
      </c>
    </row>
    <row r="645" spans="1:3">
      <c r="A645" s="98">
        <v>43802</v>
      </c>
      <c r="B645" s="96">
        <v>262</v>
      </c>
      <c r="C645" s="97">
        <v>495</v>
      </c>
    </row>
    <row r="646" spans="1:3">
      <c r="A646" s="98">
        <v>43803</v>
      </c>
      <c r="B646" s="96">
        <v>263</v>
      </c>
      <c r="C646" s="97">
        <v>495</v>
      </c>
    </row>
    <row r="647" spans="1:3">
      <c r="A647" s="98">
        <v>43804</v>
      </c>
      <c r="B647" s="96">
        <v>266</v>
      </c>
      <c r="C647" s="97">
        <v>500</v>
      </c>
    </row>
    <row r="648" spans="1:3">
      <c r="A648" s="98">
        <v>43805</v>
      </c>
      <c r="B648" s="96">
        <v>269</v>
      </c>
      <c r="C648" s="97">
        <v>500</v>
      </c>
    </row>
    <row r="649" spans="1:3">
      <c r="A649" s="98">
        <v>43808</v>
      </c>
      <c r="B649" s="96">
        <v>270</v>
      </c>
      <c r="C649" s="97">
        <v>500</v>
      </c>
    </row>
    <row r="650" spans="1:3">
      <c r="A650" s="98">
        <v>43809</v>
      </c>
      <c r="B650" s="96">
        <v>269</v>
      </c>
      <c r="C650" s="97">
        <v>505</v>
      </c>
    </row>
    <row r="651" spans="1:3">
      <c r="A651" s="98">
        <v>43810</v>
      </c>
      <c r="B651" s="96">
        <v>268</v>
      </c>
      <c r="C651" s="97">
        <v>510</v>
      </c>
    </row>
    <row r="652" spans="1:3">
      <c r="A652" s="98">
        <v>43811</v>
      </c>
      <c r="B652" s="96">
        <v>269</v>
      </c>
      <c r="C652" s="97">
        <v>520</v>
      </c>
    </row>
    <row r="653" spans="1:3">
      <c r="A653" s="98">
        <v>43812</v>
      </c>
      <c r="B653" s="96">
        <v>272</v>
      </c>
      <c r="C653" s="97">
        <v>520</v>
      </c>
    </row>
    <row r="654" spans="1:3">
      <c r="A654" s="98">
        <v>43815</v>
      </c>
      <c r="B654" s="96">
        <v>271</v>
      </c>
      <c r="C654" s="97">
        <v>520</v>
      </c>
    </row>
    <row r="655" spans="1:3">
      <c r="A655" s="98">
        <v>43816</v>
      </c>
      <c r="B655" s="96">
        <v>276</v>
      </c>
      <c r="C655" s="97">
        <v>525</v>
      </c>
    </row>
    <row r="656" spans="1:3">
      <c r="A656" s="98">
        <v>43817</v>
      </c>
      <c r="B656" s="96">
        <v>276</v>
      </c>
      <c r="C656" s="97">
        <v>530</v>
      </c>
    </row>
    <row r="657" spans="1:3">
      <c r="A657" s="98">
        <v>43818</v>
      </c>
      <c r="B657" s="96">
        <v>276</v>
      </c>
      <c r="C657" s="97">
        <v>540</v>
      </c>
    </row>
    <row r="658" spans="1:3">
      <c r="A658" s="98">
        <v>43819</v>
      </c>
      <c r="B658" s="96">
        <v>273</v>
      </c>
      <c r="C658" s="97">
        <v>555</v>
      </c>
    </row>
    <row r="659" spans="1:3">
      <c r="A659" s="98">
        <v>43822</v>
      </c>
      <c r="B659" s="96">
        <v>277</v>
      </c>
      <c r="C659" s="97">
        <v>555</v>
      </c>
    </row>
    <row r="660" spans="1:3">
      <c r="A660" s="98">
        <v>43823</v>
      </c>
      <c r="B660" s="96">
        <v>276</v>
      </c>
      <c r="C660" s="97">
        <v>575</v>
      </c>
    </row>
    <row r="661" spans="1:3">
      <c r="A661" s="98">
        <v>43824</v>
      </c>
      <c r="B661" s="96">
        <v>276</v>
      </c>
      <c r="C661" s="97">
        <v>590</v>
      </c>
    </row>
    <row r="662" spans="1:3">
      <c r="A662" s="98">
        <v>43825</v>
      </c>
      <c r="B662" s="96">
        <v>275</v>
      </c>
      <c r="C662" s="97">
        <v>595</v>
      </c>
    </row>
    <row r="663" spans="1:3">
      <c r="A663" s="98">
        <v>43826</v>
      </c>
      <c r="B663" s="96">
        <v>273</v>
      </c>
      <c r="C663" s="97">
        <v>595</v>
      </c>
    </row>
    <row r="664" spans="1:3">
      <c r="A664" s="98">
        <v>43829</v>
      </c>
      <c r="B664" s="96">
        <v>270</v>
      </c>
      <c r="C664" s="97">
        <v>600</v>
      </c>
    </row>
    <row r="665" spans="1:3">
      <c r="A665" s="98">
        <v>43830</v>
      </c>
      <c r="B665" s="96">
        <v>270</v>
      </c>
      <c r="C665" s="97">
        <v>600</v>
      </c>
    </row>
    <row r="666" spans="1:3">
      <c r="A666" s="98">
        <v>43832</v>
      </c>
      <c r="B666" s="96">
        <v>271</v>
      </c>
      <c r="C666" s="97">
        <v>600</v>
      </c>
    </row>
    <row r="667" spans="1:3">
      <c r="A667" s="98">
        <v>43833</v>
      </c>
      <c r="B667" s="96">
        <v>270</v>
      </c>
      <c r="C667" s="97">
        <v>585</v>
      </c>
    </row>
    <row r="668" spans="1:3">
      <c r="A668" s="98">
        <v>43836</v>
      </c>
      <c r="B668" s="96">
        <v>272</v>
      </c>
      <c r="C668" s="97">
        <v>585</v>
      </c>
    </row>
    <row r="669" spans="1:3">
      <c r="A669" s="98">
        <v>43837</v>
      </c>
      <c r="B669" s="96">
        <v>273</v>
      </c>
      <c r="C669" s="97">
        <v>580</v>
      </c>
    </row>
    <row r="670" spans="1:3">
      <c r="A670" s="98">
        <v>43838</v>
      </c>
      <c r="B670" s="96">
        <v>271</v>
      </c>
      <c r="C670" s="97">
        <v>580</v>
      </c>
    </row>
    <row r="671" spans="1:3">
      <c r="A671" s="98">
        <v>43839</v>
      </c>
      <c r="B671" s="96">
        <v>270</v>
      </c>
      <c r="C671" s="97">
        <v>580</v>
      </c>
    </row>
    <row r="672" spans="1:3">
      <c r="A672" s="98">
        <v>43840</v>
      </c>
      <c r="B672" s="96">
        <v>270</v>
      </c>
      <c r="C672" s="97">
        <v>585</v>
      </c>
    </row>
    <row r="673" spans="1:3">
      <c r="A673" s="98">
        <v>43843</v>
      </c>
      <c r="B673" s="96">
        <v>269</v>
      </c>
      <c r="C673" s="97">
        <v>600</v>
      </c>
    </row>
    <row r="674" spans="1:3">
      <c r="A674" s="98">
        <v>43844</v>
      </c>
      <c r="B674" s="96">
        <v>268</v>
      </c>
      <c r="C674" s="97">
        <v>600</v>
      </c>
    </row>
    <row r="675" spans="1:3">
      <c r="A675" s="98">
        <v>43845</v>
      </c>
      <c r="B675" s="96">
        <v>267</v>
      </c>
      <c r="C675" s="97">
        <v>600</v>
      </c>
    </row>
    <row r="676" spans="1:3">
      <c r="A676" s="98">
        <v>43846</v>
      </c>
      <c r="B676" s="96">
        <v>271</v>
      </c>
      <c r="C676" s="97">
        <v>600</v>
      </c>
    </row>
    <row r="677" spans="1:3">
      <c r="A677" s="98">
        <v>43847</v>
      </c>
      <c r="B677" s="96">
        <v>271</v>
      </c>
      <c r="C677" s="97">
        <v>600</v>
      </c>
    </row>
    <row r="678" spans="1:3">
      <c r="A678" s="98">
        <v>43849</v>
      </c>
      <c r="B678" s="96">
        <v>271</v>
      </c>
      <c r="C678" s="97">
        <v>600</v>
      </c>
    </row>
    <row r="679" spans="1:3">
      <c r="A679" s="98">
        <v>43850</v>
      </c>
      <c r="B679" s="96">
        <v>274</v>
      </c>
      <c r="C679" s="97">
        <v>605</v>
      </c>
    </row>
    <row r="680" spans="1:3">
      <c r="A680" s="98">
        <v>43851</v>
      </c>
      <c r="B680" s="96">
        <v>275</v>
      </c>
      <c r="C680" s="97">
        <v>605</v>
      </c>
    </row>
    <row r="681" spans="1:3">
      <c r="A681" s="98">
        <v>43852</v>
      </c>
      <c r="B681" s="96">
        <v>275</v>
      </c>
      <c r="C681" s="97">
        <v>605</v>
      </c>
    </row>
    <row r="682" spans="1:3">
      <c r="A682" s="98">
        <v>43853</v>
      </c>
      <c r="B682" s="96">
        <v>275</v>
      </c>
      <c r="C682" s="97">
        <v>605</v>
      </c>
    </row>
    <row r="683" spans="1:3">
      <c r="A683" s="98">
        <v>43861</v>
      </c>
      <c r="B683" s="96">
        <v>278</v>
      </c>
      <c r="C683" s="97">
        <v>605</v>
      </c>
    </row>
    <row r="684" spans="1:3">
      <c r="A684" s="98">
        <v>43866</v>
      </c>
      <c r="B684" s="96">
        <v>282</v>
      </c>
      <c r="C684" s="97">
        <v>605</v>
      </c>
    </row>
    <row r="685" spans="1:3">
      <c r="A685" s="98">
        <v>43867</v>
      </c>
      <c r="B685" s="96">
        <v>284</v>
      </c>
      <c r="C685" s="97">
        <v>605</v>
      </c>
    </row>
    <row r="686" spans="1:3">
      <c r="A686" s="98">
        <v>43871</v>
      </c>
      <c r="B686" s="96">
        <v>300</v>
      </c>
      <c r="C686" s="97">
        <v>590</v>
      </c>
    </row>
    <row r="687" spans="1:3">
      <c r="A687" s="98">
        <v>43872</v>
      </c>
      <c r="B687" s="96">
        <v>307</v>
      </c>
      <c r="C687" s="97">
        <v>570</v>
      </c>
    </row>
    <row r="688" spans="1:3">
      <c r="A688" s="98">
        <v>43873</v>
      </c>
      <c r="B688" s="96">
        <v>309</v>
      </c>
      <c r="C688" s="97">
        <v>570</v>
      </c>
    </row>
    <row r="689" spans="1:3">
      <c r="A689" s="98">
        <v>43874</v>
      </c>
      <c r="B689" s="96">
        <v>307</v>
      </c>
      <c r="C689" s="97">
        <v>570</v>
      </c>
    </row>
    <row r="690" spans="1:3">
      <c r="A690" s="98">
        <v>43875</v>
      </c>
      <c r="B690" s="96">
        <v>309</v>
      </c>
      <c r="C690" s="97">
        <v>570</v>
      </c>
    </row>
    <row r="691" spans="1:3">
      <c r="A691" s="98">
        <v>43878</v>
      </c>
      <c r="B691" s="96">
        <v>316</v>
      </c>
      <c r="C691" s="97">
        <v>575</v>
      </c>
    </row>
    <row r="692" spans="1:3">
      <c r="A692" s="98">
        <v>43879</v>
      </c>
      <c r="B692" s="96">
        <v>315</v>
      </c>
      <c r="C692" s="97">
        <v>580</v>
      </c>
    </row>
    <row r="693" spans="1:3">
      <c r="A693" s="98">
        <v>43880</v>
      </c>
      <c r="B693" s="96">
        <v>314</v>
      </c>
      <c r="C693" s="97">
        <v>600</v>
      </c>
    </row>
    <row r="694" spans="1:3">
      <c r="A694" s="98">
        <v>43881</v>
      </c>
      <c r="B694" s="96">
        <v>309</v>
      </c>
      <c r="C694" s="97">
        <v>620</v>
      </c>
    </row>
    <row r="695" spans="1:3">
      <c r="A695" s="98">
        <v>43882</v>
      </c>
      <c r="B695" s="96">
        <v>309</v>
      </c>
      <c r="C695" s="97">
        <v>640</v>
      </c>
    </row>
    <row r="696" spans="1:3">
      <c r="A696" s="98">
        <v>43885</v>
      </c>
      <c r="B696" s="96">
        <v>311</v>
      </c>
      <c r="C696" s="97">
        <v>640</v>
      </c>
    </row>
    <row r="697" spans="1:3">
      <c r="A697" s="98">
        <v>43886</v>
      </c>
      <c r="B697" s="96">
        <v>309</v>
      </c>
      <c r="C697" s="97">
        <v>650</v>
      </c>
    </row>
    <row r="698" spans="1:3">
      <c r="A698" s="98">
        <v>43887</v>
      </c>
      <c r="B698" s="96">
        <v>307</v>
      </c>
      <c r="C698" s="97">
        <v>650</v>
      </c>
    </row>
    <row r="699" spans="1:3">
      <c r="A699" s="98">
        <v>43888</v>
      </c>
      <c r="B699" s="96">
        <v>310</v>
      </c>
      <c r="C699" s="97">
        <v>645</v>
      </c>
    </row>
    <row r="700" spans="1:3">
      <c r="A700" s="98">
        <v>43889</v>
      </c>
      <c r="B700" s="96">
        <v>309</v>
      </c>
      <c r="C700" s="97">
        <v>640</v>
      </c>
    </row>
    <row r="701" spans="1:3">
      <c r="A701" s="98">
        <v>43892</v>
      </c>
      <c r="B701" s="96">
        <v>307</v>
      </c>
      <c r="C701" s="97">
        <v>640</v>
      </c>
    </row>
    <row r="702" spans="1:3">
      <c r="A702" s="98">
        <v>43893</v>
      </c>
      <c r="B702" s="96">
        <v>306</v>
      </c>
      <c r="C702" s="97">
        <v>650</v>
      </c>
    </row>
    <row r="703" spans="1:3">
      <c r="A703" s="98">
        <v>43894</v>
      </c>
      <c r="B703" s="96">
        <v>304</v>
      </c>
      <c r="C703" s="97">
        <v>650</v>
      </c>
    </row>
    <row r="704" spans="1:3">
      <c r="A704" s="98">
        <v>43895</v>
      </c>
      <c r="B704" s="96">
        <v>302</v>
      </c>
      <c r="C704" s="97">
        <v>670</v>
      </c>
    </row>
    <row r="705" spans="1:3">
      <c r="A705" s="98">
        <v>43896</v>
      </c>
      <c r="B705" s="96">
        <v>299</v>
      </c>
      <c r="C705" s="97">
        <v>690</v>
      </c>
    </row>
    <row r="706" spans="1:3">
      <c r="A706" s="98">
        <v>43899</v>
      </c>
      <c r="B706" s="96">
        <v>302</v>
      </c>
      <c r="C706" s="97">
        <v>680</v>
      </c>
    </row>
    <row r="707" spans="1:3">
      <c r="A707" s="98">
        <v>43900</v>
      </c>
      <c r="B707" s="96">
        <v>299</v>
      </c>
      <c r="C707" s="97">
        <v>700</v>
      </c>
    </row>
    <row r="708" spans="1:3">
      <c r="A708" s="98">
        <v>43901</v>
      </c>
      <c r="B708" s="96">
        <v>297</v>
      </c>
      <c r="C708" s="97">
        <v>695</v>
      </c>
    </row>
    <row r="709" spans="1:3">
      <c r="A709" s="98">
        <v>43902</v>
      </c>
      <c r="B709" s="96">
        <v>297</v>
      </c>
      <c r="C709" s="97">
        <v>690</v>
      </c>
    </row>
    <row r="710" spans="1:3">
      <c r="A710" s="98">
        <v>43903</v>
      </c>
      <c r="B710" s="96">
        <v>295</v>
      </c>
      <c r="C710" s="97">
        <v>685</v>
      </c>
    </row>
    <row r="711" spans="1:3">
      <c r="A711" s="98">
        <v>43906</v>
      </c>
      <c r="B711" s="96">
        <v>293</v>
      </c>
      <c r="C711" s="97">
        <v>685</v>
      </c>
    </row>
    <row r="712" spans="1:3">
      <c r="A712" s="98">
        <v>43907</v>
      </c>
      <c r="B712" s="96">
        <v>290</v>
      </c>
      <c r="C712" s="97">
        <v>685</v>
      </c>
    </row>
    <row r="713" spans="1:3">
      <c r="A713" s="98">
        <v>43908</v>
      </c>
      <c r="B713" s="96">
        <v>288</v>
      </c>
      <c r="C713" s="97">
        <v>675</v>
      </c>
    </row>
    <row r="714" spans="1:3">
      <c r="A714" s="98">
        <v>43909</v>
      </c>
      <c r="B714" s="96">
        <v>285</v>
      </c>
      <c r="C714" s="97">
        <v>675</v>
      </c>
    </row>
    <row r="715" spans="1:3">
      <c r="A715" s="98">
        <v>43910</v>
      </c>
      <c r="B715" s="96">
        <v>283</v>
      </c>
      <c r="C715" s="97">
        <v>675</v>
      </c>
    </row>
    <row r="716" spans="1:3">
      <c r="A716" s="98">
        <v>43913</v>
      </c>
      <c r="B716" s="96">
        <v>282</v>
      </c>
      <c r="C716" s="97">
        <v>675</v>
      </c>
    </row>
    <row r="717" spans="1:3">
      <c r="A717" s="98">
        <v>43914</v>
      </c>
      <c r="B717" s="96">
        <v>281</v>
      </c>
      <c r="C717" s="97">
        <v>665</v>
      </c>
    </row>
    <row r="718" spans="1:3">
      <c r="A718" s="98">
        <v>43915</v>
      </c>
      <c r="B718" s="96">
        <v>279</v>
      </c>
      <c r="C718" s="97">
        <v>660</v>
      </c>
    </row>
    <row r="719" spans="1:3">
      <c r="A719" s="98">
        <v>43916</v>
      </c>
      <c r="B719" s="96">
        <v>277</v>
      </c>
      <c r="C719" s="97">
        <v>655</v>
      </c>
    </row>
    <row r="720" spans="1:3">
      <c r="A720" s="98">
        <v>43917</v>
      </c>
      <c r="B720" s="96">
        <v>281</v>
      </c>
      <c r="C720" s="97">
        <v>645</v>
      </c>
    </row>
    <row r="721" spans="1:3">
      <c r="A721" s="98">
        <v>43920</v>
      </c>
      <c r="B721" s="96">
        <v>286</v>
      </c>
      <c r="C721" s="97">
        <v>625</v>
      </c>
    </row>
    <row r="722" spans="1:3">
      <c r="A722" s="98">
        <v>43921</v>
      </c>
      <c r="B722" s="96">
        <v>286</v>
      </c>
      <c r="C722" s="97">
        <v>615</v>
      </c>
    </row>
    <row r="723" spans="1:3">
      <c r="A723" s="98">
        <v>43922</v>
      </c>
      <c r="B723" s="96">
        <v>282</v>
      </c>
      <c r="C723" s="97">
        <v>610</v>
      </c>
    </row>
    <row r="724" spans="1:3">
      <c r="A724" s="98">
        <v>43923</v>
      </c>
      <c r="B724" s="96">
        <v>284</v>
      </c>
      <c r="C724" s="97">
        <v>615</v>
      </c>
    </row>
    <row r="725" spans="1:3">
      <c r="A725" s="98">
        <v>43924</v>
      </c>
      <c r="B725" s="96">
        <v>284</v>
      </c>
      <c r="C725" s="97">
        <v>625</v>
      </c>
    </row>
    <row r="726" spans="1:3">
      <c r="A726" s="98">
        <v>43928</v>
      </c>
      <c r="B726" s="96">
        <v>289</v>
      </c>
      <c r="C726" s="97">
        <v>620</v>
      </c>
    </row>
    <row r="727" spans="1:3">
      <c r="A727" s="98">
        <v>43929</v>
      </c>
      <c r="B727" s="96">
        <v>293</v>
      </c>
      <c r="C727" s="97">
        <v>620</v>
      </c>
    </row>
    <row r="728" spans="1:3">
      <c r="A728" s="98">
        <v>43930</v>
      </c>
      <c r="B728" s="96">
        <v>296</v>
      </c>
      <c r="C728" s="97">
        <v>615</v>
      </c>
    </row>
    <row r="729" spans="1:3">
      <c r="A729" s="98">
        <v>43931</v>
      </c>
      <c r="B729" s="96">
        <v>295</v>
      </c>
      <c r="C729" s="97">
        <v>615</v>
      </c>
    </row>
    <row r="730" spans="1:3">
      <c r="A730" s="98">
        <v>43934</v>
      </c>
      <c r="B730" s="96">
        <v>294</v>
      </c>
      <c r="C730" s="97">
        <v>615</v>
      </c>
    </row>
    <row r="731" spans="1:3">
      <c r="A731" s="98">
        <v>43935</v>
      </c>
      <c r="B731" s="96">
        <v>295</v>
      </c>
      <c r="C731" s="97">
        <v>610</v>
      </c>
    </row>
    <row r="732" spans="1:3">
      <c r="A732" s="98">
        <v>43936</v>
      </c>
      <c r="B732" s="96">
        <v>292</v>
      </c>
      <c r="C732" s="97">
        <v>600</v>
      </c>
    </row>
    <row r="733" spans="1:3">
      <c r="A733" s="98">
        <v>43937</v>
      </c>
      <c r="B733" s="96">
        <v>291</v>
      </c>
      <c r="C733" s="97">
        <v>605</v>
      </c>
    </row>
    <row r="734" spans="1:3">
      <c r="A734" s="98">
        <v>43938</v>
      </c>
      <c r="B734" s="96">
        <v>291</v>
      </c>
      <c r="C734" s="97">
        <v>605</v>
      </c>
    </row>
    <row r="735" spans="1:3">
      <c r="A735" s="98">
        <v>43941</v>
      </c>
      <c r="B735" s="96">
        <v>289</v>
      </c>
      <c r="C735" s="97">
        <v>595</v>
      </c>
    </row>
    <row r="736" spans="1:3">
      <c r="A736" s="98">
        <v>43942</v>
      </c>
      <c r="B736" s="96">
        <v>284</v>
      </c>
      <c r="C736" s="97">
        <v>585</v>
      </c>
    </row>
    <row r="737" spans="1:3">
      <c r="A737" s="98">
        <v>43943</v>
      </c>
      <c r="B737" s="96">
        <v>284</v>
      </c>
      <c r="C737" s="97">
        <v>575</v>
      </c>
    </row>
    <row r="738" spans="1:3">
      <c r="A738" s="98">
        <v>43944</v>
      </c>
      <c r="B738" s="96">
        <v>286</v>
      </c>
      <c r="C738" s="97">
        <v>575</v>
      </c>
    </row>
    <row r="739" spans="1:3">
      <c r="A739" s="98">
        <v>43945</v>
      </c>
      <c r="B739" s="96">
        <v>284</v>
      </c>
      <c r="C739" s="97">
        <v>575</v>
      </c>
    </row>
    <row r="740" spans="1:3">
      <c r="A740" s="98">
        <v>43947</v>
      </c>
      <c r="B740" s="96">
        <v>283</v>
      </c>
      <c r="C740" s="97">
        <v>570</v>
      </c>
    </row>
    <row r="741" spans="1:3">
      <c r="A741" s="98">
        <v>43948</v>
      </c>
      <c r="B741" s="96">
        <v>283</v>
      </c>
      <c r="C741" s="97">
        <v>570</v>
      </c>
    </row>
    <row r="742" spans="1:3">
      <c r="A742" s="98">
        <v>43949</v>
      </c>
      <c r="B742" s="96">
        <v>277</v>
      </c>
      <c r="C742" s="97">
        <v>570</v>
      </c>
    </row>
    <row r="743" spans="1:3">
      <c r="A743" s="98">
        <v>43950</v>
      </c>
      <c r="B743" s="96">
        <v>279</v>
      </c>
      <c r="C743" s="97">
        <v>575</v>
      </c>
    </row>
    <row r="744" spans="1:3">
      <c r="A744" s="98">
        <v>43951</v>
      </c>
      <c r="B744" s="96">
        <v>280</v>
      </c>
      <c r="C744" s="97">
        <v>575</v>
      </c>
    </row>
    <row r="745" spans="1:3">
      <c r="A745" s="98">
        <v>43957</v>
      </c>
      <c r="B745" s="96">
        <v>275</v>
      </c>
      <c r="C745" s="97">
        <v>580</v>
      </c>
    </row>
    <row r="746" spans="1:3">
      <c r="A746" s="98">
        <v>43958</v>
      </c>
      <c r="B746" s="96">
        <v>274</v>
      </c>
      <c r="C746" s="97">
        <v>600</v>
      </c>
    </row>
    <row r="747" spans="1:3">
      <c r="A747" s="98">
        <v>43959</v>
      </c>
      <c r="B747" s="96">
        <v>273</v>
      </c>
      <c r="C747" s="97">
        <v>605</v>
      </c>
    </row>
    <row r="748" spans="1:3">
      <c r="A748" s="98">
        <v>43960</v>
      </c>
      <c r="B748" s="96">
        <v>274</v>
      </c>
      <c r="C748" s="97">
        <v>615</v>
      </c>
    </row>
    <row r="749" spans="1:3">
      <c r="A749" s="98">
        <v>43962</v>
      </c>
      <c r="B749" s="96">
        <v>278</v>
      </c>
      <c r="C749" s="97">
        <v>615</v>
      </c>
    </row>
    <row r="750" spans="1:3">
      <c r="A750" s="98">
        <v>43963</v>
      </c>
      <c r="B750" s="96">
        <v>277</v>
      </c>
      <c r="C750" s="97">
        <v>615</v>
      </c>
    </row>
    <row r="751" spans="1:3">
      <c r="A751" s="98">
        <v>43964</v>
      </c>
      <c r="B751" s="96">
        <v>279</v>
      </c>
      <c r="C751" s="97">
        <v>615</v>
      </c>
    </row>
    <row r="752" spans="1:3">
      <c r="A752" s="98">
        <v>43965</v>
      </c>
      <c r="B752" s="96">
        <v>274</v>
      </c>
      <c r="C752" s="97">
        <v>625</v>
      </c>
    </row>
    <row r="753" spans="1:3">
      <c r="A753" s="98">
        <v>43966</v>
      </c>
      <c r="B753" s="96">
        <v>275</v>
      </c>
      <c r="C753" s="97">
        <v>640</v>
      </c>
    </row>
    <row r="754" spans="1:3">
      <c r="A754" s="98">
        <v>43969</v>
      </c>
      <c r="B754" s="96">
        <v>278</v>
      </c>
      <c r="C754" s="97">
        <v>640</v>
      </c>
    </row>
    <row r="755" spans="1:3">
      <c r="A755" s="98">
        <v>43970</v>
      </c>
      <c r="B755" s="96">
        <v>277</v>
      </c>
      <c r="C755" s="97">
        <v>640</v>
      </c>
    </row>
    <row r="756" spans="1:3">
      <c r="A756" s="98">
        <v>43971</v>
      </c>
      <c r="B756" s="96">
        <v>275</v>
      </c>
      <c r="C756" s="97">
        <v>660</v>
      </c>
    </row>
    <row r="757" spans="1:3">
      <c r="A757" s="98">
        <v>43972</v>
      </c>
      <c r="B757" s="96">
        <v>269</v>
      </c>
      <c r="C757" s="97">
        <v>660</v>
      </c>
    </row>
    <row r="758" spans="1:3">
      <c r="A758" s="98">
        <v>43973</v>
      </c>
      <c r="B758" s="96">
        <v>268</v>
      </c>
      <c r="C758" s="97">
        <v>665</v>
      </c>
    </row>
    <row r="759" spans="1:3">
      <c r="A759" s="98">
        <v>43976</v>
      </c>
      <c r="B759" s="96">
        <v>272</v>
      </c>
      <c r="C759" s="97">
        <v>665</v>
      </c>
    </row>
    <row r="760" spans="1:3">
      <c r="A760" s="98">
        <v>43977</v>
      </c>
      <c r="B760" s="96">
        <v>272</v>
      </c>
      <c r="C760" s="97">
        <v>675</v>
      </c>
    </row>
    <row r="761" spans="1:3">
      <c r="A761" s="98">
        <v>43978</v>
      </c>
      <c r="B761" s="96">
        <v>275</v>
      </c>
      <c r="C761" s="97">
        <v>675</v>
      </c>
    </row>
    <row r="762" spans="1:3">
      <c r="A762" s="98">
        <v>43979</v>
      </c>
      <c r="B762" s="96">
        <v>276</v>
      </c>
      <c r="C762" s="97">
        <v>675</v>
      </c>
    </row>
    <row r="763" spans="1:3">
      <c r="A763" s="98">
        <v>43980</v>
      </c>
      <c r="B763" s="96">
        <v>276</v>
      </c>
      <c r="C763" s="97">
        <v>675</v>
      </c>
    </row>
    <row r="764" spans="1:3">
      <c r="A764" s="98">
        <v>43983</v>
      </c>
      <c r="B764" s="96">
        <v>279</v>
      </c>
      <c r="C764" s="97">
        <v>675</v>
      </c>
    </row>
    <row r="765" spans="1:3">
      <c r="A765" s="98">
        <v>43984</v>
      </c>
      <c r="B765" s="96">
        <v>277</v>
      </c>
      <c r="C765" s="97">
        <v>670</v>
      </c>
    </row>
    <row r="766" spans="1:3">
      <c r="A766" s="98">
        <v>43985</v>
      </c>
      <c r="B766" s="96">
        <v>276</v>
      </c>
      <c r="C766" s="97">
        <v>660</v>
      </c>
    </row>
    <row r="767" spans="1:3">
      <c r="A767" s="98">
        <v>43986</v>
      </c>
      <c r="B767" s="96">
        <v>283</v>
      </c>
      <c r="C767" s="97">
        <v>660</v>
      </c>
    </row>
    <row r="768" spans="1:3">
      <c r="A768" s="98">
        <v>43987</v>
      </c>
      <c r="B768" s="96">
        <v>283</v>
      </c>
      <c r="C768" s="97">
        <v>660</v>
      </c>
    </row>
    <row r="769" spans="1:3">
      <c r="A769" s="98">
        <v>43990</v>
      </c>
      <c r="B769" s="96">
        <v>282</v>
      </c>
      <c r="C769" s="97">
        <v>665</v>
      </c>
    </row>
    <row r="770" spans="1:3">
      <c r="A770" s="98">
        <v>43991</v>
      </c>
      <c r="B770" s="96">
        <v>280</v>
      </c>
      <c r="C770" s="97">
        <v>670</v>
      </c>
    </row>
    <row r="771" spans="1:3">
      <c r="A771" s="98">
        <v>43992</v>
      </c>
      <c r="B771" s="96">
        <v>277</v>
      </c>
      <c r="C771" s="97">
        <v>670</v>
      </c>
    </row>
    <row r="772" spans="1:3">
      <c r="A772" s="98">
        <v>43993</v>
      </c>
      <c r="B772" s="96">
        <v>284</v>
      </c>
      <c r="C772" s="97">
        <v>675</v>
      </c>
    </row>
    <row r="773" spans="1:3">
      <c r="A773" s="98">
        <v>43994</v>
      </c>
      <c r="B773" s="96">
        <v>294</v>
      </c>
      <c r="C773" s="97">
        <v>675</v>
      </c>
    </row>
    <row r="774" spans="1:3">
      <c r="A774" s="98">
        <v>43997</v>
      </c>
      <c r="B774" s="96">
        <v>291</v>
      </c>
      <c r="C774" s="97">
        <v>665</v>
      </c>
    </row>
    <row r="775" spans="1:3">
      <c r="A775" s="98">
        <v>43998</v>
      </c>
      <c r="B775" s="96">
        <v>300</v>
      </c>
      <c r="C775" s="97">
        <v>665</v>
      </c>
    </row>
    <row r="776" spans="1:3">
      <c r="A776" s="98">
        <v>43999</v>
      </c>
      <c r="B776" s="96">
        <v>297</v>
      </c>
      <c r="C776" s="97">
        <v>665</v>
      </c>
    </row>
    <row r="777" spans="1:3">
      <c r="A777" s="98">
        <v>44000</v>
      </c>
      <c r="B777" s="96">
        <v>299</v>
      </c>
      <c r="C777" s="97">
        <v>665</v>
      </c>
    </row>
    <row r="778" spans="1:3">
      <c r="A778" s="98">
        <v>44001</v>
      </c>
      <c r="B778" s="96">
        <v>299</v>
      </c>
      <c r="C778" s="97">
        <v>660</v>
      </c>
    </row>
    <row r="779" spans="1:3">
      <c r="A779" s="98">
        <v>44004</v>
      </c>
      <c r="B779" s="96">
        <v>299</v>
      </c>
      <c r="C779" s="97">
        <v>660</v>
      </c>
    </row>
    <row r="780" spans="1:3">
      <c r="A780" s="98">
        <v>44005</v>
      </c>
      <c r="B780" s="96">
        <v>297</v>
      </c>
      <c r="C780" s="97">
        <v>655</v>
      </c>
    </row>
    <row r="781" spans="1:3">
      <c r="A781" s="98">
        <v>44006</v>
      </c>
      <c r="B781" s="96">
        <v>294</v>
      </c>
      <c r="C781" s="97">
        <v>650</v>
      </c>
    </row>
    <row r="782" spans="1:3">
      <c r="A782" s="98">
        <v>44010</v>
      </c>
      <c r="B782" s="96">
        <v>308</v>
      </c>
      <c r="C782" s="97">
        <v>650</v>
      </c>
    </row>
    <row r="783" spans="1:3">
      <c r="A783" s="98">
        <v>44011</v>
      </c>
      <c r="B783" s="96">
        <v>307</v>
      </c>
      <c r="C783" s="97">
        <v>650</v>
      </c>
    </row>
    <row r="784" spans="1:3">
      <c r="A784" s="98">
        <v>44012</v>
      </c>
      <c r="B784" s="96">
        <v>305</v>
      </c>
      <c r="C784" s="97">
        <v>650</v>
      </c>
    </row>
    <row r="785" spans="1:3">
      <c r="A785" s="98">
        <v>44013</v>
      </c>
      <c r="B785" s="96">
        <v>303</v>
      </c>
      <c r="C785" s="97">
        <v>650</v>
      </c>
    </row>
    <row r="786" spans="1:3">
      <c r="A786" s="98">
        <v>44014</v>
      </c>
      <c r="B786" s="96">
        <v>302</v>
      </c>
      <c r="C786" s="97">
        <v>650</v>
      </c>
    </row>
    <row r="787" spans="1:3">
      <c r="A787" s="98">
        <v>44015</v>
      </c>
      <c r="B787" s="96">
        <v>303</v>
      </c>
      <c r="C787" s="97">
        <v>645</v>
      </c>
    </row>
    <row r="788" spans="1:3">
      <c r="A788" s="98">
        <v>44018</v>
      </c>
      <c r="B788" s="96">
        <v>302</v>
      </c>
      <c r="C788" s="97">
        <v>645</v>
      </c>
    </row>
    <row r="789" spans="1:3">
      <c r="A789" s="98">
        <v>44019</v>
      </c>
      <c r="B789" s="96">
        <v>300</v>
      </c>
      <c r="C789" s="97">
        <v>635</v>
      </c>
    </row>
    <row r="790" spans="1:3">
      <c r="A790" s="98">
        <v>44020</v>
      </c>
      <c r="B790" s="96">
        <v>298</v>
      </c>
      <c r="C790" s="97">
        <v>635</v>
      </c>
    </row>
    <row r="791" spans="1:3">
      <c r="A791" s="98">
        <v>44021</v>
      </c>
      <c r="B791" s="96">
        <v>296</v>
      </c>
      <c r="C791" s="97">
        <v>630</v>
      </c>
    </row>
    <row r="792" spans="1:3">
      <c r="A792" s="98">
        <v>44022</v>
      </c>
      <c r="B792" s="96">
        <v>296</v>
      </c>
      <c r="C792" s="97">
        <v>625</v>
      </c>
    </row>
    <row r="793" spans="1:3">
      <c r="A793" s="98">
        <v>44025</v>
      </c>
      <c r="B793" s="96">
        <v>306</v>
      </c>
      <c r="C793" s="97">
        <v>625</v>
      </c>
    </row>
    <row r="794" spans="1:3">
      <c r="A794" s="98">
        <v>44026</v>
      </c>
      <c r="B794" s="96">
        <v>307</v>
      </c>
      <c r="C794" s="97">
        <v>625</v>
      </c>
    </row>
    <row r="795" spans="1:3">
      <c r="A795" s="98">
        <v>44027</v>
      </c>
      <c r="B795" s="96">
        <v>305</v>
      </c>
      <c r="C795" s="97">
        <v>630</v>
      </c>
    </row>
    <row r="796" spans="1:3">
      <c r="A796" s="98">
        <v>44028</v>
      </c>
      <c r="B796" s="96">
        <v>301</v>
      </c>
      <c r="C796" s="97">
        <v>630</v>
      </c>
    </row>
    <row r="797" spans="1:3">
      <c r="A797" s="98">
        <v>44029</v>
      </c>
      <c r="B797" s="96">
        <v>308</v>
      </c>
      <c r="C797" s="97">
        <v>635</v>
      </c>
    </row>
    <row r="798" spans="1:3">
      <c r="A798" s="98">
        <v>44032</v>
      </c>
      <c r="B798" s="96">
        <v>309</v>
      </c>
      <c r="C798" s="97">
        <v>630</v>
      </c>
    </row>
    <row r="799" spans="1:3">
      <c r="A799" s="98">
        <v>44033</v>
      </c>
      <c r="B799" s="96">
        <v>307</v>
      </c>
      <c r="C799" s="97">
        <v>625</v>
      </c>
    </row>
    <row r="800" spans="1:3">
      <c r="A800" s="98">
        <v>44034</v>
      </c>
      <c r="B800" s="96">
        <v>308</v>
      </c>
      <c r="C800" s="97">
        <v>620</v>
      </c>
    </row>
    <row r="801" spans="1:3">
      <c r="A801" s="98">
        <v>44035</v>
      </c>
      <c r="B801" s="96">
        <v>305</v>
      </c>
      <c r="C801" s="97">
        <v>615</v>
      </c>
    </row>
    <row r="802" spans="1:3">
      <c r="A802" s="98">
        <v>44036</v>
      </c>
      <c r="B802" s="96">
        <v>305</v>
      </c>
      <c r="C802" s="97">
        <v>615</v>
      </c>
    </row>
    <row r="803" spans="1:3">
      <c r="A803" s="98">
        <v>44039</v>
      </c>
      <c r="B803" s="96">
        <v>307</v>
      </c>
      <c r="C803" s="97">
        <v>615</v>
      </c>
    </row>
    <row r="804" spans="1:3">
      <c r="A804" s="98">
        <v>44040</v>
      </c>
      <c r="B804" s="96">
        <v>303</v>
      </c>
      <c r="C804" s="97">
        <v>620</v>
      </c>
    </row>
    <row r="805" spans="1:3">
      <c r="A805" s="98">
        <v>44041</v>
      </c>
      <c r="B805" s="96">
        <v>305</v>
      </c>
      <c r="C805" s="97">
        <v>620</v>
      </c>
    </row>
    <row r="806" spans="1:3">
      <c r="A806" s="98">
        <v>44042</v>
      </c>
      <c r="B806" s="96">
        <v>303</v>
      </c>
      <c r="C806" s="97">
        <v>620</v>
      </c>
    </row>
    <row r="807" spans="1:3">
      <c r="A807" s="98">
        <v>44043</v>
      </c>
      <c r="B807" s="96">
        <v>302</v>
      </c>
      <c r="C807" s="97">
        <v>625</v>
      </c>
    </row>
    <row r="808" spans="1:3">
      <c r="A808" s="98">
        <v>44046</v>
      </c>
      <c r="B808" s="96">
        <v>303</v>
      </c>
      <c r="C808" s="97">
        <v>635</v>
      </c>
    </row>
    <row r="809" spans="1:3">
      <c r="A809" s="98">
        <v>44047</v>
      </c>
      <c r="B809" s="96">
        <v>302</v>
      </c>
      <c r="C809" s="97">
        <v>635</v>
      </c>
    </row>
    <row r="810" spans="1:3">
      <c r="A810" s="98">
        <v>44048</v>
      </c>
      <c r="B810" s="96">
        <v>300</v>
      </c>
      <c r="C810" s="97">
        <v>640</v>
      </c>
    </row>
    <row r="811" spans="1:3">
      <c r="A811" s="98">
        <v>44049</v>
      </c>
      <c r="B811" s="96">
        <v>308</v>
      </c>
      <c r="C811" s="97">
        <v>640</v>
      </c>
    </row>
    <row r="812" spans="1:3">
      <c r="A812" s="98">
        <v>44050</v>
      </c>
      <c r="B812" s="96">
        <v>306</v>
      </c>
      <c r="C812" s="97">
        <v>640</v>
      </c>
    </row>
    <row r="813" spans="1:3">
      <c r="A813" s="98">
        <v>44053</v>
      </c>
      <c r="B813" s="96">
        <v>304</v>
      </c>
      <c r="C813" s="97">
        <v>645</v>
      </c>
    </row>
    <row r="814" spans="1:3">
      <c r="A814" s="98">
        <v>44054</v>
      </c>
      <c r="B814" s="96">
        <v>301</v>
      </c>
      <c r="C814" s="97">
        <v>645</v>
      </c>
    </row>
    <row r="815" spans="1:3">
      <c r="A815" s="98">
        <v>44055</v>
      </c>
      <c r="B815" s="96">
        <v>306</v>
      </c>
      <c r="C815" s="97">
        <v>645</v>
      </c>
    </row>
    <row r="816" spans="1:3">
      <c r="A816" s="98">
        <v>44056</v>
      </c>
      <c r="B816" s="96">
        <v>310</v>
      </c>
      <c r="C816" s="97">
        <v>645</v>
      </c>
    </row>
    <row r="817" spans="1:3">
      <c r="A817" s="98">
        <v>44057</v>
      </c>
      <c r="B817" s="96">
        <v>310</v>
      </c>
      <c r="C817" s="97">
        <v>650</v>
      </c>
    </row>
    <row r="818" spans="1:3">
      <c r="A818" s="98">
        <v>44060</v>
      </c>
      <c r="B818" s="96">
        <v>303</v>
      </c>
      <c r="C818" s="97">
        <v>650</v>
      </c>
    </row>
    <row r="819" spans="1:3">
      <c r="A819" s="98">
        <v>44061</v>
      </c>
      <c r="B819" s="96">
        <v>300</v>
      </c>
      <c r="C819" s="97">
        <v>655</v>
      </c>
    </row>
    <row r="820" spans="1:3">
      <c r="A820" s="98">
        <v>44062</v>
      </c>
      <c r="B820" s="96">
        <v>300</v>
      </c>
      <c r="C820" s="97">
        <v>665</v>
      </c>
    </row>
    <row r="821" spans="1:3">
      <c r="A821" s="98">
        <v>44063</v>
      </c>
      <c r="B821" s="96">
        <v>310</v>
      </c>
      <c r="C821" s="97">
        <v>665</v>
      </c>
    </row>
    <row r="822" spans="1:3">
      <c r="A822" s="98">
        <v>44064</v>
      </c>
      <c r="B822" s="96">
        <v>308</v>
      </c>
      <c r="C822" s="97">
        <v>665</v>
      </c>
    </row>
    <row r="823" spans="1:3">
      <c r="A823" s="98">
        <v>44067</v>
      </c>
      <c r="B823" s="96">
        <v>308</v>
      </c>
      <c r="C823" s="97">
        <v>660</v>
      </c>
    </row>
    <row r="824" spans="1:3">
      <c r="A824" s="98">
        <v>44068</v>
      </c>
      <c r="B824" s="96">
        <v>307</v>
      </c>
      <c r="C824" s="97">
        <v>655</v>
      </c>
    </row>
    <row r="825" spans="1:3">
      <c r="A825" s="98">
        <v>44069</v>
      </c>
      <c r="B825" s="96">
        <v>305</v>
      </c>
      <c r="C825" s="97">
        <v>655</v>
      </c>
    </row>
    <row r="826" spans="1:3">
      <c r="A826" s="98">
        <v>44070</v>
      </c>
      <c r="B826" s="96">
        <v>300</v>
      </c>
      <c r="C826" s="97">
        <v>660</v>
      </c>
    </row>
    <row r="827" spans="1:3">
      <c r="A827" s="98">
        <v>44071</v>
      </c>
      <c r="B827" s="96">
        <v>299</v>
      </c>
      <c r="C827" s="97">
        <v>660</v>
      </c>
    </row>
    <row r="828" spans="1:3">
      <c r="A828" s="98">
        <v>44074</v>
      </c>
      <c r="B828" s="96">
        <v>299</v>
      </c>
      <c r="C828" s="97">
        <v>665</v>
      </c>
    </row>
    <row r="829" spans="1:3">
      <c r="A829" s="98">
        <v>44075</v>
      </c>
      <c r="B829" s="96">
        <v>299</v>
      </c>
      <c r="C829" s="97">
        <v>675</v>
      </c>
    </row>
    <row r="830" spans="1:3">
      <c r="A830" s="98">
        <v>44076</v>
      </c>
      <c r="B830" s="96">
        <v>303</v>
      </c>
      <c r="C830" s="97">
        <v>685</v>
      </c>
    </row>
    <row r="831" spans="1:3">
      <c r="A831" s="98">
        <v>44077</v>
      </c>
      <c r="B831" s="96">
        <v>300</v>
      </c>
      <c r="C831" s="97">
        <v>695</v>
      </c>
    </row>
    <row r="832" spans="1:3">
      <c r="A832" s="98">
        <v>44078</v>
      </c>
      <c r="B832" s="96">
        <v>300</v>
      </c>
      <c r="C832" s="97">
        <v>695</v>
      </c>
    </row>
    <row r="833" spans="1:3">
      <c r="A833" s="98">
        <v>44081</v>
      </c>
      <c r="B833" s="96">
        <v>305</v>
      </c>
      <c r="C833" s="97">
        <v>695</v>
      </c>
    </row>
    <row r="834" spans="1:3">
      <c r="A834" s="98">
        <v>44082</v>
      </c>
      <c r="B834" s="96">
        <v>305</v>
      </c>
      <c r="C834" s="97">
        <v>700</v>
      </c>
    </row>
    <row r="835" spans="1:3">
      <c r="A835" s="98">
        <v>44083</v>
      </c>
      <c r="B835" s="96">
        <v>304</v>
      </c>
      <c r="C835" s="97">
        <v>700</v>
      </c>
    </row>
    <row r="836" spans="1:3">
      <c r="A836" s="98">
        <v>44084</v>
      </c>
      <c r="B836" s="96">
        <v>304</v>
      </c>
      <c r="C836" s="97">
        <v>700</v>
      </c>
    </row>
    <row r="837" spans="1:3">
      <c r="A837" s="98">
        <v>44085</v>
      </c>
      <c r="B837" s="96">
        <v>300</v>
      </c>
      <c r="C837" s="97">
        <v>700</v>
      </c>
    </row>
    <row r="838" spans="1:3">
      <c r="A838" s="98">
        <v>44088</v>
      </c>
      <c r="B838" s="96">
        <v>300</v>
      </c>
      <c r="C838" s="97">
        <v>700</v>
      </c>
    </row>
    <row r="839" spans="1:3">
      <c r="A839" s="98">
        <v>44089</v>
      </c>
      <c r="B839" s="96">
        <v>302</v>
      </c>
      <c r="C839" s="97">
        <v>705</v>
      </c>
    </row>
    <row r="840" spans="1:3">
      <c r="A840" s="98">
        <v>44090</v>
      </c>
      <c r="B840" s="96">
        <v>301</v>
      </c>
      <c r="C840" s="97">
        <v>705</v>
      </c>
    </row>
    <row r="841" spans="1:3">
      <c r="A841" s="98">
        <v>44091</v>
      </c>
      <c r="B841" s="96">
        <v>301</v>
      </c>
      <c r="C841" s="97">
        <v>705</v>
      </c>
    </row>
    <row r="842" spans="1:3">
      <c r="A842" s="98">
        <v>44092</v>
      </c>
      <c r="B842" s="96">
        <v>299</v>
      </c>
      <c r="C842" s="97">
        <v>710</v>
      </c>
    </row>
    <row r="843" spans="1:3">
      <c r="A843" s="98">
        <v>44095</v>
      </c>
      <c r="B843" s="96">
        <v>294</v>
      </c>
      <c r="C843" s="97">
        <v>710</v>
      </c>
    </row>
    <row r="844" spans="1:3">
      <c r="A844" s="98">
        <v>44096</v>
      </c>
      <c r="B844" s="96">
        <v>298</v>
      </c>
      <c r="C844" s="97">
        <v>710</v>
      </c>
    </row>
    <row r="845" spans="1:3">
      <c r="A845" s="98">
        <v>44097</v>
      </c>
      <c r="B845" s="96">
        <v>297</v>
      </c>
      <c r="C845" s="97">
        <v>705</v>
      </c>
    </row>
    <row r="846" spans="1:3">
      <c r="A846" s="98">
        <v>44098</v>
      </c>
      <c r="B846" s="96">
        <v>304</v>
      </c>
      <c r="C846" s="97">
        <v>705</v>
      </c>
    </row>
    <row r="847" spans="1:3">
      <c r="A847" s="98">
        <v>44099</v>
      </c>
      <c r="B847" s="96">
        <v>304</v>
      </c>
      <c r="C847" s="97">
        <v>705</v>
      </c>
    </row>
    <row r="848" spans="1:3">
      <c r="A848" s="98">
        <v>44101</v>
      </c>
      <c r="B848" s="96">
        <v>301</v>
      </c>
      <c r="C848" s="97">
        <v>705</v>
      </c>
    </row>
    <row r="849" spans="1:3">
      <c r="A849" s="98">
        <v>44102</v>
      </c>
      <c r="B849" s="96">
        <v>300</v>
      </c>
      <c r="C849" s="97">
        <v>705</v>
      </c>
    </row>
    <row r="850" spans="1:3">
      <c r="A850" s="98">
        <v>44103</v>
      </c>
      <c r="B850" s="96">
        <v>301</v>
      </c>
      <c r="C850" s="97">
        <v>705</v>
      </c>
    </row>
    <row r="851" spans="1:3">
      <c r="A851" s="98">
        <v>44104</v>
      </c>
      <c r="B851" s="96">
        <v>301</v>
      </c>
      <c r="C851" s="97">
        <v>705</v>
      </c>
    </row>
    <row r="852" spans="1:3">
      <c r="A852" s="98">
        <v>44113</v>
      </c>
      <c r="B852" s="96">
        <v>301</v>
      </c>
      <c r="C852" s="97">
        <v>720</v>
      </c>
    </row>
    <row r="853" spans="1:3">
      <c r="A853" s="98">
        <v>44114</v>
      </c>
      <c r="B853" s="96">
        <v>300</v>
      </c>
      <c r="C853" s="97">
        <v>720</v>
      </c>
    </row>
    <row r="854" spans="1:3">
      <c r="A854" s="98">
        <v>44116</v>
      </c>
      <c r="B854" s="96">
        <v>295</v>
      </c>
      <c r="C854" s="97">
        <v>725</v>
      </c>
    </row>
    <row r="855" spans="1:3">
      <c r="A855" s="98">
        <v>44117</v>
      </c>
      <c r="B855" s="96">
        <v>293</v>
      </c>
      <c r="C855" s="97">
        <v>735</v>
      </c>
    </row>
    <row r="856" spans="1:3">
      <c r="A856" s="98">
        <v>44118</v>
      </c>
      <c r="B856" s="96">
        <v>292</v>
      </c>
      <c r="C856" s="97">
        <v>740</v>
      </c>
    </row>
    <row r="857" spans="1:3">
      <c r="A857" s="98">
        <v>44119</v>
      </c>
      <c r="B857" s="96">
        <v>291</v>
      </c>
      <c r="C857" s="97">
        <v>745</v>
      </c>
    </row>
    <row r="858" spans="1:3">
      <c r="A858" s="98">
        <v>44120</v>
      </c>
      <c r="B858" s="96">
        <v>289</v>
      </c>
      <c r="C858" s="97">
        <v>745</v>
      </c>
    </row>
    <row r="859" spans="1:3">
      <c r="A859" s="98">
        <v>44123</v>
      </c>
      <c r="B859" s="96">
        <v>285</v>
      </c>
      <c r="C859" s="97">
        <v>745</v>
      </c>
    </row>
    <row r="860" spans="1:3">
      <c r="A860" s="98">
        <v>44124</v>
      </c>
      <c r="B860" s="96">
        <v>292</v>
      </c>
      <c r="C860" s="97">
        <v>755</v>
      </c>
    </row>
    <row r="861" spans="1:3">
      <c r="A861" s="98">
        <v>44125</v>
      </c>
      <c r="B861" s="96">
        <v>293</v>
      </c>
      <c r="C861" s="97">
        <v>755</v>
      </c>
    </row>
    <row r="862" spans="1:3">
      <c r="A862" s="98">
        <v>44126</v>
      </c>
      <c r="B862" s="96">
        <v>292</v>
      </c>
      <c r="C862" s="97">
        <v>755</v>
      </c>
    </row>
    <row r="863" spans="1:3">
      <c r="A863" s="98">
        <v>44127</v>
      </c>
      <c r="B863" s="96">
        <v>291</v>
      </c>
      <c r="C863" s="97">
        <v>760</v>
      </c>
    </row>
    <row r="864" spans="1:3">
      <c r="A864" s="98">
        <v>44130</v>
      </c>
      <c r="B864" s="96">
        <v>284</v>
      </c>
      <c r="C864" s="97">
        <v>760</v>
      </c>
    </row>
    <row r="865" spans="1:3">
      <c r="A865" s="98">
        <v>44131</v>
      </c>
      <c r="B865" s="96">
        <v>286</v>
      </c>
      <c r="C865" s="97">
        <v>760</v>
      </c>
    </row>
    <row r="866" spans="1:3">
      <c r="A866" s="98">
        <v>44132</v>
      </c>
      <c r="B866" s="96">
        <v>289</v>
      </c>
      <c r="C866" s="97">
        <v>755</v>
      </c>
    </row>
    <row r="867" spans="1:3">
      <c r="A867" s="98">
        <v>44133</v>
      </c>
      <c r="B867" s="96">
        <v>290</v>
      </c>
      <c r="C867" s="97">
        <v>755</v>
      </c>
    </row>
    <row r="868" spans="1:3">
      <c r="A868" s="98">
        <v>44134</v>
      </c>
      <c r="B868" s="96">
        <v>289</v>
      </c>
      <c r="C868" s="97">
        <v>755</v>
      </c>
    </row>
    <row r="869" spans="1:3">
      <c r="A869" s="98">
        <v>44137</v>
      </c>
      <c r="B869" s="96">
        <v>283</v>
      </c>
      <c r="C869" s="97">
        <v>755</v>
      </c>
    </row>
    <row r="870" spans="1:3">
      <c r="A870" s="98">
        <v>44138</v>
      </c>
      <c r="B870" s="96">
        <v>283</v>
      </c>
      <c r="C870" s="97">
        <v>755</v>
      </c>
    </row>
    <row r="871" spans="1:3">
      <c r="A871" s="98">
        <v>44139</v>
      </c>
      <c r="B871" s="96">
        <v>281</v>
      </c>
      <c r="C871" s="97">
        <v>755</v>
      </c>
    </row>
    <row r="872" spans="1:3">
      <c r="A872" s="98">
        <v>44140</v>
      </c>
      <c r="B872" s="96">
        <v>276</v>
      </c>
      <c r="C872" s="97">
        <v>755</v>
      </c>
    </row>
    <row r="873" spans="1:3">
      <c r="A873" s="98">
        <v>44141</v>
      </c>
      <c r="B873" s="96">
        <v>275</v>
      </c>
      <c r="C873" s="97">
        <v>760</v>
      </c>
    </row>
    <row r="874" spans="1:3">
      <c r="A874" s="98">
        <v>44144</v>
      </c>
      <c r="B874" s="96">
        <v>275</v>
      </c>
      <c r="C874" s="97">
        <v>760</v>
      </c>
    </row>
    <row r="875" spans="1:3">
      <c r="A875" s="98">
        <v>44145</v>
      </c>
      <c r="B875" s="96">
        <v>275</v>
      </c>
      <c r="C875" s="97">
        <v>770</v>
      </c>
    </row>
    <row r="876" spans="1:3">
      <c r="A876" s="98">
        <v>44146</v>
      </c>
      <c r="B876" s="96">
        <v>273</v>
      </c>
      <c r="C876" s="97">
        <v>775</v>
      </c>
    </row>
    <row r="877" spans="1:3">
      <c r="A877" s="98">
        <v>44147</v>
      </c>
      <c r="B877" s="96">
        <v>266</v>
      </c>
      <c r="C877" s="97">
        <v>775</v>
      </c>
    </row>
    <row r="878" spans="1:3">
      <c r="A878" s="98">
        <v>44148</v>
      </c>
      <c r="B878" s="96">
        <v>265</v>
      </c>
      <c r="C878" s="97">
        <v>780</v>
      </c>
    </row>
    <row r="879" spans="1:3">
      <c r="A879" s="98">
        <v>44151</v>
      </c>
      <c r="B879" s="96">
        <v>262</v>
      </c>
      <c r="C879" s="97">
        <v>780</v>
      </c>
    </row>
    <row r="880" spans="1:3">
      <c r="A880" s="98">
        <v>44152</v>
      </c>
      <c r="B880" s="96">
        <v>261</v>
      </c>
      <c r="C880" s="97">
        <v>780</v>
      </c>
    </row>
    <row r="881" spans="1:3">
      <c r="A881" s="98">
        <v>44153</v>
      </c>
      <c r="B881" s="96">
        <v>257</v>
      </c>
      <c r="C881" s="97">
        <v>785</v>
      </c>
    </row>
    <row r="882" spans="1:3">
      <c r="A882" s="98">
        <v>44154</v>
      </c>
      <c r="B882" s="96">
        <v>252</v>
      </c>
      <c r="C882" s="97">
        <v>805</v>
      </c>
    </row>
    <row r="883" spans="1:3">
      <c r="A883" s="98">
        <v>44155</v>
      </c>
      <c r="B883" s="96">
        <v>255</v>
      </c>
      <c r="C883" s="97">
        <v>850</v>
      </c>
    </row>
    <row r="884" spans="1:3">
      <c r="A884" s="98">
        <v>44158</v>
      </c>
      <c r="B884" s="96">
        <v>255</v>
      </c>
      <c r="C884" s="97">
        <v>885</v>
      </c>
    </row>
    <row r="885" spans="1:3">
      <c r="A885" s="98">
        <v>44159</v>
      </c>
      <c r="B885" s="96">
        <v>252</v>
      </c>
      <c r="C885" s="97">
        <v>865</v>
      </c>
    </row>
    <row r="886" spans="1:3">
      <c r="A886" s="98">
        <v>44160</v>
      </c>
      <c r="B886" s="96">
        <v>249</v>
      </c>
      <c r="C886" s="97">
        <v>865</v>
      </c>
    </row>
    <row r="887" spans="1:3">
      <c r="A887" s="98">
        <v>44161</v>
      </c>
      <c r="B887" s="96">
        <v>247</v>
      </c>
      <c r="C887" s="97">
        <v>910</v>
      </c>
    </row>
    <row r="888" spans="1:3">
      <c r="A888" s="98">
        <v>44162</v>
      </c>
      <c r="B888" s="96">
        <v>247</v>
      </c>
      <c r="C888" s="97">
        <v>910</v>
      </c>
    </row>
    <row r="889" spans="1:3">
      <c r="A889" s="98">
        <v>44165</v>
      </c>
      <c r="B889" s="96">
        <v>248</v>
      </c>
      <c r="C889" s="97">
        <v>900</v>
      </c>
    </row>
    <row r="890" spans="1:3">
      <c r="A890" s="98">
        <v>44166</v>
      </c>
      <c r="B890" s="96">
        <v>248</v>
      </c>
      <c r="C890" s="97">
        <v>905</v>
      </c>
    </row>
    <row r="891" spans="1:3">
      <c r="A891" s="98">
        <v>44167</v>
      </c>
      <c r="B891" s="96">
        <v>247</v>
      </c>
      <c r="C891" s="97">
        <v>900</v>
      </c>
    </row>
    <row r="892" spans="1:3">
      <c r="A892" s="98">
        <v>44168</v>
      </c>
      <c r="B892" s="96">
        <v>246</v>
      </c>
      <c r="C892" s="97">
        <v>900</v>
      </c>
    </row>
    <row r="893" spans="1:3">
      <c r="A893" s="98">
        <v>44169</v>
      </c>
      <c r="B893" s="96">
        <v>245</v>
      </c>
      <c r="C893" s="97">
        <v>895</v>
      </c>
    </row>
    <row r="894" spans="1:3">
      <c r="A894" s="98">
        <v>44172</v>
      </c>
      <c r="B894" s="96">
        <v>246</v>
      </c>
      <c r="C894" s="97">
        <v>900</v>
      </c>
    </row>
    <row r="895" spans="1:3">
      <c r="A895" s="98">
        <v>44173</v>
      </c>
      <c r="B895" s="96">
        <v>246</v>
      </c>
      <c r="C895" s="97">
        <v>895</v>
      </c>
    </row>
    <row r="896" spans="1:3">
      <c r="A896" s="98">
        <v>44174</v>
      </c>
      <c r="B896" s="96">
        <v>241</v>
      </c>
      <c r="C896" s="97">
        <v>900</v>
      </c>
    </row>
    <row r="897" spans="1:3">
      <c r="A897" s="98">
        <v>44175</v>
      </c>
      <c r="B897" s="96">
        <v>239</v>
      </c>
      <c r="C897" s="97">
        <v>900</v>
      </c>
    </row>
    <row r="898" spans="1:3">
      <c r="A898" s="98">
        <v>44176</v>
      </c>
      <c r="B898" s="96">
        <v>238</v>
      </c>
      <c r="C898" s="97">
        <v>910</v>
      </c>
    </row>
    <row r="899" spans="1:3">
      <c r="A899" s="98">
        <v>44179</v>
      </c>
      <c r="B899" s="96">
        <v>235</v>
      </c>
      <c r="C899" s="97">
        <v>910</v>
      </c>
    </row>
    <row r="900" spans="1:3">
      <c r="A900" s="98">
        <v>44180</v>
      </c>
      <c r="B900" s="96">
        <v>235</v>
      </c>
      <c r="C900" s="97">
        <v>910</v>
      </c>
    </row>
    <row r="901" spans="1:3">
      <c r="A901" s="98">
        <v>44181</v>
      </c>
      <c r="B901" s="96">
        <v>233</v>
      </c>
      <c r="C901" s="97">
        <v>935</v>
      </c>
    </row>
    <row r="902" spans="1:3">
      <c r="A902" s="98">
        <v>44182</v>
      </c>
      <c r="B902" s="96">
        <v>235</v>
      </c>
      <c r="C902" s="97">
        <v>940</v>
      </c>
    </row>
    <row r="903" spans="1:3">
      <c r="A903" s="98">
        <v>44183</v>
      </c>
      <c r="B903" s="96">
        <v>234</v>
      </c>
      <c r="C903" s="97">
        <v>935</v>
      </c>
    </row>
    <row r="904" spans="1:3">
      <c r="A904" s="98">
        <v>44186</v>
      </c>
      <c r="B904" s="96">
        <v>236</v>
      </c>
      <c r="C904" s="97">
        <v>945</v>
      </c>
    </row>
    <row r="905" spans="1:3">
      <c r="A905" s="98">
        <v>44187</v>
      </c>
      <c r="B905" s="96">
        <v>235</v>
      </c>
      <c r="C905" s="97">
        <v>940</v>
      </c>
    </row>
    <row r="906" spans="1:3">
      <c r="A906" s="98">
        <v>44188</v>
      </c>
      <c r="B906" s="96">
        <v>233</v>
      </c>
      <c r="C906" s="97">
        <v>940</v>
      </c>
    </row>
    <row r="907" spans="1:3">
      <c r="A907" s="98">
        <v>44189</v>
      </c>
      <c r="B907" s="96">
        <v>233</v>
      </c>
      <c r="C907" s="97">
        <v>940</v>
      </c>
    </row>
    <row r="908" spans="1:3">
      <c r="A908" s="98">
        <v>44190</v>
      </c>
      <c r="B908" s="96">
        <v>240</v>
      </c>
      <c r="C908" s="97">
        <v>945</v>
      </c>
    </row>
    <row r="909" spans="1:3">
      <c r="A909" s="98">
        <v>44193</v>
      </c>
      <c r="B909" s="96">
        <v>245</v>
      </c>
      <c r="C909" s="97">
        <v>950</v>
      </c>
    </row>
    <row r="910" spans="1:3">
      <c r="A910" s="98">
        <v>44194</v>
      </c>
      <c r="B910" s="96">
        <v>246</v>
      </c>
      <c r="C910" s="97">
        <v>950</v>
      </c>
    </row>
    <row r="911" spans="1:3">
      <c r="A911" s="98">
        <v>44195</v>
      </c>
      <c r="B911" s="96">
        <v>242</v>
      </c>
      <c r="C911" s="97">
        <v>950</v>
      </c>
    </row>
    <row r="912" spans="1:3">
      <c r="A912" s="98">
        <v>44196</v>
      </c>
      <c r="B912" s="96">
        <v>242</v>
      </c>
      <c r="C912" s="97">
        <v>950</v>
      </c>
    </row>
    <row r="913" spans="1:3">
      <c r="A913" s="98">
        <v>44200</v>
      </c>
      <c r="B913" s="96">
        <v>235</v>
      </c>
      <c r="C913" s="97">
        <v>955</v>
      </c>
    </row>
    <row r="914" spans="1:3">
      <c r="A914" s="98">
        <v>44201</v>
      </c>
      <c r="B914" s="96">
        <v>235</v>
      </c>
      <c r="C914" s="97">
        <v>980</v>
      </c>
    </row>
    <row r="915" spans="1:3">
      <c r="A915" s="98">
        <v>44202</v>
      </c>
      <c r="B915" s="96">
        <v>232</v>
      </c>
      <c r="C915" s="97">
        <v>980</v>
      </c>
    </row>
    <row r="916" spans="1:3">
      <c r="A916" s="98">
        <v>44203</v>
      </c>
      <c r="B916" s="96">
        <v>223</v>
      </c>
      <c r="C916" s="97">
        <v>980</v>
      </c>
    </row>
    <row r="917" spans="1:3">
      <c r="A917" s="98">
        <v>44204</v>
      </c>
      <c r="B917" s="96">
        <v>223</v>
      </c>
      <c r="C917" s="97">
        <v>990</v>
      </c>
    </row>
    <row r="918" spans="1:3">
      <c r="A918" s="98">
        <v>44207</v>
      </c>
      <c r="B918" s="96">
        <v>221</v>
      </c>
      <c r="C918" s="97">
        <v>1020</v>
      </c>
    </row>
    <row r="919" spans="1:3">
      <c r="A919" s="98">
        <v>44208</v>
      </c>
      <c r="B919" s="96">
        <v>220</v>
      </c>
      <c r="C919" s="97">
        <v>1060</v>
      </c>
    </row>
    <row r="920" spans="1:3">
      <c r="A920" s="98">
        <v>44209</v>
      </c>
      <c r="B920" s="96">
        <v>218</v>
      </c>
      <c r="C920" s="97">
        <v>1060</v>
      </c>
    </row>
    <row r="921" spans="1:3">
      <c r="A921" s="98">
        <v>44210</v>
      </c>
      <c r="B921" s="96">
        <v>214</v>
      </c>
      <c r="C921" s="97">
        <v>1090</v>
      </c>
    </row>
    <row r="922" spans="1:3">
      <c r="A922" s="98">
        <v>44211</v>
      </c>
      <c r="B922" s="96">
        <v>212</v>
      </c>
      <c r="C922" s="97">
        <v>1120</v>
      </c>
    </row>
    <row r="923" spans="1:3">
      <c r="A923" s="98">
        <v>44214</v>
      </c>
      <c r="B923" s="96">
        <v>212</v>
      </c>
      <c r="C923" s="97">
        <v>1170</v>
      </c>
    </row>
    <row r="924" spans="1:3">
      <c r="A924" s="98">
        <v>44215</v>
      </c>
      <c r="B924" s="96">
        <v>211</v>
      </c>
      <c r="C924" s="97">
        <v>1140</v>
      </c>
    </row>
    <row r="925" spans="1:3">
      <c r="A925" s="98">
        <v>44216</v>
      </c>
      <c r="B925" s="96">
        <v>210</v>
      </c>
      <c r="C925" s="97">
        <v>1140</v>
      </c>
    </row>
    <row r="926" spans="1:3">
      <c r="A926" s="98">
        <v>44217</v>
      </c>
      <c r="B926" s="96">
        <v>215</v>
      </c>
      <c r="C926" s="97">
        <v>1140</v>
      </c>
    </row>
    <row r="927" spans="1:3">
      <c r="A927" s="98">
        <v>44218</v>
      </c>
      <c r="B927" s="96">
        <v>217</v>
      </c>
      <c r="C927" s="97">
        <v>1145</v>
      </c>
    </row>
    <row r="928" spans="1:3">
      <c r="A928" s="98">
        <v>44221</v>
      </c>
      <c r="B928" s="96">
        <v>212</v>
      </c>
      <c r="C928" s="97">
        <v>1145</v>
      </c>
    </row>
    <row r="929" spans="1:3">
      <c r="A929" s="98">
        <v>44222</v>
      </c>
      <c r="B929" s="96">
        <v>213</v>
      </c>
      <c r="C929" s="97">
        <v>1155</v>
      </c>
    </row>
    <row r="930" spans="1:3">
      <c r="A930" s="98">
        <v>44223</v>
      </c>
      <c r="B930" s="96">
        <v>216</v>
      </c>
      <c r="C930" s="97">
        <v>1180</v>
      </c>
    </row>
    <row r="931" spans="1:3">
      <c r="A931" s="98">
        <v>44224</v>
      </c>
      <c r="B931" s="96">
        <v>214</v>
      </c>
      <c r="C931" s="97">
        <v>1200</v>
      </c>
    </row>
    <row r="932" spans="1:3">
      <c r="A932" s="98">
        <v>44225</v>
      </c>
      <c r="B932" s="96">
        <v>216</v>
      </c>
      <c r="C932" s="97">
        <v>1210</v>
      </c>
    </row>
    <row r="933" spans="1:3">
      <c r="A933" s="98">
        <v>44228</v>
      </c>
      <c r="B933" s="96">
        <v>218</v>
      </c>
      <c r="C933" s="97">
        <v>1250</v>
      </c>
    </row>
    <row r="934" spans="1:3">
      <c r="A934" s="98">
        <v>44229</v>
      </c>
      <c r="B934" s="96">
        <v>217</v>
      </c>
      <c r="C934" s="97">
        <v>1300</v>
      </c>
    </row>
    <row r="935" spans="1:3">
      <c r="A935" s="98">
        <v>44230</v>
      </c>
      <c r="B935" s="96">
        <v>226</v>
      </c>
      <c r="C935" s="97">
        <v>1330</v>
      </c>
    </row>
    <row r="936" spans="1:3">
      <c r="A936" s="98">
        <v>44231</v>
      </c>
      <c r="B936" s="96">
        <v>225</v>
      </c>
      <c r="C936" s="97">
        <v>1350</v>
      </c>
    </row>
    <row r="937" spans="1:3">
      <c r="A937" s="98">
        <v>44232</v>
      </c>
      <c r="B937" s="96">
        <v>227</v>
      </c>
      <c r="C937" s="97">
        <v>1350</v>
      </c>
    </row>
    <row r="938" spans="1:3">
      <c r="A938" s="98">
        <v>44234</v>
      </c>
      <c r="B938" s="96">
        <v>224</v>
      </c>
      <c r="C938" s="97">
        <v>1350</v>
      </c>
    </row>
    <row r="939" spans="1:3">
      <c r="A939" s="98">
        <v>44235</v>
      </c>
      <c r="B939" s="96">
        <v>223</v>
      </c>
      <c r="C939" s="97">
        <v>1380</v>
      </c>
    </row>
    <row r="940" spans="1:3">
      <c r="A940" s="98">
        <v>44236</v>
      </c>
      <c r="B940" s="96">
        <v>223</v>
      </c>
      <c r="C940" s="97">
        <v>1380</v>
      </c>
    </row>
    <row r="941" spans="1:3">
      <c r="A941" s="98">
        <v>44237</v>
      </c>
      <c r="B941" s="96">
        <v>223</v>
      </c>
      <c r="C941" s="97">
        <v>1380</v>
      </c>
    </row>
    <row r="942" spans="1:3">
      <c r="A942" s="98">
        <v>44245</v>
      </c>
      <c r="B942" s="96">
        <v>228</v>
      </c>
      <c r="C942" s="97">
        <v>1470</v>
      </c>
    </row>
    <row r="943" spans="1:3">
      <c r="A943" s="98">
        <v>44246</v>
      </c>
      <c r="B943" s="96">
        <v>236</v>
      </c>
      <c r="C943" s="97">
        <v>1550</v>
      </c>
    </row>
    <row r="944" spans="1:3">
      <c r="A944" s="98">
        <v>44247</v>
      </c>
      <c r="B944" s="96">
        <v>236</v>
      </c>
      <c r="C944" s="97">
        <v>1550</v>
      </c>
    </row>
    <row r="945" spans="1:3">
      <c r="A945" s="98">
        <v>44249</v>
      </c>
      <c r="B945" s="96">
        <v>245</v>
      </c>
      <c r="C945" s="97">
        <v>1620</v>
      </c>
    </row>
    <row r="946" spans="1:3">
      <c r="A946" s="98">
        <v>44250</v>
      </c>
      <c r="B946" s="96">
        <v>248</v>
      </c>
      <c r="C946" s="97">
        <v>1620</v>
      </c>
    </row>
    <row r="947" spans="1:3">
      <c r="A947" s="98">
        <v>44251</v>
      </c>
      <c r="B947" s="96">
        <v>245</v>
      </c>
      <c r="C947" s="97">
        <v>1620</v>
      </c>
    </row>
    <row r="948" spans="1:3">
      <c r="A948" s="98">
        <v>44252</v>
      </c>
      <c r="B948" s="96">
        <v>244</v>
      </c>
      <c r="C948" s="97">
        <v>1520</v>
      </c>
    </row>
    <row r="949" spans="1:3">
      <c r="A949" s="98">
        <v>44253</v>
      </c>
      <c r="B949" s="96">
        <v>243</v>
      </c>
      <c r="C949" s="97">
        <v>1450</v>
      </c>
    </row>
    <row r="950" spans="1:3">
      <c r="A950" s="98">
        <v>44256</v>
      </c>
      <c r="B950" s="96">
        <v>239</v>
      </c>
      <c r="C950" s="97">
        <v>1450</v>
      </c>
    </row>
    <row r="951" spans="1:3">
      <c r="A951" s="98">
        <v>44257</v>
      </c>
      <c r="B951" s="96">
        <v>242</v>
      </c>
      <c r="C951" s="97">
        <v>1450</v>
      </c>
    </row>
    <row r="952" spans="1:3">
      <c r="A952" s="98">
        <v>44258</v>
      </c>
      <c r="B952" s="96">
        <v>241</v>
      </c>
      <c r="C952" s="97">
        <v>1450</v>
      </c>
    </row>
    <row r="953" spans="1:3">
      <c r="A953" s="98">
        <v>44259</v>
      </c>
      <c r="B953" s="96">
        <v>241</v>
      </c>
      <c r="C953" s="97">
        <v>1420</v>
      </c>
    </row>
    <row r="954" spans="1:3">
      <c r="A954" s="98">
        <v>44260</v>
      </c>
      <c r="B954" s="96">
        <v>241</v>
      </c>
      <c r="C954" s="97">
        <v>1350</v>
      </c>
    </row>
    <row r="955" spans="1:3">
      <c r="A955" s="98">
        <v>44263</v>
      </c>
      <c r="B955" s="96">
        <v>241</v>
      </c>
      <c r="C955" s="97">
        <v>1290</v>
      </c>
    </row>
    <row r="956" spans="1:3">
      <c r="A956" s="98">
        <v>44264</v>
      </c>
      <c r="B956" s="96">
        <v>247</v>
      </c>
      <c r="C956" s="97">
        <v>1230</v>
      </c>
    </row>
    <row r="957" spans="1:3">
      <c r="A957" s="98">
        <v>44265</v>
      </c>
      <c r="B957" s="96">
        <v>242</v>
      </c>
      <c r="C957" s="97">
        <v>1300</v>
      </c>
    </row>
    <row r="958" spans="1:3">
      <c r="A958" s="98">
        <v>44266</v>
      </c>
      <c r="B958" s="96">
        <v>242</v>
      </c>
      <c r="C958" s="97">
        <v>1335</v>
      </c>
    </row>
    <row r="959" spans="1:3">
      <c r="A959" s="98">
        <v>44267</v>
      </c>
      <c r="B959" s="96">
        <v>238</v>
      </c>
      <c r="C959" s="97">
        <v>1330</v>
      </c>
    </row>
    <row r="960" spans="1:3">
      <c r="A960" s="98">
        <v>44270</v>
      </c>
      <c r="B960" s="96">
        <v>243</v>
      </c>
      <c r="C960" s="97">
        <v>1310</v>
      </c>
    </row>
    <row r="961" spans="1:3">
      <c r="A961" s="98">
        <v>44271</v>
      </c>
      <c r="B961" s="96">
        <v>243</v>
      </c>
      <c r="C961" s="97">
        <v>1350</v>
      </c>
    </row>
    <row r="962" spans="1:3">
      <c r="A962" s="98">
        <v>44272</v>
      </c>
      <c r="B962" s="96">
        <v>241</v>
      </c>
      <c r="C962" s="97">
        <v>1370</v>
      </c>
    </row>
    <row r="963" spans="1:3">
      <c r="A963" s="98">
        <v>44273</v>
      </c>
      <c r="B963" s="96">
        <v>250</v>
      </c>
      <c r="C963" s="97">
        <v>1350</v>
      </c>
    </row>
    <row r="964" spans="1:3">
      <c r="A964" s="98">
        <v>44274</v>
      </c>
      <c r="B964" s="96">
        <v>250</v>
      </c>
      <c r="C964" s="97">
        <v>1330</v>
      </c>
    </row>
    <row r="965" spans="1:3">
      <c r="A965" s="98">
        <v>44277</v>
      </c>
      <c r="B965" s="96">
        <v>263</v>
      </c>
      <c r="C965" s="97">
        <v>1330</v>
      </c>
    </row>
    <row r="966" spans="1:3">
      <c r="A966" s="98">
        <v>44278</v>
      </c>
      <c r="B966" s="96">
        <v>263</v>
      </c>
      <c r="C966" s="97">
        <v>1330</v>
      </c>
    </row>
    <row r="967" spans="1:3">
      <c r="A967" s="98">
        <v>44279</v>
      </c>
      <c r="B967" s="96">
        <v>263</v>
      </c>
      <c r="C967" s="97">
        <v>1330</v>
      </c>
    </row>
    <row r="968" spans="1:3">
      <c r="A968" s="98">
        <v>44280</v>
      </c>
      <c r="B968" s="96">
        <v>262</v>
      </c>
      <c r="C968" s="97">
        <v>1330</v>
      </c>
    </row>
    <row r="969" spans="1:3">
      <c r="A969" s="98">
        <v>44281</v>
      </c>
      <c r="B969" s="96">
        <v>262</v>
      </c>
      <c r="C969" s="97">
        <v>1330</v>
      </c>
    </row>
    <row r="970" spans="1:3">
      <c r="A970" s="98">
        <v>44284</v>
      </c>
      <c r="B970" s="96">
        <v>262</v>
      </c>
      <c r="C970" s="97">
        <v>1380</v>
      </c>
    </row>
    <row r="971" spans="1:3">
      <c r="A971" s="98">
        <v>44285</v>
      </c>
      <c r="B971" s="96">
        <v>261</v>
      </c>
      <c r="C971" s="97">
        <v>1380</v>
      </c>
    </row>
    <row r="972" spans="1:3">
      <c r="A972" s="98">
        <v>44286</v>
      </c>
      <c r="B972" s="96">
        <v>263</v>
      </c>
      <c r="C972" s="97">
        <v>1380</v>
      </c>
    </row>
    <row r="973" spans="1:3">
      <c r="A973" s="98">
        <v>44287</v>
      </c>
      <c r="B973" s="96">
        <v>261</v>
      </c>
      <c r="C973" s="97">
        <v>1380</v>
      </c>
    </row>
    <row r="974" spans="1:3">
      <c r="A974" s="98">
        <v>44288</v>
      </c>
      <c r="B974" s="96">
        <v>261</v>
      </c>
      <c r="C974" s="97">
        <v>1380</v>
      </c>
    </row>
    <row r="975" spans="1:3">
      <c r="A975" s="98">
        <v>44292</v>
      </c>
      <c r="B975" s="96">
        <v>256</v>
      </c>
      <c r="C975" s="97">
        <v>1380</v>
      </c>
    </row>
    <row r="976" spans="1:3">
      <c r="A976" s="98">
        <v>44293</v>
      </c>
      <c r="B976" s="96">
        <v>249</v>
      </c>
      <c r="C976" s="97">
        <v>1380</v>
      </c>
    </row>
    <row r="977" spans="1:3">
      <c r="A977" s="98">
        <v>44294</v>
      </c>
      <c r="B977" s="96">
        <v>248</v>
      </c>
      <c r="C977" s="97">
        <v>1380</v>
      </c>
    </row>
    <row r="978" spans="1:3">
      <c r="A978" s="98">
        <v>44295</v>
      </c>
      <c r="B978" s="96">
        <v>253</v>
      </c>
      <c r="C978" s="97">
        <v>1380</v>
      </c>
    </row>
    <row r="979" spans="1:3">
      <c r="A979" s="98">
        <v>44298</v>
      </c>
      <c r="B979" s="96">
        <v>251</v>
      </c>
      <c r="C979" s="97">
        <v>1395</v>
      </c>
    </row>
    <row r="980" spans="1:3">
      <c r="A980" s="98">
        <v>44299</v>
      </c>
      <c r="B980" s="96">
        <v>246</v>
      </c>
      <c r="C980" s="97">
        <v>1420</v>
      </c>
    </row>
    <row r="981" spans="1:3">
      <c r="A981" s="98">
        <v>44300</v>
      </c>
      <c r="B981" s="96">
        <v>237</v>
      </c>
      <c r="C981" s="97">
        <v>1430</v>
      </c>
    </row>
    <row r="982" spans="1:3">
      <c r="A982" s="98">
        <v>44301</v>
      </c>
      <c r="B982" s="96">
        <v>238</v>
      </c>
      <c r="C982" s="97">
        <v>1430</v>
      </c>
    </row>
    <row r="983" spans="1:3">
      <c r="A983" s="98">
        <v>44302</v>
      </c>
      <c r="B983" s="96">
        <v>239</v>
      </c>
      <c r="C983" s="97">
        <v>1440</v>
      </c>
    </row>
    <row r="984" spans="1:3">
      <c r="A984" s="98">
        <v>44305</v>
      </c>
      <c r="B984" s="96">
        <v>235</v>
      </c>
      <c r="C984" s="97">
        <v>1445</v>
      </c>
    </row>
    <row r="985" spans="1:3">
      <c r="A985" s="98">
        <v>44306</v>
      </c>
      <c r="B985" s="96">
        <v>237</v>
      </c>
      <c r="C985" s="97">
        <v>1445</v>
      </c>
    </row>
    <row r="986" spans="1:3">
      <c r="A986" s="98">
        <v>44307</v>
      </c>
      <c r="B986" s="96">
        <v>235</v>
      </c>
      <c r="C986" s="97">
        <v>1445</v>
      </c>
    </row>
    <row r="987" spans="1:3">
      <c r="A987" s="98">
        <v>44308</v>
      </c>
      <c r="B987" s="96">
        <v>231</v>
      </c>
      <c r="C987" s="97">
        <v>1440</v>
      </c>
    </row>
    <row r="988" spans="1:3">
      <c r="A988" s="98">
        <v>44309</v>
      </c>
      <c r="B988" s="96">
        <v>234</v>
      </c>
      <c r="C988" s="97">
        <v>1440</v>
      </c>
    </row>
    <row r="989" spans="1:3">
      <c r="A989" s="98">
        <v>44311</v>
      </c>
      <c r="B989" s="96">
        <v>233</v>
      </c>
      <c r="C989" s="97">
        <v>1440</v>
      </c>
    </row>
    <row r="990" spans="1:3">
      <c r="A990" s="98">
        <v>44312</v>
      </c>
      <c r="B990" s="96">
        <v>230</v>
      </c>
      <c r="C990" s="97">
        <v>1440</v>
      </c>
    </row>
    <row r="991" spans="1:3">
      <c r="A991" s="98">
        <v>44313</v>
      </c>
      <c r="B991" s="96">
        <v>228</v>
      </c>
      <c r="C991" s="97">
        <v>1440</v>
      </c>
    </row>
    <row r="992" spans="1:3">
      <c r="A992" s="98">
        <v>44314</v>
      </c>
      <c r="B992" s="96">
        <v>232</v>
      </c>
      <c r="C992" s="97">
        <v>1440</v>
      </c>
    </row>
    <row r="993" spans="1:3">
      <c r="A993" s="98">
        <v>44315</v>
      </c>
      <c r="B993" s="96">
        <v>229</v>
      </c>
      <c r="C993" s="97">
        <v>1440</v>
      </c>
    </row>
    <row r="994" spans="1:3">
      <c r="A994" s="98">
        <v>44316</v>
      </c>
      <c r="B994" s="96">
        <v>229</v>
      </c>
      <c r="C994" s="97">
        <v>1440</v>
      </c>
    </row>
    <row r="995" spans="1:3">
      <c r="A995" s="98">
        <v>44322</v>
      </c>
      <c r="B995" s="96">
        <v>232</v>
      </c>
      <c r="C995" s="97">
        <v>1460</v>
      </c>
    </row>
    <row r="996" spans="1:3">
      <c r="A996" s="98">
        <v>44323</v>
      </c>
      <c r="B996" s="96">
        <v>233</v>
      </c>
      <c r="C996" s="97">
        <v>1490</v>
      </c>
    </row>
    <row r="997" spans="1:3">
      <c r="A997" s="98">
        <v>44324</v>
      </c>
      <c r="B997" s="96">
        <v>230</v>
      </c>
      <c r="C997" s="97">
        <v>1490</v>
      </c>
    </row>
    <row r="998" spans="1:3">
      <c r="A998" s="98">
        <v>44326</v>
      </c>
      <c r="B998" s="96">
        <v>227</v>
      </c>
      <c r="C998" s="97">
        <v>1520</v>
      </c>
    </row>
    <row r="999" spans="1:3">
      <c r="A999" s="98">
        <v>44327</v>
      </c>
      <c r="B999" s="96">
        <v>225</v>
      </c>
      <c r="C999" s="97">
        <v>1540</v>
      </c>
    </row>
    <row r="1000" spans="1:3">
      <c r="A1000" s="98">
        <v>44328</v>
      </c>
      <c r="B1000" s="96">
        <v>223</v>
      </c>
      <c r="C1000" s="97">
        <v>1535</v>
      </c>
    </row>
    <row r="1001" spans="1:3">
      <c r="A1001" s="98">
        <v>44329</v>
      </c>
      <c r="B1001" s="96">
        <v>223</v>
      </c>
      <c r="C1001" s="97">
        <v>1540</v>
      </c>
    </row>
    <row r="1002" spans="1:3">
      <c r="A1002" s="98">
        <v>44330</v>
      </c>
      <c r="B1002" s="96">
        <v>219</v>
      </c>
      <c r="C1002" s="97">
        <v>1540</v>
      </c>
    </row>
    <row r="1003" spans="1:3">
      <c r="A1003" s="98">
        <v>44333</v>
      </c>
      <c r="B1003" s="96">
        <v>215</v>
      </c>
      <c r="C1003" s="97">
        <v>1545</v>
      </c>
    </row>
    <row r="1004" spans="1:3">
      <c r="A1004" s="98">
        <v>44334</v>
      </c>
      <c r="B1004" s="96">
        <v>213</v>
      </c>
      <c r="C1004" s="97">
        <v>1545</v>
      </c>
    </row>
    <row r="1005" spans="1:3">
      <c r="A1005" s="98">
        <v>44335</v>
      </c>
      <c r="B1005" s="96">
        <v>216</v>
      </c>
      <c r="C1005" s="97">
        <v>1545</v>
      </c>
    </row>
    <row r="1006" spans="1:3">
      <c r="A1006" s="98">
        <v>44336</v>
      </c>
      <c r="B1006" s="96">
        <v>215</v>
      </c>
      <c r="C1006" s="97">
        <v>1550</v>
      </c>
    </row>
    <row r="1007" spans="1:3">
      <c r="A1007" s="98">
        <v>44337</v>
      </c>
      <c r="B1007" s="96">
        <v>212</v>
      </c>
      <c r="C1007" s="97">
        <v>1580</v>
      </c>
    </row>
    <row r="1008" spans="1:3">
      <c r="A1008" s="98">
        <v>44340</v>
      </c>
      <c r="B1008" s="96">
        <v>207</v>
      </c>
      <c r="C1008" s="97">
        <v>1620</v>
      </c>
    </row>
    <row r="1009" spans="1:3">
      <c r="A1009" s="98">
        <v>44341</v>
      </c>
      <c r="B1009" s="96">
        <v>205</v>
      </c>
      <c r="C1009" s="97">
        <v>1615</v>
      </c>
    </row>
    <row r="1010" spans="1:3">
      <c r="A1010" s="98">
        <v>44342</v>
      </c>
      <c r="B1010" s="96">
        <v>210</v>
      </c>
      <c r="C1010" s="97">
        <v>1610</v>
      </c>
    </row>
    <row r="1011" spans="1:3">
      <c r="A1011" s="98">
        <v>44343</v>
      </c>
      <c r="B1011" s="96">
        <v>214</v>
      </c>
      <c r="C1011" s="97">
        <v>1610</v>
      </c>
    </row>
    <row r="1012" spans="1:3">
      <c r="A1012" s="98">
        <v>44344</v>
      </c>
      <c r="B1012" s="96">
        <v>213</v>
      </c>
      <c r="C1012" s="97">
        <v>1610</v>
      </c>
    </row>
    <row r="1013" spans="1:3">
      <c r="A1013" s="98">
        <v>44347</v>
      </c>
      <c r="B1013" s="96">
        <v>218</v>
      </c>
      <c r="C1013" s="97">
        <v>1610</v>
      </c>
    </row>
    <row r="1014" spans="1:3">
      <c r="A1014" s="98">
        <v>44348</v>
      </c>
      <c r="B1014" s="96">
        <v>216</v>
      </c>
      <c r="C1014" s="97">
        <v>1610</v>
      </c>
    </row>
    <row r="1015" spans="1:3">
      <c r="A1015" s="98">
        <v>44349</v>
      </c>
      <c r="B1015" s="96">
        <v>213</v>
      </c>
      <c r="C1015" s="97">
        <v>1610</v>
      </c>
    </row>
    <row r="1016" spans="1:3">
      <c r="A1016" s="98">
        <v>44350</v>
      </c>
      <c r="B1016" s="96">
        <v>211</v>
      </c>
      <c r="C1016" s="97">
        <v>1610</v>
      </c>
    </row>
    <row r="1017" spans="1:3">
      <c r="A1017" s="98">
        <v>44351</v>
      </c>
      <c r="B1017" s="96">
        <v>212</v>
      </c>
      <c r="C1017" s="97">
        <v>1600</v>
      </c>
    </row>
    <row r="1018" spans="1:3">
      <c r="A1018" s="98">
        <v>44354</v>
      </c>
      <c r="B1018" s="96">
        <v>209</v>
      </c>
      <c r="C1018" s="97">
        <v>1605</v>
      </c>
    </row>
    <row r="1019" spans="1:3">
      <c r="A1019" s="98">
        <v>44355</v>
      </c>
      <c r="B1019" s="96">
        <v>208</v>
      </c>
      <c r="C1019" s="97">
        <v>1610</v>
      </c>
    </row>
    <row r="1020" spans="1:3">
      <c r="A1020" s="98">
        <v>44356</v>
      </c>
      <c r="B1020" s="96">
        <v>207</v>
      </c>
      <c r="C1020" s="97">
        <v>1600</v>
      </c>
    </row>
    <row r="1021" spans="1:3">
      <c r="A1021" s="98">
        <v>44357</v>
      </c>
      <c r="B1021" s="96">
        <v>207</v>
      </c>
      <c r="C1021" s="97">
        <v>1600</v>
      </c>
    </row>
    <row r="1022" spans="1:3">
      <c r="A1022" s="98">
        <v>44358</v>
      </c>
      <c r="B1022" s="96">
        <v>207</v>
      </c>
      <c r="C1022" s="97">
        <v>1600</v>
      </c>
    </row>
    <row r="1023" spans="1:3">
      <c r="A1023" s="98">
        <v>44362</v>
      </c>
      <c r="B1023" s="96">
        <v>202</v>
      </c>
      <c r="C1023" s="97">
        <v>1595</v>
      </c>
    </row>
    <row r="1024" spans="1:3">
      <c r="A1024" s="98">
        <v>44363</v>
      </c>
      <c r="B1024" s="96">
        <v>206</v>
      </c>
      <c r="C1024" s="97">
        <v>1590</v>
      </c>
    </row>
    <row r="1025" spans="1:3">
      <c r="A1025" s="98">
        <v>44364</v>
      </c>
      <c r="B1025" s="96">
        <v>201</v>
      </c>
      <c r="C1025" s="97">
        <v>1590</v>
      </c>
    </row>
    <row r="1026" spans="1:3">
      <c r="A1026" s="98">
        <v>44365</v>
      </c>
      <c r="B1026" s="96">
        <v>200</v>
      </c>
      <c r="C1026" s="97">
        <v>1580</v>
      </c>
    </row>
    <row r="1027" spans="1:3">
      <c r="A1027" s="98">
        <v>44368</v>
      </c>
      <c r="B1027" s="96">
        <v>198</v>
      </c>
      <c r="C1027" s="97">
        <v>1585</v>
      </c>
    </row>
    <row r="1028" spans="1:3">
      <c r="A1028" s="98">
        <v>44369</v>
      </c>
      <c r="B1028" s="96">
        <v>199</v>
      </c>
      <c r="C1028" s="97">
        <v>1585</v>
      </c>
    </row>
    <row r="1029" spans="1:3">
      <c r="A1029" s="98">
        <v>44370</v>
      </c>
      <c r="B1029" s="96">
        <v>206</v>
      </c>
      <c r="C1029" s="97">
        <v>1590</v>
      </c>
    </row>
    <row r="1030" spans="1:3">
      <c r="A1030" s="98">
        <v>44371</v>
      </c>
      <c r="B1030" s="96">
        <v>204</v>
      </c>
      <c r="C1030" s="97">
        <v>1595</v>
      </c>
    </row>
    <row r="1031" spans="1:3">
      <c r="A1031" s="98">
        <v>44372</v>
      </c>
      <c r="B1031" s="96">
        <v>206</v>
      </c>
      <c r="C1031" s="97">
        <v>1600</v>
      </c>
    </row>
    <row r="1032" spans="1:3">
      <c r="A1032" s="98">
        <v>44375</v>
      </c>
      <c r="B1032" s="96">
        <v>208</v>
      </c>
      <c r="C1032" s="97">
        <v>1600</v>
      </c>
    </row>
    <row r="1033" spans="1:3">
      <c r="A1033" s="98">
        <v>44376</v>
      </c>
      <c r="B1033" s="96">
        <v>207</v>
      </c>
      <c r="C1033" s="97">
        <v>1600</v>
      </c>
    </row>
    <row r="1034" spans="1:3">
      <c r="A1034" s="98">
        <v>44377</v>
      </c>
      <c r="B1034" s="96">
        <v>208</v>
      </c>
      <c r="C1034" s="97">
        <v>1600</v>
      </c>
    </row>
    <row r="1035" spans="1:3">
      <c r="A1035" s="98">
        <v>44378</v>
      </c>
      <c r="B1035" s="96">
        <v>207</v>
      </c>
      <c r="C1035" s="97">
        <v>1590</v>
      </c>
    </row>
    <row r="1036" spans="1:3">
      <c r="A1036" s="98">
        <v>44379</v>
      </c>
      <c r="B1036" s="96">
        <v>207</v>
      </c>
      <c r="C1036" s="97">
        <v>1590</v>
      </c>
    </row>
    <row r="1037" spans="1:3">
      <c r="A1037" s="98">
        <v>44382</v>
      </c>
      <c r="B1037" s="96">
        <v>212</v>
      </c>
      <c r="C1037" s="97">
        <v>1590</v>
      </c>
    </row>
    <row r="1038" spans="1:3">
      <c r="A1038" s="98">
        <v>44383</v>
      </c>
      <c r="B1038" s="96">
        <v>209</v>
      </c>
      <c r="C1038" s="97">
        <v>1590</v>
      </c>
    </row>
    <row r="1039" spans="1:3">
      <c r="A1039" s="98">
        <v>44384</v>
      </c>
      <c r="B1039" s="96">
        <v>209</v>
      </c>
      <c r="C1039" s="97">
        <v>1580</v>
      </c>
    </row>
    <row r="1040" spans="1:3">
      <c r="A1040" s="98">
        <v>44385</v>
      </c>
      <c r="B1040" s="96">
        <v>212</v>
      </c>
      <c r="C1040" s="97">
        <v>1580</v>
      </c>
    </row>
    <row r="1041" spans="1:3">
      <c r="A1041" s="98">
        <v>44386</v>
      </c>
      <c r="B1041" s="96">
        <v>211</v>
      </c>
      <c r="C1041" s="97">
        <v>1580</v>
      </c>
    </row>
    <row r="1042" spans="1:3">
      <c r="A1042" s="98">
        <v>44389</v>
      </c>
      <c r="B1042" s="96">
        <v>211</v>
      </c>
      <c r="C1042" s="97">
        <v>1580</v>
      </c>
    </row>
    <row r="1043" spans="1:3">
      <c r="A1043" s="98">
        <v>44390</v>
      </c>
      <c r="B1043" s="96">
        <v>210</v>
      </c>
      <c r="C1043" s="97">
        <v>1575</v>
      </c>
    </row>
    <row r="1044" spans="1:3">
      <c r="A1044" s="98">
        <v>44391</v>
      </c>
      <c r="B1044" s="96">
        <v>210</v>
      </c>
      <c r="C1044" s="97">
        <v>1565</v>
      </c>
    </row>
    <row r="1045" spans="1:3">
      <c r="A1045" s="98">
        <v>44392</v>
      </c>
      <c r="B1045" s="96">
        <v>207</v>
      </c>
      <c r="C1045" s="97">
        <v>1570</v>
      </c>
    </row>
    <row r="1046" spans="1:3">
      <c r="A1046" s="98">
        <v>44393</v>
      </c>
      <c r="B1046" s="96">
        <v>206</v>
      </c>
      <c r="C1046" s="97">
        <v>1570</v>
      </c>
    </row>
    <row r="1047" spans="1:3">
      <c r="A1047" s="98">
        <v>44396</v>
      </c>
      <c r="B1047" s="96">
        <v>203</v>
      </c>
      <c r="C1047" s="97">
        <v>1570</v>
      </c>
    </row>
    <row r="1048" spans="1:3">
      <c r="A1048" s="98">
        <v>44397</v>
      </c>
      <c r="B1048" s="96">
        <v>202</v>
      </c>
      <c r="C1048" s="97">
        <v>1580</v>
      </c>
    </row>
    <row r="1049" spans="1:3">
      <c r="A1049" s="98">
        <v>44398</v>
      </c>
      <c r="B1049" s="96">
        <v>200</v>
      </c>
      <c r="C1049" s="97">
        <v>1585</v>
      </c>
    </row>
    <row r="1050" spans="1:3">
      <c r="A1050" s="98">
        <v>44399</v>
      </c>
      <c r="B1050" s="96">
        <v>195</v>
      </c>
      <c r="C1050" s="97">
        <v>1585</v>
      </c>
    </row>
    <row r="1051" spans="1:3">
      <c r="A1051" s="98">
        <v>44400</v>
      </c>
      <c r="B1051" s="96">
        <v>192</v>
      </c>
      <c r="C1051" s="97">
        <v>1585</v>
      </c>
    </row>
    <row r="1052" spans="1:3">
      <c r="A1052" s="98">
        <v>44403</v>
      </c>
      <c r="B1052" s="96">
        <v>191</v>
      </c>
      <c r="C1052" s="97">
        <v>1590</v>
      </c>
    </row>
    <row r="1053" spans="1:3">
      <c r="A1053" s="98">
        <v>44404</v>
      </c>
      <c r="B1053" s="96">
        <v>186</v>
      </c>
      <c r="C1053" s="97">
        <v>1595</v>
      </c>
    </row>
    <row r="1054" spans="1:3">
      <c r="A1054" s="98">
        <v>44405</v>
      </c>
      <c r="B1054" s="96">
        <v>186</v>
      </c>
      <c r="C1054" s="97">
        <v>1590</v>
      </c>
    </row>
    <row r="1055" spans="1:3">
      <c r="A1055" s="98">
        <v>44406</v>
      </c>
      <c r="B1055" s="96">
        <v>186</v>
      </c>
      <c r="C1055" s="97">
        <v>1590</v>
      </c>
    </row>
    <row r="1056" spans="1:3">
      <c r="A1056" s="98">
        <v>44407</v>
      </c>
      <c r="B1056" s="96">
        <v>187</v>
      </c>
      <c r="C1056" s="97">
        <v>1595</v>
      </c>
    </row>
    <row r="1057" spans="1:3">
      <c r="A1057" s="98">
        <v>44410</v>
      </c>
      <c r="B1057" s="96">
        <v>184</v>
      </c>
      <c r="C1057" s="97">
        <v>1595</v>
      </c>
    </row>
    <row r="1058" spans="1:3">
      <c r="A1058" s="98">
        <v>44411</v>
      </c>
      <c r="B1058" s="96">
        <v>182</v>
      </c>
      <c r="C1058" s="97">
        <v>1595</v>
      </c>
    </row>
    <row r="1059" spans="1:3">
      <c r="A1059" s="98">
        <v>44412</v>
      </c>
      <c r="B1059" s="96">
        <v>181</v>
      </c>
      <c r="C1059" s="97">
        <v>1600</v>
      </c>
    </row>
    <row r="1060" spans="1:3">
      <c r="A1060" s="98">
        <v>44413</v>
      </c>
      <c r="B1060" s="96">
        <v>180</v>
      </c>
      <c r="C1060" s="97">
        <v>1600</v>
      </c>
    </row>
    <row r="1061" spans="1:3">
      <c r="A1061" s="98">
        <v>44414</v>
      </c>
      <c r="B1061" s="96">
        <v>178</v>
      </c>
      <c r="C1061" s="97">
        <v>1605</v>
      </c>
    </row>
    <row r="1062" spans="1:3">
      <c r="A1062" s="98">
        <v>44417</v>
      </c>
      <c r="B1062" s="96">
        <v>176</v>
      </c>
      <c r="C1062" s="97">
        <v>1615</v>
      </c>
    </row>
    <row r="1063" spans="1:3">
      <c r="A1063" s="98">
        <v>44418</v>
      </c>
      <c r="B1063" s="96">
        <v>172</v>
      </c>
      <c r="C1063" s="97">
        <v>1645</v>
      </c>
    </row>
    <row r="1064" spans="1:3">
      <c r="A1064" s="98">
        <v>44419</v>
      </c>
      <c r="B1064" s="96">
        <v>172</v>
      </c>
      <c r="C1064" s="97">
        <v>1680</v>
      </c>
    </row>
    <row r="1065" spans="1:3">
      <c r="A1065" s="98">
        <v>44420</v>
      </c>
      <c r="B1065" s="96">
        <v>167</v>
      </c>
      <c r="C1065" s="97">
        <v>1690</v>
      </c>
    </row>
    <row r="1066" spans="1:3">
      <c r="A1066" s="98">
        <v>44421</v>
      </c>
      <c r="B1066" s="96">
        <v>165</v>
      </c>
      <c r="C1066" s="97">
        <v>1730</v>
      </c>
    </row>
    <row r="1067" spans="1:3">
      <c r="A1067" s="98">
        <v>44424</v>
      </c>
      <c r="B1067" s="96">
        <v>161</v>
      </c>
      <c r="C1067" s="97">
        <v>1740</v>
      </c>
    </row>
    <row r="1068" spans="1:3">
      <c r="A1068" s="98">
        <v>44425</v>
      </c>
      <c r="B1068" s="96">
        <v>159</v>
      </c>
      <c r="C1068" s="97">
        <v>1780</v>
      </c>
    </row>
    <row r="1069" spans="1:3">
      <c r="A1069" s="98">
        <v>44426</v>
      </c>
      <c r="B1069" s="96">
        <v>161</v>
      </c>
      <c r="C1069" s="97">
        <v>1860</v>
      </c>
    </row>
    <row r="1070" spans="1:3">
      <c r="A1070" s="98">
        <v>44427</v>
      </c>
      <c r="B1070" s="96">
        <v>157</v>
      </c>
      <c r="C1070" s="97">
        <v>1960</v>
      </c>
    </row>
    <row r="1071" spans="1:3">
      <c r="A1071" s="98">
        <v>44428</v>
      </c>
      <c r="B1071" s="96">
        <v>155</v>
      </c>
      <c r="C1071" s="97">
        <v>1890</v>
      </c>
    </row>
    <row r="1072" spans="1:3">
      <c r="A1072" s="98">
        <v>44431</v>
      </c>
      <c r="B1072" s="96">
        <v>151</v>
      </c>
      <c r="C1072" s="97">
        <v>1950</v>
      </c>
    </row>
    <row r="1073" spans="1:3">
      <c r="A1073" s="98">
        <v>44432</v>
      </c>
      <c r="B1073" s="96">
        <v>149</v>
      </c>
      <c r="C1073" s="97">
        <v>1930</v>
      </c>
    </row>
    <row r="1074" spans="1:3">
      <c r="A1074" s="98">
        <v>44433</v>
      </c>
      <c r="B1074" s="96">
        <v>149</v>
      </c>
      <c r="C1074" s="97">
        <v>1900</v>
      </c>
    </row>
    <row r="1075" spans="1:3">
      <c r="A1075" s="98">
        <v>44434</v>
      </c>
      <c r="B1075" s="96">
        <v>156</v>
      </c>
      <c r="C1075" s="97">
        <v>1920</v>
      </c>
    </row>
    <row r="1076" spans="1:3">
      <c r="A1076" s="98">
        <v>44435</v>
      </c>
      <c r="B1076" s="96">
        <v>156</v>
      </c>
      <c r="C1076" s="97">
        <v>1920</v>
      </c>
    </row>
    <row r="1077" spans="1:3">
      <c r="A1077" s="98">
        <v>44438</v>
      </c>
      <c r="B1077" s="96">
        <v>159</v>
      </c>
      <c r="C1077" s="97">
        <v>1920</v>
      </c>
    </row>
    <row r="1078" spans="1:3">
      <c r="A1078" s="98">
        <v>44439</v>
      </c>
      <c r="B1078" s="96">
        <v>158</v>
      </c>
      <c r="C1078" s="97">
        <v>1940</v>
      </c>
    </row>
    <row r="1079" spans="1:3">
      <c r="A1079" s="98">
        <v>44440</v>
      </c>
      <c r="B1079" s="96">
        <v>162</v>
      </c>
      <c r="C1079" s="97">
        <v>1940</v>
      </c>
    </row>
    <row r="1080" spans="1:3">
      <c r="A1080" s="98">
        <v>44441</v>
      </c>
      <c r="B1080" s="96">
        <v>160</v>
      </c>
      <c r="C1080" s="97">
        <v>1940</v>
      </c>
    </row>
    <row r="1081" spans="1:3">
      <c r="A1081" s="98">
        <v>44442</v>
      </c>
      <c r="B1081" s="96">
        <v>167</v>
      </c>
      <c r="C1081" s="97">
        <v>1935</v>
      </c>
    </row>
    <row r="1082" spans="1:3">
      <c r="A1082" s="98">
        <v>44445</v>
      </c>
      <c r="B1082" s="96">
        <v>163</v>
      </c>
      <c r="C1082" s="97">
        <v>1935</v>
      </c>
    </row>
    <row r="1083" spans="1:3">
      <c r="A1083" s="98">
        <v>44446</v>
      </c>
      <c r="B1083" s="96">
        <v>161</v>
      </c>
      <c r="C1083" s="97">
        <v>1935</v>
      </c>
    </row>
    <row r="1084" spans="1:3">
      <c r="A1084" s="98">
        <v>44447</v>
      </c>
      <c r="B1084" s="96">
        <v>156</v>
      </c>
      <c r="C1084" s="97">
        <v>1890</v>
      </c>
    </row>
    <row r="1085" spans="1:3">
      <c r="A1085" s="98">
        <v>44448</v>
      </c>
      <c r="B1085" s="96">
        <v>164</v>
      </c>
      <c r="C1085" s="97">
        <v>1890</v>
      </c>
    </row>
    <row r="1086" spans="1:3">
      <c r="A1086" s="98">
        <v>44449</v>
      </c>
      <c r="B1086" s="96">
        <v>164</v>
      </c>
      <c r="C1086" s="97">
        <v>1900</v>
      </c>
    </row>
    <row r="1087" spans="1:3">
      <c r="A1087" s="98">
        <v>44452</v>
      </c>
      <c r="B1087" s="96">
        <v>161</v>
      </c>
      <c r="C1087" s="97">
        <v>1900</v>
      </c>
    </row>
    <row r="1088" spans="1:3">
      <c r="A1088" s="98">
        <v>44453</v>
      </c>
      <c r="B1088" s="96">
        <v>159</v>
      </c>
      <c r="C1088" s="97">
        <v>1890</v>
      </c>
    </row>
    <row r="1089" spans="1:3">
      <c r="A1089" s="98">
        <v>44454</v>
      </c>
      <c r="B1089" s="96">
        <v>158</v>
      </c>
      <c r="C1089" s="97">
        <v>1890</v>
      </c>
    </row>
    <row r="1090" spans="1:3">
      <c r="A1090" s="98">
        <v>44455</v>
      </c>
      <c r="B1090" s="96">
        <v>158</v>
      </c>
      <c r="C1090" s="97">
        <v>1890</v>
      </c>
    </row>
    <row r="1091" spans="1:3">
      <c r="A1091" s="98">
        <v>44456</v>
      </c>
      <c r="B1091" s="96">
        <v>158</v>
      </c>
      <c r="C1091" s="97">
        <v>1885</v>
      </c>
    </row>
    <row r="1092" spans="1:3">
      <c r="A1092" s="98">
        <v>44457</v>
      </c>
      <c r="B1092" s="96">
        <v>158</v>
      </c>
      <c r="C1092" s="97">
        <v>1890</v>
      </c>
    </row>
    <row r="1093" spans="1:3">
      <c r="A1093" s="98">
        <v>44461</v>
      </c>
      <c r="B1093" s="96">
        <v>154</v>
      </c>
      <c r="C1093" s="97">
        <v>1910</v>
      </c>
    </row>
    <row r="1094" spans="1:3">
      <c r="A1094" s="98">
        <v>44462</v>
      </c>
      <c r="B1094" s="96">
        <v>153</v>
      </c>
      <c r="C1094" s="97">
        <v>1915</v>
      </c>
    </row>
    <row r="1095" spans="1:3">
      <c r="A1095" s="98">
        <v>44463</v>
      </c>
      <c r="B1095" s="96">
        <v>153</v>
      </c>
      <c r="C1095" s="97">
        <v>1905</v>
      </c>
    </row>
    <row r="1096" spans="1:3">
      <c r="A1096" s="98">
        <v>44465</v>
      </c>
      <c r="B1096" s="96">
        <v>148</v>
      </c>
      <c r="C1096" s="97">
        <v>1905</v>
      </c>
    </row>
    <row r="1097" spans="1:3">
      <c r="A1097" s="98">
        <v>44466</v>
      </c>
      <c r="B1097" s="96">
        <v>147</v>
      </c>
      <c r="C1097" s="97">
        <v>1905</v>
      </c>
    </row>
    <row r="1098" spans="1:3">
      <c r="A1098" s="98">
        <v>44467</v>
      </c>
      <c r="B1098" s="96">
        <v>141</v>
      </c>
      <c r="C1098" s="97">
        <v>1910</v>
      </c>
    </row>
    <row r="1099" spans="1:3">
      <c r="A1099" s="98">
        <v>44468</v>
      </c>
      <c r="B1099" s="96">
        <v>141</v>
      </c>
      <c r="C1099" s="97">
        <v>1910</v>
      </c>
    </row>
    <row r="1100" spans="1:3">
      <c r="A1100" s="98">
        <v>44469</v>
      </c>
      <c r="B1100" s="96">
        <v>139</v>
      </c>
      <c r="C1100" s="97">
        <v>1920</v>
      </c>
    </row>
    <row r="1101" spans="1:3">
      <c r="A1101" s="98">
        <v>44477</v>
      </c>
      <c r="B1101" s="96">
        <v>142</v>
      </c>
      <c r="C1101" s="97">
        <v>1950</v>
      </c>
    </row>
    <row r="1102" spans="1:3">
      <c r="A1102" s="98">
        <v>44478</v>
      </c>
      <c r="B1102" s="96">
        <v>142</v>
      </c>
      <c r="C1102" s="97">
        <v>1960</v>
      </c>
    </row>
    <row r="1103" spans="1:3">
      <c r="A1103" s="98">
        <v>44480</v>
      </c>
      <c r="B1103" s="96">
        <v>147</v>
      </c>
      <c r="C1103" s="97">
        <v>1970</v>
      </c>
    </row>
    <row r="1104" spans="1:3">
      <c r="A1104" s="98">
        <v>44481</v>
      </c>
      <c r="B1104" s="96">
        <v>146</v>
      </c>
      <c r="C1104" s="97">
        <v>1965</v>
      </c>
    </row>
    <row r="1105" spans="1:3">
      <c r="A1105" s="98">
        <v>44482</v>
      </c>
      <c r="B1105" s="96">
        <v>149</v>
      </c>
      <c r="C1105" s="97">
        <v>1945</v>
      </c>
    </row>
    <row r="1106" spans="1:3">
      <c r="A1106" s="98">
        <v>44483</v>
      </c>
      <c r="B1106" s="96">
        <v>146</v>
      </c>
      <c r="C1106" s="97">
        <v>1930</v>
      </c>
    </row>
    <row r="1107" spans="1:3">
      <c r="A1107" s="98">
        <v>44484</v>
      </c>
      <c r="B1107" s="96">
        <v>145</v>
      </c>
      <c r="C1107" s="97">
        <v>1930</v>
      </c>
    </row>
    <row r="1108" spans="1:3">
      <c r="A1108" s="98">
        <v>44487</v>
      </c>
      <c r="B1108" s="96">
        <v>148</v>
      </c>
      <c r="C1108" s="97">
        <v>1920</v>
      </c>
    </row>
    <row r="1109" spans="1:3">
      <c r="A1109" s="98">
        <v>44488</v>
      </c>
      <c r="B1109" s="96">
        <v>148</v>
      </c>
      <c r="C1109" s="97">
        <v>1930</v>
      </c>
    </row>
    <row r="1110" spans="1:3">
      <c r="A1110" s="98">
        <v>44489</v>
      </c>
      <c r="B1110" s="96">
        <v>152</v>
      </c>
      <c r="C1110" s="97">
        <v>1935</v>
      </c>
    </row>
    <row r="1111" spans="1:3">
      <c r="A1111" s="98">
        <v>44490</v>
      </c>
      <c r="B1111" s="96">
        <v>151</v>
      </c>
      <c r="C1111" s="97">
        <v>1935</v>
      </c>
    </row>
    <row r="1112" spans="1:3">
      <c r="A1112" s="98">
        <v>44491</v>
      </c>
      <c r="B1112" s="96">
        <v>152</v>
      </c>
      <c r="C1112" s="97">
        <v>1935</v>
      </c>
    </row>
    <row r="1113" spans="1:3">
      <c r="A1113" s="98">
        <v>44494</v>
      </c>
      <c r="B1113" s="96">
        <v>159</v>
      </c>
      <c r="C1113" s="97">
        <v>1935</v>
      </c>
    </row>
    <row r="1114" spans="1:3">
      <c r="A1114" s="98">
        <v>44495</v>
      </c>
      <c r="B1114" s="96">
        <v>158</v>
      </c>
      <c r="C1114" s="97">
        <v>1930</v>
      </c>
    </row>
    <row r="1115" spans="1:3">
      <c r="A1115" s="98">
        <v>44496</v>
      </c>
      <c r="B1115" s="96">
        <v>155</v>
      </c>
      <c r="C1115" s="97">
        <v>1930</v>
      </c>
    </row>
    <row r="1116" spans="1:3">
      <c r="A1116" s="98">
        <v>44497</v>
      </c>
      <c r="B1116" s="96">
        <v>159</v>
      </c>
      <c r="C1116" s="97">
        <v>1925</v>
      </c>
    </row>
    <row r="1117" spans="1:3">
      <c r="A1117" s="98">
        <v>44498</v>
      </c>
      <c r="B1117" s="96">
        <v>155</v>
      </c>
      <c r="C1117" s="97">
        <v>1910</v>
      </c>
    </row>
    <row r="1118" spans="1:3">
      <c r="A1118" s="98">
        <v>44501</v>
      </c>
      <c r="B1118" s="96">
        <v>159</v>
      </c>
      <c r="C1118" s="97">
        <v>1910</v>
      </c>
    </row>
    <row r="1119" spans="1:3">
      <c r="A1119" s="98">
        <v>44502</v>
      </c>
      <c r="B1119" s="96">
        <v>160</v>
      </c>
      <c r="C1119" s="97">
        <v>1905</v>
      </c>
    </row>
    <row r="1120" spans="1:3">
      <c r="A1120" s="104">
        <v>44503</v>
      </c>
      <c r="B1120" s="96">
        <v>159</v>
      </c>
      <c r="C1120" s="97">
        <v>1905</v>
      </c>
    </row>
    <row r="1121" spans="1:3">
      <c r="A1121" s="104">
        <v>44504</v>
      </c>
      <c r="B1121" s="96">
        <v>160</v>
      </c>
      <c r="C1121" s="97">
        <v>1910</v>
      </c>
    </row>
    <row r="1122" spans="1:3">
      <c r="A1122" s="104">
        <v>44505</v>
      </c>
      <c r="B1122" s="96">
        <v>162</v>
      </c>
      <c r="C1122" s="97">
        <v>1920</v>
      </c>
    </row>
    <row r="1123" spans="1:3">
      <c r="A1123" s="104">
        <v>44508</v>
      </c>
      <c r="B1123" s="96">
        <v>164</v>
      </c>
      <c r="C1123" s="97">
        <v>1930</v>
      </c>
    </row>
    <row r="1124" spans="1:3">
      <c r="A1124" s="104">
        <v>44509</v>
      </c>
      <c r="B1124" s="96">
        <v>162</v>
      </c>
      <c r="C1124" s="97">
        <v>1930</v>
      </c>
    </row>
    <row r="1125" spans="1:3">
      <c r="A1125" s="104">
        <v>44510</v>
      </c>
      <c r="B1125" s="96">
        <v>161</v>
      </c>
      <c r="C1125" s="97">
        <v>1940</v>
      </c>
    </row>
    <row r="1126" spans="1:3">
      <c r="A1126" s="104">
        <v>44511</v>
      </c>
      <c r="B1126" s="96">
        <v>162</v>
      </c>
      <c r="C1126" s="97">
        <v>1950</v>
      </c>
    </row>
    <row r="1127" spans="1:3">
      <c r="A1127" s="104">
        <v>44512</v>
      </c>
      <c r="B1127" s="96">
        <v>161</v>
      </c>
      <c r="C1127" s="97">
        <v>1990</v>
      </c>
    </row>
    <row r="1128" spans="1:3">
      <c r="A1128" s="104">
        <v>44515</v>
      </c>
      <c r="B1128" s="96">
        <v>158</v>
      </c>
      <c r="C1128" s="97">
        <v>1995</v>
      </c>
    </row>
    <row r="1129" spans="1:3">
      <c r="A1129" s="104">
        <v>44516</v>
      </c>
      <c r="B1129" s="96">
        <v>156</v>
      </c>
      <c r="C1129" s="97">
        <v>2000</v>
      </c>
    </row>
    <row r="1130" spans="1:3">
      <c r="A1130" s="104">
        <v>44517</v>
      </c>
      <c r="B1130" s="96">
        <v>154</v>
      </c>
      <c r="C1130" s="97">
        <v>2040</v>
      </c>
    </row>
    <row r="1131" spans="1:3">
      <c r="A1131" s="104">
        <v>44518</v>
      </c>
      <c r="B1131" s="96">
        <v>157</v>
      </c>
      <c r="C1131" s="97">
        <v>2055</v>
      </c>
    </row>
    <row r="1132" spans="1:3">
      <c r="A1132" s="104">
        <v>44519</v>
      </c>
      <c r="B1132" s="96">
        <v>157</v>
      </c>
      <c r="C1132" s="97">
        <v>2070</v>
      </c>
    </row>
    <row r="1133" spans="1:3">
      <c r="A1133" s="104">
        <v>44522</v>
      </c>
      <c r="B1133" s="96">
        <v>171</v>
      </c>
      <c r="C1133" s="97">
        <v>2070</v>
      </c>
    </row>
    <row r="1134" spans="1:3">
      <c r="A1134" s="104">
        <v>44523</v>
      </c>
      <c r="B1134" s="96">
        <v>170</v>
      </c>
      <c r="C1134" s="97">
        <v>2070</v>
      </c>
    </row>
    <row r="1135" spans="1:3">
      <c r="A1135" s="104">
        <v>44524</v>
      </c>
      <c r="B1135" s="96">
        <v>167</v>
      </c>
      <c r="C1135" s="97">
        <v>2075</v>
      </c>
    </row>
    <row r="1136" spans="1:3">
      <c r="A1136" s="104">
        <v>44525</v>
      </c>
      <c r="B1136" s="96">
        <v>168</v>
      </c>
      <c r="C1136" s="97">
        <v>2075</v>
      </c>
    </row>
    <row r="1137" spans="1:3">
      <c r="A1137" s="104">
        <v>44526</v>
      </c>
      <c r="B1137" s="96">
        <v>168</v>
      </c>
      <c r="C1137" s="97">
        <v>2085</v>
      </c>
    </row>
    <row r="1138" spans="1:3">
      <c r="A1138" s="104">
        <v>44529</v>
      </c>
      <c r="B1138" s="96">
        <v>175</v>
      </c>
      <c r="C1138" s="97">
        <v>2085</v>
      </c>
    </row>
    <row r="1139" spans="1:3">
      <c r="A1139" s="104">
        <v>44530</v>
      </c>
      <c r="B1139" s="96">
        <v>175</v>
      </c>
      <c r="C1139" s="97">
        <v>2085</v>
      </c>
    </row>
    <row r="1140" spans="1:3">
      <c r="A1140" s="104">
        <v>44531</v>
      </c>
      <c r="B1140" s="96">
        <v>173</v>
      </c>
      <c r="C1140" s="97">
        <v>2085</v>
      </c>
    </row>
    <row r="1141" spans="1:3">
      <c r="A1141" s="104">
        <v>44532</v>
      </c>
      <c r="B1141" s="96">
        <v>170</v>
      </c>
      <c r="C1141" s="97">
        <v>2085</v>
      </c>
    </row>
    <row r="1142" spans="1:3">
      <c r="A1142" s="104">
        <v>44533</v>
      </c>
      <c r="B1142" s="96">
        <v>170</v>
      </c>
      <c r="C1142" s="97">
        <v>2105</v>
      </c>
    </row>
    <row r="1143" spans="1:3">
      <c r="A1143" s="104">
        <v>44536</v>
      </c>
      <c r="B1143" s="96">
        <v>166</v>
      </c>
      <c r="C1143" s="97">
        <v>2140</v>
      </c>
    </row>
    <row r="1144" spans="1:3">
      <c r="A1144" s="104">
        <v>44537</v>
      </c>
      <c r="B1144" s="96">
        <v>165</v>
      </c>
      <c r="C1144" s="97">
        <v>2180</v>
      </c>
    </row>
    <row r="1145" spans="1:3">
      <c r="A1145" s="104">
        <v>44538</v>
      </c>
      <c r="B1145" s="96">
        <v>161</v>
      </c>
      <c r="C1145" s="97">
        <v>2185</v>
      </c>
    </row>
    <row r="1146" spans="1:3">
      <c r="A1146" s="104">
        <v>44539</v>
      </c>
      <c r="B1146" s="96">
        <v>164</v>
      </c>
      <c r="C1146" s="97">
        <v>2200</v>
      </c>
    </row>
    <row r="1147" spans="1:3">
      <c r="A1147" s="104">
        <v>44540</v>
      </c>
      <c r="B1147" s="96">
        <v>164</v>
      </c>
      <c r="C1147" s="97">
        <v>2250</v>
      </c>
    </row>
    <row r="1148" spans="1:3">
      <c r="A1148" s="104">
        <v>44543</v>
      </c>
      <c r="B1148" s="96">
        <v>162</v>
      </c>
      <c r="C1148" s="97">
        <v>2290</v>
      </c>
    </row>
    <row r="1149" spans="1:3">
      <c r="A1149" s="104">
        <v>44544</v>
      </c>
      <c r="B1149" s="96">
        <v>161</v>
      </c>
      <c r="C1149" s="97">
        <v>2300</v>
      </c>
    </row>
    <row r="1150" spans="1:3">
      <c r="A1150" s="104">
        <v>44545</v>
      </c>
      <c r="B1150" s="96">
        <v>160</v>
      </c>
      <c r="C1150" s="97">
        <v>2350</v>
      </c>
    </row>
    <row r="1151" spans="1:3">
      <c r="A1151" s="104">
        <v>44546</v>
      </c>
      <c r="B1151" s="96">
        <v>160</v>
      </c>
      <c r="C1151" s="97">
        <v>2380</v>
      </c>
    </row>
    <row r="1152" spans="1:3">
      <c r="A1152" s="104">
        <v>44547</v>
      </c>
      <c r="B1152" s="96">
        <v>158</v>
      </c>
      <c r="C1152" s="97">
        <v>2390</v>
      </c>
    </row>
    <row r="1153" spans="1:3">
      <c r="A1153" s="104">
        <v>44550</v>
      </c>
      <c r="B1153" s="96">
        <v>159</v>
      </c>
      <c r="C1153" s="97">
        <v>2390</v>
      </c>
    </row>
    <row r="1154" spans="1:3">
      <c r="A1154" s="104">
        <v>44551</v>
      </c>
      <c r="B1154" s="96">
        <v>158</v>
      </c>
      <c r="C1154" s="97">
        <v>2390</v>
      </c>
    </row>
    <row r="1155" spans="1:3">
      <c r="A1155" s="104">
        <v>44552</v>
      </c>
      <c r="B1155" s="96">
        <v>157</v>
      </c>
      <c r="C1155" s="97">
        <v>2390</v>
      </c>
    </row>
    <row r="1156" spans="1:3">
      <c r="A1156" s="104">
        <v>44553</v>
      </c>
      <c r="B1156" s="96">
        <v>166</v>
      </c>
      <c r="C1156" s="97">
        <v>2390</v>
      </c>
    </row>
    <row r="1157" spans="1:3">
      <c r="A1157" s="104">
        <v>44554</v>
      </c>
      <c r="B1157" s="96">
        <v>165</v>
      </c>
      <c r="C1157" s="97">
        <v>2400</v>
      </c>
    </row>
    <row r="1158" spans="1:3">
      <c r="A1158" s="104">
        <v>44557</v>
      </c>
      <c r="B1158" s="96">
        <v>170</v>
      </c>
      <c r="C1158" s="97">
        <v>2460</v>
      </c>
    </row>
    <row r="1159" spans="1:3">
      <c r="A1159" s="104">
        <v>44558</v>
      </c>
      <c r="B1159" s="96">
        <v>170</v>
      </c>
      <c r="C1159" s="97">
        <v>2460</v>
      </c>
    </row>
    <row r="1160" spans="1:3">
      <c r="A1160" s="104">
        <v>44559</v>
      </c>
      <c r="B1160" s="96">
        <v>169</v>
      </c>
      <c r="C1160" s="97">
        <v>2460</v>
      </c>
    </row>
    <row r="1161" spans="1:3">
      <c r="A1161" s="104">
        <v>44560</v>
      </c>
      <c r="B1161" s="96">
        <v>169</v>
      </c>
      <c r="C1161" s="97">
        <v>2460</v>
      </c>
    </row>
    <row r="1162" spans="1:3">
      <c r="A1162" s="104">
        <v>44561</v>
      </c>
      <c r="B1162" s="96">
        <v>170</v>
      </c>
      <c r="C1162" s="97">
        <v>2460</v>
      </c>
    </row>
    <row r="1163" spans="1:3">
      <c r="A1163" s="104">
        <v>44565</v>
      </c>
      <c r="B1163" s="96">
        <v>167</v>
      </c>
      <c r="C1163" s="97">
        <v>2480</v>
      </c>
    </row>
    <row r="1164" spans="1:3">
      <c r="A1164" s="104">
        <v>44566</v>
      </c>
      <c r="B1164" s="96">
        <v>166</v>
      </c>
      <c r="C1164" s="97">
        <v>2480</v>
      </c>
    </row>
    <row r="1165" spans="1:3">
      <c r="A1165" s="104">
        <v>44567</v>
      </c>
      <c r="B1165" s="96">
        <v>164</v>
      </c>
      <c r="C1165" s="97">
        <v>2480</v>
      </c>
    </row>
    <row r="1166" spans="1:3">
      <c r="A1166" s="104">
        <v>44568</v>
      </c>
      <c r="B1166" s="96">
        <v>162</v>
      </c>
      <c r="C1166" s="97">
        <v>2480</v>
      </c>
    </row>
    <row r="1167" spans="1:3">
      <c r="A1167" s="104">
        <v>44571</v>
      </c>
      <c r="B1167" s="96">
        <v>155</v>
      </c>
      <c r="C1167" s="97">
        <v>2470</v>
      </c>
    </row>
    <row r="1168" spans="1:3">
      <c r="A1168" s="104">
        <v>44572</v>
      </c>
      <c r="B1168" s="96">
        <v>154</v>
      </c>
      <c r="C1168" s="97">
        <v>2440</v>
      </c>
    </row>
    <row r="1169" spans="1:3">
      <c r="A1169" s="104">
        <v>44573</v>
      </c>
      <c r="B1169" s="96">
        <v>153</v>
      </c>
      <c r="C1169" s="97">
        <v>2420</v>
      </c>
    </row>
    <row r="1170" spans="1:3">
      <c r="A1170" s="104">
        <v>44574</v>
      </c>
      <c r="B1170" s="96">
        <v>151</v>
      </c>
      <c r="C1170" s="97">
        <v>2440</v>
      </c>
    </row>
    <row r="1171" spans="1:3">
      <c r="A1171" s="104">
        <v>44575</v>
      </c>
      <c r="B1171" s="96">
        <v>149</v>
      </c>
      <c r="C1171" s="97">
        <v>2440</v>
      </c>
    </row>
    <row r="1172" spans="1:3">
      <c r="A1172" s="104">
        <v>44578</v>
      </c>
      <c r="B1172" s="96">
        <v>149</v>
      </c>
      <c r="C1172" s="97">
        <v>2440</v>
      </c>
    </row>
    <row r="1173" spans="1:3">
      <c r="A1173" s="104">
        <v>44579</v>
      </c>
      <c r="B1173" s="96">
        <v>147</v>
      </c>
      <c r="C1173" s="97">
        <v>2465</v>
      </c>
    </row>
    <row r="1174" spans="1:3">
      <c r="A1174" s="104">
        <v>44580</v>
      </c>
      <c r="B1174" s="96">
        <v>147</v>
      </c>
      <c r="C1174" s="97">
        <v>2470</v>
      </c>
    </row>
    <row r="1175" spans="1:3">
      <c r="A1175" s="104">
        <v>44581</v>
      </c>
      <c r="B1175" s="96">
        <v>147</v>
      </c>
      <c r="C1175" s="97">
        <v>2470</v>
      </c>
    </row>
    <row r="1176" spans="1:3">
      <c r="A1176" s="104">
        <v>44582</v>
      </c>
      <c r="B1176" s="96">
        <v>150</v>
      </c>
      <c r="C1176" s="97">
        <v>2460</v>
      </c>
    </row>
    <row r="1177" spans="1:3">
      <c r="A1177" s="104">
        <v>44585</v>
      </c>
      <c r="B1177" s="96">
        <v>148</v>
      </c>
      <c r="C1177" s="97">
        <v>2460</v>
      </c>
    </row>
    <row r="1178" spans="1:3">
      <c r="A1178" s="104">
        <v>44586</v>
      </c>
      <c r="B1178" s="96">
        <v>150</v>
      </c>
      <c r="C1178" s="97">
        <v>2460</v>
      </c>
    </row>
    <row r="1179" spans="1:3">
      <c r="A1179" s="104">
        <v>44587</v>
      </c>
      <c r="B1179" s="96">
        <v>150</v>
      </c>
      <c r="C1179" s="97">
        <v>2460</v>
      </c>
    </row>
    <row r="1180" spans="1:3">
      <c r="A1180" s="104">
        <v>44588</v>
      </c>
      <c r="B1180" s="96">
        <v>152</v>
      </c>
      <c r="C1180" s="97">
        <v>2460</v>
      </c>
    </row>
    <row r="1181" spans="1:3">
      <c r="A1181" s="104">
        <v>44589</v>
      </c>
      <c r="B1181" s="96">
        <v>151</v>
      </c>
      <c r="C1181" s="97">
        <v>2460</v>
      </c>
    </row>
    <row r="1182" spans="1:3">
      <c r="A1182" s="104">
        <v>44590</v>
      </c>
      <c r="B1182" s="96">
        <v>151</v>
      </c>
      <c r="C1182" s="97">
        <v>2460</v>
      </c>
    </row>
    <row r="1183" spans="1:3">
      <c r="A1183" s="104">
        <v>44591</v>
      </c>
      <c r="B1183" s="96">
        <v>150</v>
      </c>
      <c r="C1183" s="97">
        <v>2460</v>
      </c>
    </row>
    <row r="1184" spans="1:3">
      <c r="A1184" s="104">
        <v>44599</v>
      </c>
      <c r="B1184" s="96">
        <v>144</v>
      </c>
      <c r="C1184" s="97">
        <v>2470</v>
      </c>
    </row>
    <row r="1185" spans="1:3">
      <c r="A1185" s="104">
        <v>44600</v>
      </c>
      <c r="B1185" s="96">
        <v>144</v>
      </c>
      <c r="C1185" s="97">
        <v>2470</v>
      </c>
    </row>
    <row r="1186" spans="1:3">
      <c r="A1186" s="104">
        <v>44601</v>
      </c>
      <c r="B1186" s="96">
        <v>146</v>
      </c>
      <c r="C1186" s="97">
        <v>2470</v>
      </c>
    </row>
    <row r="1187" spans="1:3">
      <c r="A1187" s="104">
        <v>44602</v>
      </c>
      <c r="B1187" s="96">
        <v>147</v>
      </c>
      <c r="C1187" s="97">
        <v>2480</v>
      </c>
    </row>
    <row r="1188" spans="1:3">
      <c r="A1188" s="104">
        <v>44603</v>
      </c>
      <c r="B1188" s="96">
        <v>145</v>
      </c>
      <c r="C1188" s="97">
        <v>2490</v>
      </c>
    </row>
    <row r="1189" spans="1:3">
      <c r="A1189" s="104">
        <v>44606</v>
      </c>
      <c r="B1189" s="96">
        <v>138</v>
      </c>
      <c r="C1189" s="97">
        <v>2490</v>
      </c>
    </row>
    <row r="1190" spans="1:3">
      <c r="A1190" s="104">
        <v>44607</v>
      </c>
      <c r="B1190" s="96">
        <v>135</v>
      </c>
      <c r="C1190" s="97">
        <v>2490</v>
      </c>
    </row>
    <row r="1191" spans="1:3">
      <c r="A1191" s="104">
        <v>44608</v>
      </c>
      <c r="B1191" s="96">
        <v>134</v>
      </c>
      <c r="C1191" s="97">
        <v>2490</v>
      </c>
    </row>
    <row r="1192" spans="1:3">
      <c r="A1192" s="104">
        <v>44609</v>
      </c>
      <c r="B1192" s="96">
        <v>133</v>
      </c>
      <c r="C1192" s="97">
        <v>2490</v>
      </c>
    </row>
    <row r="1193" spans="1:3">
      <c r="A1193" s="104">
        <v>44610</v>
      </c>
      <c r="B1193" s="96">
        <v>142</v>
      </c>
      <c r="C1193" s="97">
        <v>2530</v>
      </c>
    </row>
    <row r="1194" spans="1:3">
      <c r="A1194" s="104">
        <v>44613</v>
      </c>
      <c r="B1194" s="96">
        <v>134</v>
      </c>
      <c r="C1194" s="97">
        <v>2550</v>
      </c>
    </row>
    <row r="1195" spans="1:3">
      <c r="A1195" s="104">
        <v>44614</v>
      </c>
      <c r="B1195" s="96">
        <v>132</v>
      </c>
      <c r="C1195" s="97">
        <v>2570</v>
      </c>
    </row>
    <row r="1196" spans="1:3">
      <c r="A1196" s="104">
        <v>44615</v>
      </c>
      <c r="B1196" s="96">
        <v>133</v>
      </c>
      <c r="C1196" s="97">
        <v>2620</v>
      </c>
    </row>
    <row r="1197" spans="1:3">
      <c r="A1197" s="104">
        <v>44616</v>
      </c>
      <c r="B1197" s="96">
        <v>133</v>
      </c>
      <c r="C1197" s="97">
        <v>2620</v>
      </c>
    </row>
    <row r="1198" spans="1:3">
      <c r="A1198" s="104">
        <v>44617</v>
      </c>
      <c r="B1198" s="96">
        <v>133</v>
      </c>
      <c r="C1198" s="97">
        <v>2620</v>
      </c>
    </row>
    <row r="1199" spans="1:3">
      <c r="A1199" s="104">
        <v>44620</v>
      </c>
      <c r="B1199" s="96">
        <v>131</v>
      </c>
      <c r="C1199" s="97">
        <v>2880</v>
      </c>
    </row>
    <row r="1200" spans="1:3">
      <c r="A1200" s="104">
        <v>44621</v>
      </c>
      <c r="B1200" s="96">
        <v>129</v>
      </c>
      <c r="C1200" s="97">
        <v>3000</v>
      </c>
    </row>
    <row r="1201" spans="1:3">
      <c r="A1201" s="104">
        <v>44622</v>
      </c>
      <c r="B1201" s="96">
        <v>129</v>
      </c>
      <c r="C1201" s="97">
        <v>2960</v>
      </c>
    </row>
    <row r="1202" spans="1:3">
      <c r="A1202" s="104">
        <v>44623</v>
      </c>
      <c r="B1202" s="96">
        <v>130</v>
      </c>
      <c r="C1202" s="97">
        <v>3000</v>
      </c>
    </row>
    <row r="1203" spans="1:3">
      <c r="A1203" s="104">
        <v>44624</v>
      </c>
      <c r="B1203" s="96">
        <v>130</v>
      </c>
      <c r="C1203" s="97">
        <v>3000</v>
      </c>
    </row>
    <row r="1204" spans="1:3">
      <c r="A1204" s="104">
        <v>44627</v>
      </c>
      <c r="B1204" s="96">
        <v>128</v>
      </c>
      <c r="C1204" s="97">
        <v>3000</v>
      </c>
    </row>
    <row r="1205" spans="1:3">
      <c r="A1205" s="104">
        <v>44628</v>
      </c>
      <c r="B1205" s="96">
        <v>126</v>
      </c>
      <c r="C1205" s="97">
        <v>3030</v>
      </c>
    </row>
    <row r="1206" spans="1:3">
      <c r="A1206" s="104">
        <v>44629</v>
      </c>
      <c r="B1206" s="96">
        <v>126</v>
      </c>
      <c r="C1206" s="97">
        <v>3200</v>
      </c>
    </row>
    <row r="1207" spans="1:3">
      <c r="A1207" s="104">
        <v>44630</v>
      </c>
      <c r="B1207" s="96">
        <v>125</v>
      </c>
      <c r="C1207" s="97">
        <v>3250</v>
      </c>
    </row>
    <row r="1208" spans="1:3">
      <c r="A1208" s="104">
        <v>44631</v>
      </c>
      <c r="B1208" s="96">
        <v>125</v>
      </c>
      <c r="C1208" s="97">
        <v>3500</v>
      </c>
    </row>
    <row r="1209" spans="1:3">
      <c r="A1209" s="104">
        <v>44634</v>
      </c>
      <c r="B1209" s="96">
        <v>131</v>
      </c>
      <c r="C1209" s="97">
        <v>3450</v>
      </c>
    </row>
    <row r="1210" spans="1:3">
      <c r="A1210" s="104">
        <v>44635</v>
      </c>
      <c r="B1210" s="96">
        <v>131</v>
      </c>
      <c r="C1210" s="97">
        <v>3400</v>
      </c>
    </row>
    <row r="1211" spans="1:3">
      <c r="A1211" s="104">
        <v>44636</v>
      </c>
      <c r="B1211" s="96">
        <v>131</v>
      </c>
      <c r="C1211" s="97">
        <v>3400</v>
      </c>
    </row>
    <row r="1212" spans="1:3">
      <c r="A1212" s="104">
        <v>44637</v>
      </c>
      <c r="B1212" s="96">
        <v>129</v>
      </c>
      <c r="C1212" s="97">
        <v>3265</v>
      </c>
    </row>
    <row r="1213" spans="1:3">
      <c r="A1213" s="104">
        <v>44638</v>
      </c>
      <c r="B1213" s="96">
        <v>127</v>
      </c>
      <c r="C1213" s="97">
        <v>3250</v>
      </c>
    </row>
    <row r="1214" spans="1:3">
      <c r="A1214" s="104">
        <v>44641</v>
      </c>
      <c r="B1214" s="96">
        <v>125</v>
      </c>
      <c r="C1214" s="97">
        <v>3350</v>
      </c>
    </row>
    <row r="1215" spans="1:3">
      <c r="A1215" s="104">
        <v>44642</v>
      </c>
      <c r="B1215" s="96">
        <v>124</v>
      </c>
      <c r="C1215" s="97">
        <v>3350</v>
      </c>
    </row>
    <row r="1216" spans="1:3">
      <c r="A1216" s="104">
        <v>44643</v>
      </c>
      <c r="B1216" s="96">
        <v>125</v>
      </c>
      <c r="C1216" s="97">
        <v>3350</v>
      </c>
    </row>
    <row r="1217" spans="1:3">
      <c r="A1217" s="104">
        <v>44644</v>
      </c>
      <c r="B1217" s="96">
        <v>125</v>
      </c>
      <c r="C1217" s="97">
        <v>3325</v>
      </c>
    </row>
    <row r="1218" spans="1:3">
      <c r="A1218" s="104">
        <v>44645</v>
      </c>
      <c r="B1218" s="96">
        <v>123</v>
      </c>
      <c r="C1218" s="97">
        <v>3350</v>
      </c>
    </row>
    <row r="1219" spans="1:3">
      <c r="A1219" s="104">
        <v>44648</v>
      </c>
      <c r="B1219" s="96">
        <v>122</v>
      </c>
      <c r="C1219" s="97">
        <v>3370</v>
      </c>
    </row>
    <row r="1220" spans="1:3">
      <c r="A1220" s="104">
        <v>44649</v>
      </c>
      <c r="B1220" s="96">
        <v>126</v>
      </c>
      <c r="C1220" s="97">
        <v>3390</v>
      </c>
    </row>
    <row r="1221" spans="1:3">
      <c r="A1221" s="104">
        <v>44650</v>
      </c>
      <c r="B1221" s="96">
        <v>126</v>
      </c>
      <c r="C1221" s="97">
        <v>3400</v>
      </c>
    </row>
    <row r="1222" spans="1:3">
      <c r="A1222" s="104">
        <v>44651</v>
      </c>
      <c r="B1222" s="96">
        <v>125</v>
      </c>
      <c r="C1222" s="97">
        <v>3400</v>
      </c>
    </row>
    <row r="1223" spans="1:3">
      <c r="A1223" s="104">
        <v>44652</v>
      </c>
      <c r="B1223" s="96">
        <v>125</v>
      </c>
      <c r="C1223" s="97">
        <v>3400</v>
      </c>
    </row>
    <row r="1224" spans="1:3">
      <c r="A1224" s="104">
        <v>44653</v>
      </c>
      <c r="B1224" s="96">
        <v>125</v>
      </c>
      <c r="C1224" s="97">
        <v>3400</v>
      </c>
    </row>
    <row r="1225" spans="1:3">
      <c r="A1225" s="104">
        <v>44657</v>
      </c>
      <c r="B1225" s="96">
        <v>123</v>
      </c>
      <c r="C1225" s="97">
        <v>3390</v>
      </c>
    </row>
    <row r="1226" spans="1:3">
      <c r="A1226" s="104">
        <v>44658</v>
      </c>
      <c r="B1226" s="96">
        <v>125</v>
      </c>
      <c r="C1226" s="97">
        <v>3390</v>
      </c>
    </row>
    <row r="1227" spans="1:3">
      <c r="A1227" s="104">
        <v>44659</v>
      </c>
      <c r="B1227" s="96">
        <v>125</v>
      </c>
      <c r="C1227" s="97">
        <v>3390</v>
      </c>
    </row>
    <row r="1228" spans="1:3">
      <c r="A1228" s="104">
        <v>44662</v>
      </c>
      <c r="B1228" s="96">
        <v>128</v>
      </c>
      <c r="C1228" s="97">
        <v>3390</v>
      </c>
    </row>
    <row r="1229" spans="1:3">
      <c r="A1229" s="104">
        <v>44663</v>
      </c>
      <c r="B1229" s="96">
        <v>128</v>
      </c>
      <c r="C1229" s="97">
        <v>3390</v>
      </c>
    </row>
    <row r="1230" spans="1:3">
      <c r="A1230" s="104">
        <v>44664</v>
      </c>
      <c r="B1230" s="96">
        <v>128</v>
      </c>
      <c r="C1230" s="97">
        <v>3340</v>
      </c>
    </row>
    <row r="1231" spans="1:3">
      <c r="A1231" s="104">
        <v>44665</v>
      </c>
      <c r="B1231" s="96">
        <v>125</v>
      </c>
      <c r="C1231" s="97">
        <v>3460</v>
      </c>
    </row>
    <row r="1232" spans="1:3">
      <c r="A1232" s="104">
        <v>44666</v>
      </c>
      <c r="B1232" s="96">
        <v>122</v>
      </c>
      <c r="C1232" s="97">
        <v>3460</v>
      </c>
    </row>
    <row r="1233" spans="1:3">
      <c r="A1233" s="104">
        <v>44669</v>
      </c>
      <c r="B1233" s="96">
        <v>121</v>
      </c>
      <c r="C1233" s="97">
        <v>3460</v>
      </c>
    </row>
    <row r="1234" spans="1:3">
      <c r="A1234" s="104">
        <v>44670</v>
      </c>
      <c r="B1234" s="96">
        <v>122</v>
      </c>
      <c r="C1234" s="97">
        <v>3470</v>
      </c>
    </row>
    <row r="1235" spans="1:3">
      <c r="A1235" s="104">
        <v>44671</v>
      </c>
      <c r="B1235" s="96">
        <v>123</v>
      </c>
      <c r="C1235" s="97">
        <v>3490</v>
      </c>
    </row>
    <row r="1236" spans="1:3">
      <c r="A1236" s="104">
        <v>44672</v>
      </c>
      <c r="B1236" s="96">
        <v>124</v>
      </c>
      <c r="C1236" s="97">
        <v>3520</v>
      </c>
    </row>
    <row r="1237" spans="1:3">
      <c r="A1237" s="104">
        <v>44673</v>
      </c>
      <c r="B1237" s="96">
        <v>125</v>
      </c>
      <c r="C1237" s="97">
        <v>3560</v>
      </c>
    </row>
    <row r="1238" spans="1:3">
      <c r="A1238" s="104">
        <v>44675</v>
      </c>
      <c r="B1238" s="96">
        <v>123</v>
      </c>
      <c r="C1238" s="97">
        <v>3560</v>
      </c>
    </row>
    <row r="1239" spans="1:3">
      <c r="A1239" s="104">
        <v>44676</v>
      </c>
      <c r="B1239" s="96">
        <v>123</v>
      </c>
      <c r="C1239" s="97">
        <v>3585</v>
      </c>
    </row>
    <row r="1240" spans="1:3">
      <c r="A1240" s="104">
        <v>44677</v>
      </c>
      <c r="B1240" s="96">
        <v>121</v>
      </c>
      <c r="C1240" s="97">
        <v>3630</v>
      </c>
    </row>
    <row r="1241" spans="1:3">
      <c r="A1241" s="104">
        <v>44678</v>
      </c>
      <c r="B1241" s="96">
        <v>121</v>
      </c>
      <c r="C1241" s="97">
        <v>3680</v>
      </c>
    </row>
    <row r="1242" spans="1:3">
      <c r="A1242" s="104">
        <v>44679</v>
      </c>
      <c r="B1242" s="96">
        <v>118</v>
      </c>
      <c r="C1242" s="97">
        <v>3750</v>
      </c>
    </row>
    <row r="1243" spans="1:3">
      <c r="A1243" s="104">
        <v>44680</v>
      </c>
      <c r="B1243" s="96">
        <v>118</v>
      </c>
      <c r="C1243" s="97">
        <v>3870</v>
      </c>
    </row>
    <row r="1244" spans="1:3">
      <c r="A1244" s="104">
        <v>44686</v>
      </c>
      <c r="B1244" s="96">
        <v>126</v>
      </c>
      <c r="C1244" s="97">
        <v>3930</v>
      </c>
    </row>
    <row r="1245" spans="1:3">
      <c r="A1245" s="104">
        <v>44687</v>
      </c>
      <c r="B1245" s="96">
        <v>125</v>
      </c>
      <c r="C1245" s="97">
        <v>3950</v>
      </c>
    </row>
    <row r="1246" spans="1:3">
      <c r="A1246" s="104">
        <v>44688</v>
      </c>
      <c r="B1246" s="96">
        <v>130</v>
      </c>
      <c r="C1246" s="97">
        <v>3960</v>
      </c>
    </row>
    <row r="1247" spans="1:3">
      <c r="A1247" s="104">
        <v>44690</v>
      </c>
      <c r="B1247" s="96">
        <v>130</v>
      </c>
      <c r="C1247" s="97">
        <v>4000</v>
      </c>
    </row>
    <row r="1248" spans="1:3">
      <c r="A1248" s="104">
        <v>44691</v>
      </c>
      <c r="B1248" s="96">
        <v>130</v>
      </c>
      <c r="C1248" s="97">
        <v>4050</v>
      </c>
    </row>
    <row r="1249" spans="1:3">
      <c r="A1249" s="104">
        <v>44692</v>
      </c>
      <c r="B1249" s="96">
        <v>131</v>
      </c>
      <c r="C1249" s="97">
        <v>4100</v>
      </c>
    </row>
    <row r="1250" spans="1:3">
      <c r="A1250" s="104">
        <v>44693</v>
      </c>
      <c r="B1250" s="96">
        <v>140</v>
      </c>
      <c r="C1250" s="97">
        <v>4100</v>
      </c>
    </row>
    <row r="1251" spans="1:3">
      <c r="A1251" s="104">
        <v>44694</v>
      </c>
      <c r="B1251" s="96">
        <v>139</v>
      </c>
      <c r="C1251" s="97">
        <v>4100</v>
      </c>
    </row>
    <row r="1252" spans="1:3">
      <c r="A1252" s="104">
        <v>44697</v>
      </c>
      <c r="B1252" s="96">
        <v>142</v>
      </c>
      <c r="C1252" s="97">
        <v>4100</v>
      </c>
    </row>
    <row r="1253" spans="1:3">
      <c r="A1253" s="104">
        <v>44698</v>
      </c>
      <c r="B1253" s="96">
        <v>140</v>
      </c>
      <c r="C1253" s="97">
        <v>4085</v>
      </c>
    </row>
    <row r="1254" spans="1:3">
      <c r="A1254" s="104">
        <v>44699</v>
      </c>
      <c r="B1254" s="96">
        <v>137</v>
      </c>
      <c r="C1254" s="97">
        <v>4085</v>
      </c>
    </row>
    <row r="1255" spans="1:3">
      <c r="A1255" s="104">
        <v>44700</v>
      </c>
      <c r="B1255" s="96">
        <v>140</v>
      </c>
      <c r="C1255" s="97">
        <v>4085</v>
      </c>
    </row>
    <row r="1256" spans="1:3">
      <c r="A1256" s="104">
        <v>44701</v>
      </c>
      <c r="B1256" s="96">
        <v>139</v>
      </c>
      <c r="C1256" s="97">
        <v>4080</v>
      </c>
    </row>
    <row r="1257" spans="1:3">
      <c r="A1257" s="104">
        <v>44704</v>
      </c>
      <c r="B1257" s="96">
        <v>136</v>
      </c>
      <c r="C1257" s="97">
        <v>4050</v>
      </c>
    </row>
    <row r="1258" spans="1:3">
      <c r="A1258" s="104">
        <v>44705</v>
      </c>
      <c r="B1258" s="96">
        <v>136</v>
      </c>
      <c r="C1258" s="97">
        <v>4030</v>
      </c>
    </row>
    <row r="1259" spans="1:3">
      <c r="A1259" s="104">
        <v>44706</v>
      </c>
      <c r="B1259" s="96">
        <v>134</v>
      </c>
      <c r="C1259" s="97">
        <v>4020</v>
      </c>
    </row>
    <row r="1260" spans="1:3">
      <c r="A1260" s="104">
        <v>44707</v>
      </c>
      <c r="B1260" s="96">
        <v>131</v>
      </c>
      <c r="C1260" s="97">
        <v>4020</v>
      </c>
    </row>
    <row r="1261" spans="1:3">
      <c r="A1261" s="104">
        <v>44708</v>
      </c>
      <c r="B1261" s="96">
        <v>129</v>
      </c>
      <c r="C1261" s="97">
        <v>4000</v>
      </c>
    </row>
    <row r="1262" spans="1:3">
      <c r="A1262" s="104">
        <v>44711</v>
      </c>
      <c r="B1262" s="96">
        <v>127</v>
      </c>
      <c r="C1262" s="97">
        <v>4000</v>
      </c>
    </row>
    <row r="1263" spans="1:3">
      <c r="A1263" s="104">
        <v>44712</v>
      </c>
      <c r="B1263" s="96">
        <v>130</v>
      </c>
      <c r="C1263" s="97">
        <v>3990</v>
      </c>
    </row>
    <row r="1264" spans="1:3">
      <c r="A1264" s="104">
        <v>44713</v>
      </c>
      <c r="B1264" s="96">
        <v>133</v>
      </c>
      <c r="C1264" s="97">
        <v>3990</v>
      </c>
    </row>
    <row r="1265" spans="1:3">
      <c r="A1265" s="104">
        <v>44714</v>
      </c>
      <c r="B1265" s="96">
        <v>131</v>
      </c>
      <c r="C1265" s="97">
        <v>3980</v>
      </c>
    </row>
    <row r="1266" spans="1:3">
      <c r="A1266" s="104">
        <v>44718</v>
      </c>
      <c r="B1266" s="96">
        <v>130</v>
      </c>
      <c r="C1266" s="97">
        <v>3940</v>
      </c>
    </row>
    <row r="1267" spans="1:3">
      <c r="A1267" s="104">
        <v>44719</v>
      </c>
      <c r="B1267" s="96">
        <v>129</v>
      </c>
      <c r="C1267" s="97">
        <v>3900</v>
      </c>
    </row>
    <row r="1268" spans="1:3">
      <c r="A1268" s="104">
        <v>44720</v>
      </c>
      <c r="B1268" s="96">
        <v>126</v>
      </c>
      <c r="C1268" s="97">
        <v>3720</v>
      </c>
    </row>
    <row r="1269" spans="1:3">
      <c r="A1269" s="104">
        <v>44721</v>
      </c>
      <c r="B1269" s="96">
        <v>138</v>
      </c>
      <c r="C1269" s="97">
        <v>3750</v>
      </c>
    </row>
    <row r="1270" spans="1:3">
      <c r="A1270" s="104">
        <v>44722</v>
      </c>
      <c r="B1270" s="96">
        <v>138</v>
      </c>
      <c r="C1270" s="97">
        <v>3750</v>
      </c>
    </row>
    <row r="1271" spans="1:3">
      <c r="A1271" s="104">
        <v>44725</v>
      </c>
      <c r="B1271" s="96">
        <v>137</v>
      </c>
      <c r="C1271" s="97">
        <v>3770</v>
      </c>
    </row>
    <row r="1272" spans="1:3">
      <c r="A1272" s="104">
        <v>44726</v>
      </c>
      <c r="B1272" s="96">
        <v>137</v>
      </c>
      <c r="C1272" s="97">
        <v>3700</v>
      </c>
    </row>
    <row r="1273" spans="1:3">
      <c r="A1273" s="104">
        <v>44727</v>
      </c>
      <c r="B1273" s="96">
        <v>136</v>
      </c>
      <c r="C1273" s="97">
        <v>3600</v>
      </c>
    </row>
    <row r="1274" spans="1:3">
      <c r="A1274" s="104">
        <v>44728</v>
      </c>
      <c r="B1274" s="96">
        <v>136</v>
      </c>
      <c r="C1274" s="97">
        <v>3600</v>
      </c>
    </row>
    <row r="1275" spans="1:3">
      <c r="A1275" s="104">
        <v>44729</v>
      </c>
      <c r="B1275" s="96">
        <v>135</v>
      </c>
      <c r="C1275" s="97">
        <v>3580</v>
      </c>
    </row>
    <row r="1276" spans="1:3">
      <c r="A1276" s="104">
        <v>44732</v>
      </c>
      <c r="B1276" s="96">
        <v>133</v>
      </c>
      <c r="C1276" s="97">
        <v>3500</v>
      </c>
    </row>
    <row r="1277" spans="1:3">
      <c r="A1277" s="104">
        <v>44733</v>
      </c>
      <c r="B1277" s="96">
        <v>137</v>
      </c>
      <c r="C1277" s="97">
        <v>3450</v>
      </c>
    </row>
    <row r="1278" spans="1:3">
      <c r="A1278" s="104">
        <v>44734</v>
      </c>
      <c r="B1278" s="96">
        <v>151</v>
      </c>
      <c r="C1278" s="97">
        <v>3300</v>
      </c>
    </row>
    <row r="1279" spans="1:3">
      <c r="A1279" s="104">
        <v>44735</v>
      </c>
      <c r="B1279" s="96">
        <v>155</v>
      </c>
      <c r="C1279" s="97">
        <v>3300</v>
      </c>
    </row>
    <row r="1280" spans="1:3">
      <c r="A1280" s="104">
        <v>44736</v>
      </c>
      <c r="B1280" s="96">
        <v>154</v>
      </c>
      <c r="C1280" s="97">
        <v>3300</v>
      </c>
    </row>
    <row r="1281" spans="1:3">
      <c r="A1281" s="104">
        <v>44739</v>
      </c>
      <c r="B1281" s="96">
        <v>155</v>
      </c>
      <c r="C1281" s="97">
        <v>3200</v>
      </c>
    </row>
    <row r="1282" spans="1:3">
      <c r="A1282" s="104">
        <v>44740</v>
      </c>
      <c r="B1282" s="96">
        <v>155</v>
      </c>
      <c r="C1282" s="97">
        <v>3000</v>
      </c>
    </row>
    <row r="1283" spans="1:3">
      <c r="A1283" s="104">
        <v>44741</v>
      </c>
      <c r="B1283" s="96">
        <v>155</v>
      </c>
      <c r="C1283" s="97">
        <v>3000</v>
      </c>
    </row>
    <row r="1284" spans="1:3">
      <c r="A1284" s="104">
        <v>44742</v>
      </c>
      <c r="B1284" s="96">
        <v>156</v>
      </c>
      <c r="C1284" s="97">
        <v>3000</v>
      </c>
    </row>
    <row r="1285" spans="1:3">
      <c r="A1285" s="104">
        <v>44743</v>
      </c>
      <c r="B1285" s="96">
        <v>155</v>
      </c>
      <c r="C1285" s="97">
        <v>3000</v>
      </c>
    </row>
    <row r="1286" spans="1:3">
      <c r="A1286" s="104">
        <v>44746</v>
      </c>
      <c r="B1286" s="96">
        <v>153</v>
      </c>
      <c r="C1286" s="97">
        <v>3000</v>
      </c>
    </row>
    <row r="1287" spans="1:3">
      <c r="A1287" s="104">
        <v>44747</v>
      </c>
      <c r="B1287" s="96">
        <v>152</v>
      </c>
      <c r="C1287" s="97">
        <v>3000</v>
      </c>
    </row>
    <row r="1288" spans="1:3">
      <c r="A1288" s="104">
        <v>44748</v>
      </c>
      <c r="B1288" s="96">
        <v>152</v>
      </c>
      <c r="C1288" s="97">
        <v>3000</v>
      </c>
    </row>
    <row r="1289" spans="1:3">
      <c r="A1289" s="104">
        <v>44749</v>
      </c>
      <c r="B1289" s="96">
        <v>154</v>
      </c>
      <c r="C1289" s="97">
        <v>2700</v>
      </c>
    </row>
    <row r="1290" spans="1:3">
      <c r="A1290" s="104">
        <v>44750</v>
      </c>
      <c r="B1290" s="96">
        <v>154</v>
      </c>
      <c r="C1290" s="97">
        <v>2600</v>
      </c>
    </row>
    <row r="1291" spans="1:3">
      <c r="A1291" s="104">
        <v>44753</v>
      </c>
      <c r="B1291" s="96">
        <v>159</v>
      </c>
      <c r="C1291" s="97">
        <v>2200</v>
      </c>
    </row>
    <row r="1292" spans="1:3">
      <c r="A1292" s="104">
        <v>44754</v>
      </c>
      <c r="B1292" s="96">
        <v>159</v>
      </c>
      <c r="C1292" s="97">
        <v>2000</v>
      </c>
    </row>
    <row r="1293" spans="1:3">
      <c r="A1293" s="104">
        <v>44755</v>
      </c>
      <c r="B1293" s="96">
        <v>162</v>
      </c>
      <c r="C1293" s="97">
        <v>1900</v>
      </c>
    </row>
    <row r="1294" spans="1:3">
      <c r="A1294" s="104">
        <v>44756</v>
      </c>
      <c r="B1294" s="96">
        <v>163</v>
      </c>
      <c r="C1294" s="97">
        <v>1800</v>
      </c>
    </row>
    <row r="1295" spans="1:3">
      <c r="A1295" s="104">
        <v>44757</v>
      </c>
      <c r="B1295" s="96">
        <v>163</v>
      </c>
      <c r="C1295" s="97">
        <v>1800</v>
      </c>
    </row>
    <row r="1296" spans="1:3">
      <c r="A1296" s="104">
        <v>44760</v>
      </c>
      <c r="B1296" s="96">
        <v>157</v>
      </c>
      <c r="C1296" s="97">
        <v>1700</v>
      </c>
    </row>
    <row r="1297" spans="1:3">
      <c r="A1297" s="104">
        <v>44761</v>
      </c>
      <c r="B1297" s="96">
        <v>160</v>
      </c>
      <c r="C1297" s="97">
        <v>1600</v>
      </c>
    </row>
    <row r="1298" spans="1:3">
      <c r="A1298" s="104">
        <v>44762</v>
      </c>
      <c r="B1298" s="96">
        <v>159</v>
      </c>
      <c r="C1298" s="97">
        <v>1300</v>
      </c>
    </row>
    <row r="1299" spans="1:3">
      <c r="A1299" s="104">
        <v>44763</v>
      </c>
      <c r="B1299" s="96">
        <v>157</v>
      </c>
      <c r="C1299" s="97">
        <v>1300</v>
      </c>
    </row>
    <row r="1300" spans="1:3">
      <c r="A1300" s="104">
        <v>44764</v>
      </c>
      <c r="B1300" s="96">
        <v>156</v>
      </c>
      <c r="C1300" s="97">
        <v>1200</v>
      </c>
    </row>
    <row r="1301" spans="1:3">
      <c r="A1301" s="104">
        <v>44767</v>
      </c>
      <c r="B1301" s="96">
        <v>158</v>
      </c>
      <c r="C1301" s="97">
        <v>1150</v>
      </c>
    </row>
    <row r="1302" spans="1:3">
      <c r="A1302" s="104">
        <v>44768</v>
      </c>
      <c r="B1302" s="96">
        <v>158</v>
      </c>
      <c r="C1302" s="97">
        <v>1150</v>
      </c>
    </row>
    <row r="1303" spans="1:3">
      <c r="A1303" s="104">
        <v>44769</v>
      </c>
      <c r="B1303" s="96">
        <v>159</v>
      </c>
      <c r="C1303" s="97">
        <v>1050</v>
      </c>
    </row>
    <row r="1304" spans="1:3">
      <c r="A1304" s="104">
        <v>44770</v>
      </c>
      <c r="B1304" s="96">
        <v>159</v>
      </c>
      <c r="C1304" s="97">
        <v>1050</v>
      </c>
    </row>
    <row r="1305" spans="1:3">
      <c r="A1305" s="104">
        <v>44771</v>
      </c>
      <c r="B1305" s="96">
        <v>161</v>
      </c>
      <c r="C1305" s="97">
        <v>1000</v>
      </c>
    </row>
    <row r="1306" spans="1:3">
      <c r="A1306" s="104">
        <v>44774</v>
      </c>
      <c r="B1306" s="96">
        <v>159</v>
      </c>
      <c r="C1306" s="97">
        <v>1000</v>
      </c>
    </row>
    <row r="1307" spans="1:3">
      <c r="A1307" s="104">
        <v>44775</v>
      </c>
      <c r="B1307" s="96">
        <v>157</v>
      </c>
      <c r="C1307" s="97">
        <v>950</v>
      </c>
    </row>
    <row r="1308" spans="1:3">
      <c r="A1308" s="104">
        <v>44776</v>
      </c>
      <c r="B1308" s="96">
        <v>158</v>
      </c>
      <c r="C1308" s="97">
        <v>900</v>
      </c>
    </row>
    <row r="1309" spans="1:3">
      <c r="A1309" s="104">
        <v>44777</v>
      </c>
      <c r="B1309" s="96">
        <v>163</v>
      </c>
      <c r="C1309" s="97">
        <v>900</v>
      </c>
    </row>
    <row r="1310" spans="1:3">
      <c r="A1310" s="104">
        <v>44778</v>
      </c>
      <c r="B1310" s="96">
        <v>162</v>
      </c>
      <c r="C1310" s="97">
        <v>900</v>
      </c>
    </row>
    <row r="1311" spans="1:3">
      <c r="A1311" s="104">
        <v>44781</v>
      </c>
      <c r="B1311" s="96">
        <v>164</v>
      </c>
      <c r="C1311" s="97">
        <v>900</v>
      </c>
    </row>
    <row r="1312" spans="1:3">
      <c r="A1312" s="104">
        <v>44782</v>
      </c>
      <c r="B1312" s="96">
        <v>164</v>
      </c>
      <c r="C1312" s="97">
        <v>900</v>
      </c>
    </row>
    <row r="1313" spans="1:3">
      <c r="A1313" s="104">
        <v>44783</v>
      </c>
      <c r="B1313" s="96">
        <v>165</v>
      </c>
      <c r="C1313" s="97">
        <v>950</v>
      </c>
    </row>
    <row r="1314" spans="1:3">
      <c r="A1314" s="104">
        <v>44784</v>
      </c>
      <c r="B1314" s="96">
        <v>166</v>
      </c>
      <c r="C1314" s="97">
        <v>1000</v>
      </c>
    </row>
    <row r="1315" spans="1:3">
      <c r="A1315" s="104">
        <v>44785</v>
      </c>
      <c r="B1315" s="96">
        <v>165</v>
      </c>
      <c r="C1315" s="97">
        <v>1030</v>
      </c>
    </row>
    <row r="1316" spans="1:3">
      <c r="A1316" s="104">
        <v>44788</v>
      </c>
      <c r="B1316" s="96">
        <v>161</v>
      </c>
      <c r="C1316" s="97">
        <v>1030</v>
      </c>
    </row>
    <row r="1317" spans="1:3">
      <c r="A1317" s="104">
        <v>44789</v>
      </c>
      <c r="B1317" s="96">
        <v>164</v>
      </c>
      <c r="C1317" s="97">
        <v>1040</v>
      </c>
    </row>
    <row r="1318" spans="1:3">
      <c r="A1318" s="104">
        <v>44790</v>
      </c>
      <c r="B1318" s="96">
        <v>163</v>
      </c>
      <c r="C1318" s="97">
        <v>1070</v>
      </c>
    </row>
    <row r="1319" spans="1:3">
      <c r="A1319" s="104">
        <v>44791</v>
      </c>
      <c r="B1319" s="96">
        <v>162</v>
      </c>
      <c r="C1319" s="97">
        <v>1100</v>
      </c>
    </row>
    <row r="1320" spans="1:3">
      <c r="A1320" s="104">
        <v>44792</v>
      </c>
      <c r="B1320" s="96">
        <v>161</v>
      </c>
      <c r="C1320" s="97">
        <v>1100</v>
      </c>
    </row>
    <row r="1321" spans="1:3">
      <c r="A1321" s="104">
        <v>44795</v>
      </c>
      <c r="B1321" s="96">
        <v>160</v>
      </c>
      <c r="C1321" s="97">
        <v>1100</v>
      </c>
    </row>
    <row r="1322" spans="1:3">
      <c r="A1322" s="104">
        <v>44796</v>
      </c>
      <c r="B1322" s="96">
        <v>158</v>
      </c>
      <c r="C1322" s="97">
        <v>1110</v>
      </c>
    </row>
    <row r="1323" spans="1:3">
      <c r="A1323" s="104">
        <v>44797</v>
      </c>
      <c r="B1323" s="96">
        <v>157</v>
      </c>
      <c r="C1323" s="97">
        <v>1150</v>
      </c>
    </row>
    <row r="1324" spans="1:3">
      <c r="A1324" s="104">
        <v>44798</v>
      </c>
      <c r="B1324" s="96">
        <v>155</v>
      </c>
      <c r="C1324" s="97">
        <v>1200</v>
      </c>
    </row>
    <row r="1325" spans="1:3">
      <c r="A1325" s="104">
        <v>44799</v>
      </c>
      <c r="B1325" s="96">
        <v>155</v>
      </c>
      <c r="C1325" s="97">
        <v>1230</v>
      </c>
    </row>
    <row r="1326" spans="1:3">
      <c r="A1326" s="104">
        <v>44802</v>
      </c>
      <c r="B1326" s="96">
        <v>152</v>
      </c>
      <c r="C1326" s="97">
        <v>1230</v>
      </c>
    </row>
    <row r="1327" spans="1:3">
      <c r="A1327" s="104">
        <v>44803</v>
      </c>
      <c r="B1327" s="96">
        <v>154</v>
      </c>
      <c r="C1327" s="97">
        <v>1230</v>
      </c>
    </row>
    <row r="1328" spans="1:3">
      <c r="A1328" s="104">
        <v>44804</v>
      </c>
      <c r="B1328" s="96">
        <v>152</v>
      </c>
      <c r="C1328" s="97">
        <v>1200</v>
      </c>
    </row>
    <row r="1329" spans="1:3">
      <c r="A1329" s="104">
        <v>44805</v>
      </c>
      <c r="B1329" s="96">
        <v>151</v>
      </c>
      <c r="C1329" s="97">
        <v>1150</v>
      </c>
    </row>
    <row r="1330" spans="1:3">
      <c r="A1330" s="104">
        <v>44806</v>
      </c>
      <c r="B1330" s="96">
        <v>151</v>
      </c>
      <c r="C1330" s="97">
        <v>1100</v>
      </c>
    </row>
    <row r="1331" spans="1:3">
      <c r="A1331" s="104">
        <v>44809</v>
      </c>
      <c r="B1331" s="96">
        <v>148</v>
      </c>
      <c r="C1331" s="97">
        <v>1100</v>
      </c>
    </row>
    <row r="1332" spans="1:3">
      <c r="A1332" s="104">
        <v>44810</v>
      </c>
      <c r="B1332" s="96">
        <v>148</v>
      </c>
      <c r="C1332" s="97">
        <v>1100</v>
      </c>
    </row>
    <row r="1333" spans="1:3">
      <c r="A1333" s="104">
        <v>44811</v>
      </c>
      <c r="B1333" s="96">
        <v>147</v>
      </c>
      <c r="C1333" s="97">
        <v>1060</v>
      </c>
    </row>
    <row r="1334" spans="1:3">
      <c r="A1334" s="104">
        <v>44812</v>
      </c>
      <c r="B1334" s="96">
        <v>149</v>
      </c>
      <c r="C1334" s="97">
        <v>1100</v>
      </c>
    </row>
    <row r="1335" spans="1:3">
      <c r="A1335" s="104">
        <v>44813</v>
      </c>
      <c r="B1335" s="96">
        <v>148</v>
      </c>
      <c r="C1335" s="97">
        <v>1130</v>
      </c>
    </row>
    <row r="1336" spans="1:3">
      <c r="A1336" s="104">
        <v>44817</v>
      </c>
      <c r="B1336" s="96">
        <v>151</v>
      </c>
      <c r="C1336" s="97">
        <v>1170</v>
      </c>
    </row>
    <row r="1337" spans="1:3">
      <c r="A1337" s="104">
        <v>44818</v>
      </c>
      <c r="B1337" s="96">
        <v>150</v>
      </c>
      <c r="C1337" s="97">
        <v>1190</v>
      </c>
    </row>
    <row r="1338" spans="1:3">
      <c r="A1338" s="104">
        <v>44819</v>
      </c>
      <c r="B1338" s="96">
        <v>149</v>
      </c>
      <c r="C1338" s="97">
        <v>1200</v>
      </c>
    </row>
    <row r="1339" spans="1:3">
      <c r="A1339" s="104">
        <v>44820</v>
      </c>
      <c r="B1339" s="96">
        <v>148</v>
      </c>
      <c r="C1339" s="97">
        <v>1200</v>
      </c>
    </row>
    <row r="1340" spans="1:3">
      <c r="A1340" s="104">
        <v>44823</v>
      </c>
      <c r="B1340" s="96">
        <v>147</v>
      </c>
      <c r="C1340" s="97">
        <v>1200</v>
      </c>
    </row>
    <row r="1341" spans="1:3">
      <c r="A1341" s="104">
        <v>44824</v>
      </c>
      <c r="B1341" s="96">
        <v>147</v>
      </c>
      <c r="C1341" s="97">
        <v>1200</v>
      </c>
    </row>
    <row r="1342" spans="1:3">
      <c r="A1342" s="104">
        <v>44825</v>
      </c>
      <c r="B1342" s="96">
        <v>145</v>
      </c>
      <c r="C1342" s="97">
        <v>1200</v>
      </c>
    </row>
    <row r="1343" spans="1:3">
      <c r="A1343" s="104">
        <v>44826</v>
      </c>
      <c r="B1343" s="96">
        <v>144</v>
      </c>
      <c r="C1343" s="97">
        <v>1210</v>
      </c>
    </row>
    <row r="1344" spans="1:3">
      <c r="A1344" s="104">
        <v>44827</v>
      </c>
      <c r="B1344" s="96">
        <v>144</v>
      </c>
      <c r="C1344" s="97">
        <v>1250</v>
      </c>
    </row>
    <row r="1345" spans="1:3">
      <c r="A1345" s="104">
        <v>44830</v>
      </c>
      <c r="B1345" s="96">
        <v>142</v>
      </c>
      <c r="C1345" s="97">
        <v>1270</v>
      </c>
    </row>
    <row r="1346" spans="1:3">
      <c r="A1346" s="104">
        <v>44831</v>
      </c>
      <c r="B1346" s="96">
        <v>142</v>
      </c>
      <c r="C1346" s="97">
        <v>1300</v>
      </c>
    </row>
    <row r="1347" spans="1:3">
      <c r="A1347" s="104">
        <v>44832</v>
      </c>
      <c r="B1347" s="96">
        <v>139</v>
      </c>
      <c r="C1347" s="97">
        <v>1300</v>
      </c>
    </row>
    <row r="1348" spans="1:3">
      <c r="A1348" s="104">
        <v>44833</v>
      </c>
      <c r="B1348" s="96">
        <v>140</v>
      </c>
      <c r="C1348" s="97">
        <v>1300</v>
      </c>
    </row>
    <row r="1349" spans="1:3">
      <c r="A1349" s="104">
        <v>44834</v>
      </c>
      <c r="B1349" s="96">
        <v>146</v>
      </c>
      <c r="C1349" s="97">
        <v>1300</v>
      </c>
    </row>
    <row r="1350" spans="1:3">
      <c r="A1350" s="104">
        <v>44842</v>
      </c>
      <c r="B1350" s="96">
        <v>146</v>
      </c>
      <c r="C1350" s="97">
        <v>1300</v>
      </c>
    </row>
    <row r="1351" spans="1:3">
      <c r="A1351" s="104">
        <v>44843</v>
      </c>
      <c r="B1351" s="96">
        <v>146</v>
      </c>
      <c r="C1351" s="97">
        <v>1300</v>
      </c>
    </row>
    <row r="1352" spans="1:3">
      <c r="A1352" s="104">
        <v>44844</v>
      </c>
      <c r="B1352" s="96">
        <v>150</v>
      </c>
      <c r="C1352" s="97">
        <v>1350</v>
      </c>
    </row>
    <row r="1353" spans="1:3">
      <c r="A1353" s="104">
        <v>44845</v>
      </c>
      <c r="B1353" s="96">
        <v>150</v>
      </c>
      <c r="C1353" s="97">
        <v>1360</v>
      </c>
    </row>
    <row r="1354" spans="1:3">
      <c r="A1354" s="104">
        <v>44846</v>
      </c>
      <c r="B1354" s="96">
        <v>156</v>
      </c>
      <c r="C1354" s="97">
        <v>1400</v>
      </c>
    </row>
    <row r="1355" spans="1:3">
      <c r="A1355" s="104">
        <v>44847</v>
      </c>
      <c r="B1355" s="96">
        <v>154</v>
      </c>
      <c r="C1355" s="97">
        <v>1420</v>
      </c>
    </row>
    <row r="1356" spans="1:3">
      <c r="A1356" s="104">
        <v>44848</v>
      </c>
      <c r="B1356" s="96">
        <v>153</v>
      </c>
      <c r="C1356" s="97">
        <v>1450</v>
      </c>
    </row>
    <row r="1357" spans="1:3">
      <c r="A1357" s="104">
        <v>44851</v>
      </c>
      <c r="B1357" s="96">
        <v>150</v>
      </c>
      <c r="C1357" s="97">
        <v>1450</v>
      </c>
    </row>
    <row r="1358" spans="1:3">
      <c r="A1358" s="104">
        <v>44852</v>
      </c>
      <c r="B1358" s="96">
        <v>150</v>
      </c>
      <c r="C1358" s="97">
        <v>1495</v>
      </c>
    </row>
    <row r="1359" spans="1:3">
      <c r="A1359" s="104">
        <v>44853</v>
      </c>
      <c r="B1359" s="96">
        <v>147</v>
      </c>
      <c r="C1359" s="97">
        <v>1530</v>
      </c>
    </row>
    <row r="1360" spans="1:3">
      <c r="A1360" s="104">
        <v>44854</v>
      </c>
      <c r="B1360" s="96">
        <v>150</v>
      </c>
      <c r="C1360" s="97">
        <v>1570</v>
      </c>
    </row>
    <row r="1361" spans="1:3">
      <c r="A1361" s="104">
        <v>44855</v>
      </c>
      <c r="B1361" s="96">
        <v>150</v>
      </c>
      <c r="C1361" s="97">
        <v>1570</v>
      </c>
    </row>
    <row r="1362" spans="1:3">
      <c r="A1362" s="104">
        <v>44858</v>
      </c>
      <c r="B1362" s="96">
        <v>157</v>
      </c>
      <c r="C1362" s="97">
        <v>1570</v>
      </c>
    </row>
    <row r="1363" spans="1:3">
      <c r="A1363" s="104">
        <v>44859</v>
      </c>
      <c r="B1363" s="96">
        <v>156</v>
      </c>
      <c r="C1363" s="97">
        <v>1550</v>
      </c>
    </row>
    <row r="1364" spans="1:3">
      <c r="A1364" s="104">
        <v>44860</v>
      </c>
      <c r="B1364" s="96">
        <v>156</v>
      </c>
      <c r="C1364" s="97">
        <v>1530</v>
      </c>
    </row>
    <row r="1365" spans="1:3">
      <c r="A1365" s="104">
        <v>44861</v>
      </c>
      <c r="B1365" s="96">
        <v>154</v>
      </c>
      <c r="C1365" s="97">
        <v>1480</v>
      </c>
    </row>
    <row r="1366" spans="1:3">
      <c r="A1366" s="104">
        <v>44862</v>
      </c>
      <c r="B1366" s="96">
        <v>152</v>
      </c>
      <c r="C1366" s="97">
        <v>1500</v>
      </c>
    </row>
    <row r="1367" spans="1:3">
      <c r="A1367" s="104">
        <v>44865</v>
      </c>
      <c r="B1367" s="96">
        <v>153</v>
      </c>
      <c r="C1367" s="97">
        <v>1520</v>
      </c>
    </row>
    <row r="1368" spans="1:3">
      <c r="A1368" s="104">
        <v>44866</v>
      </c>
      <c r="B1368" s="96">
        <v>153</v>
      </c>
      <c r="C1368" s="97">
        <v>1560</v>
      </c>
    </row>
    <row r="1369" spans="1:3">
      <c r="A1369" s="104">
        <v>44867</v>
      </c>
      <c r="B1369" s="96">
        <v>156</v>
      </c>
      <c r="C1369" s="97">
        <v>1570</v>
      </c>
    </row>
    <row r="1370" spans="1:3">
      <c r="A1370" s="104">
        <v>44868</v>
      </c>
      <c r="B1370" s="96">
        <v>151</v>
      </c>
      <c r="C1370" s="97">
        <v>1580</v>
      </c>
    </row>
    <row r="1371" spans="1:3">
      <c r="A1371" s="104">
        <v>44869</v>
      </c>
      <c r="B1371" s="96">
        <v>151</v>
      </c>
      <c r="C1371" s="97">
        <v>1600</v>
      </c>
    </row>
    <row r="1372" spans="1:3">
      <c r="A1372" s="104">
        <v>44872</v>
      </c>
      <c r="B1372" s="96">
        <v>156</v>
      </c>
      <c r="C1372" s="97">
        <v>1610</v>
      </c>
    </row>
    <row r="1373" spans="1:3">
      <c r="A1373" s="104">
        <v>44873</v>
      </c>
      <c r="B1373" s="96">
        <v>154</v>
      </c>
      <c r="C1373" s="97">
        <v>1610</v>
      </c>
    </row>
    <row r="1374" spans="1:3">
      <c r="A1374" s="104">
        <v>44874</v>
      </c>
      <c r="B1374" s="96">
        <v>153</v>
      </c>
      <c r="C1374" s="97">
        <v>1580</v>
      </c>
    </row>
    <row r="1375" spans="1:3">
      <c r="A1375" s="104">
        <v>44875</v>
      </c>
      <c r="B1375" s="96">
        <v>151</v>
      </c>
      <c r="C1375" s="97">
        <v>1590</v>
      </c>
    </row>
    <row r="1376" spans="1:3">
      <c r="A1376" s="104">
        <v>44876</v>
      </c>
      <c r="B1376" s="96">
        <v>151</v>
      </c>
      <c r="C1376" s="97">
        <v>1600</v>
      </c>
    </row>
    <row r="1377" spans="1:3">
      <c r="A1377" s="104">
        <v>44879</v>
      </c>
      <c r="B1377" s="96">
        <v>152</v>
      </c>
      <c r="C1377" s="97">
        <v>1640</v>
      </c>
    </row>
    <row r="1378" spans="1:3">
      <c r="A1378" s="104">
        <v>44880</v>
      </c>
      <c r="B1378" s="96">
        <v>155</v>
      </c>
      <c r="C1378" s="97">
        <v>1660</v>
      </c>
    </row>
    <row r="1379" spans="1:3">
      <c r="A1379" s="104">
        <v>44881</v>
      </c>
      <c r="B1379" s="96">
        <v>159</v>
      </c>
      <c r="C1379" s="97">
        <v>1700</v>
      </c>
    </row>
    <row r="1380" spans="1:3">
      <c r="A1380" s="104">
        <v>44882</v>
      </c>
      <c r="B1380" s="96">
        <v>158</v>
      </c>
      <c r="C1380" s="97">
        <v>1750</v>
      </c>
    </row>
    <row r="1381" spans="1:3">
      <c r="A1381" s="104">
        <v>44883</v>
      </c>
      <c r="B1381" s="96">
        <v>160</v>
      </c>
      <c r="C1381" s="97">
        <v>1750</v>
      </c>
    </row>
    <row r="1382" spans="1:3">
      <c r="A1382" s="104">
        <v>44886</v>
      </c>
      <c r="B1382" s="96">
        <v>160</v>
      </c>
      <c r="C1382" s="97">
        <v>1740</v>
      </c>
    </row>
    <row r="1383" spans="1:3">
      <c r="A1383" s="104">
        <v>44887</v>
      </c>
      <c r="B1383" s="96">
        <v>158</v>
      </c>
      <c r="C1383" s="97">
        <v>1730</v>
      </c>
    </row>
    <row r="1384" spans="1:3">
      <c r="A1384" s="104">
        <v>44888</v>
      </c>
      <c r="B1384" s="96">
        <v>157</v>
      </c>
      <c r="C1384" s="97">
        <v>1700</v>
      </c>
    </row>
    <row r="1385" spans="1:3">
      <c r="A1385" s="104">
        <v>44889</v>
      </c>
      <c r="B1385" s="96">
        <v>157</v>
      </c>
      <c r="C1385" s="97">
        <v>1690</v>
      </c>
    </row>
    <row r="1386" spans="1:3">
      <c r="A1386" s="104">
        <v>44890</v>
      </c>
      <c r="B1386" s="96">
        <v>157</v>
      </c>
      <c r="C1386" s="97">
        <v>1690</v>
      </c>
    </row>
    <row r="1387" spans="1:3">
      <c r="A1387" s="104">
        <v>44893</v>
      </c>
      <c r="B1387" s="96">
        <v>155</v>
      </c>
      <c r="C1387" s="97">
        <v>1690</v>
      </c>
    </row>
    <row r="1388" spans="1:3">
      <c r="A1388" s="104">
        <v>44894</v>
      </c>
      <c r="B1388" s="96">
        <v>154</v>
      </c>
      <c r="C1388" s="97">
        <v>1690</v>
      </c>
    </row>
    <row r="1389" spans="1:3">
      <c r="A1389" s="104">
        <v>44895</v>
      </c>
      <c r="B1389" s="96">
        <v>151</v>
      </c>
      <c r="C1389" s="97">
        <v>1690</v>
      </c>
    </row>
    <row r="1390" spans="1:3">
      <c r="A1390" s="104">
        <v>44896</v>
      </c>
      <c r="B1390" s="96">
        <v>156</v>
      </c>
      <c r="C1390" s="97">
        <v>1680</v>
      </c>
    </row>
    <row r="1391" spans="1:3">
      <c r="A1391" s="104">
        <v>44897</v>
      </c>
      <c r="B1391" s="96">
        <v>154</v>
      </c>
      <c r="C1391" s="97">
        <v>1670</v>
      </c>
    </row>
    <row r="1392" spans="1:3">
      <c r="A1392" s="104">
        <v>44900</v>
      </c>
      <c r="B1392" s="96">
        <v>158</v>
      </c>
      <c r="C1392" s="97">
        <v>1660</v>
      </c>
    </row>
    <row r="1393" spans="1:3">
      <c r="A1393" s="104">
        <v>44901</v>
      </c>
      <c r="B1393" s="96">
        <v>158</v>
      </c>
      <c r="C1393" s="97">
        <v>1650</v>
      </c>
    </row>
    <row r="1394" spans="1:3">
      <c r="A1394" s="104">
        <v>44902</v>
      </c>
      <c r="B1394" s="96">
        <v>158</v>
      </c>
      <c r="C1394" s="97">
        <v>1600</v>
      </c>
    </row>
    <row r="1395" spans="1:3">
      <c r="A1395" s="104">
        <v>44903</v>
      </c>
      <c r="B1395" s="96">
        <v>157</v>
      </c>
      <c r="C1395" s="97">
        <v>1580</v>
      </c>
    </row>
    <row r="1396" spans="1:3">
      <c r="A1396" s="104">
        <v>44904</v>
      </c>
      <c r="B1396" s="96">
        <v>155</v>
      </c>
      <c r="C1396" s="97">
        <v>1550</v>
      </c>
    </row>
    <row r="1397" spans="1:3">
      <c r="A1397" s="104">
        <v>44907</v>
      </c>
      <c r="B1397" s="96">
        <v>156</v>
      </c>
      <c r="C1397" s="97">
        <v>1520</v>
      </c>
    </row>
    <row r="1398" spans="1:3">
      <c r="A1398" s="104">
        <v>44908</v>
      </c>
      <c r="B1398" s="96">
        <v>156</v>
      </c>
      <c r="C1398" s="97">
        <v>1530</v>
      </c>
    </row>
    <row r="1399" spans="1:3">
      <c r="A1399" s="104">
        <v>44909</v>
      </c>
      <c r="B1399" s="96">
        <v>155</v>
      </c>
      <c r="C1399" s="97">
        <v>1530</v>
      </c>
    </row>
    <row r="1400" spans="1:3">
      <c r="A1400" s="104">
        <v>44910</v>
      </c>
      <c r="B1400" s="96">
        <v>150</v>
      </c>
      <c r="C1400" s="97">
        <v>1530</v>
      </c>
    </row>
    <row r="1401" spans="1:3">
      <c r="A1401" s="104">
        <v>44911</v>
      </c>
      <c r="B1401" s="96">
        <v>150</v>
      </c>
      <c r="C1401" s="97">
        <v>1530</v>
      </c>
    </row>
    <row r="1402" spans="1:3">
      <c r="A1402" s="104">
        <v>44914</v>
      </c>
      <c r="B1402" s="96">
        <v>150</v>
      </c>
      <c r="C1402" s="97">
        <v>1520</v>
      </c>
    </row>
    <row r="1403" spans="1:3">
      <c r="A1403" s="104">
        <v>44915</v>
      </c>
      <c r="B1403" s="96">
        <v>150</v>
      </c>
      <c r="C1403" s="97">
        <v>1500</v>
      </c>
    </row>
    <row r="1404" spans="1:3">
      <c r="A1404" s="104">
        <v>44916</v>
      </c>
      <c r="B1404" s="96">
        <v>149</v>
      </c>
      <c r="C1404" s="97">
        <v>1470</v>
      </c>
    </row>
    <row r="1405" spans="1:3">
      <c r="A1405" s="104">
        <v>44917</v>
      </c>
      <c r="B1405" s="96">
        <v>144</v>
      </c>
      <c r="C1405" s="97">
        <v>1430</v>
      </c>
    </row>
    <row r="1406" spans="1:3">
      <c r="A1406" s="104">
        <v>44918</v>
      </c>
      <c r="B1406" s="96">
        <v>144</v>
      </c>
      <c r="C1406" s="97">
        <v>1430</v>
      </c>
    </row>
    <row r="1407" spans="1:3">
      <c r="A1407" s="104">
        <v>44921</v>
      </c>
      <c r="B1407" s="96">
        <v>141</v>
      </c>
      <c r="C1407" s="97">
        <v>1430</v>
      </c>
    </row>
    <row r="1408" spans="1:3">
      <c r="A1408" s="104">
        <v>44922</v>
      </c>
      <c r="B1408" s="96">
        <v>142</v>
      </c>
      <c r="C1408" s="97">
        <v>1420</v>
      </c>
    </row>
    <row r="1409" spans="1:3">
      <c r="A1409" s="104">
        <v>44923</v>
      </c>
      <c r="B1409" s="96">
        <v>141</v>
      </c>
      <c r="C1409" s="97">
        <v>1380</v>
      </c>
    </row>
    <row r="1410" spans="1:3">
      <c r="A1410" s="104">
        <v>44924</v>
      </c>
      <c r="B1410" s="96">
        <v>141</v>
      </c>
      <c r="C1410" s="97">
        <v>1400</v>
      </c>
    </row>
    <row r="1411" spans="1:3">
      <c r="A1411" s="104">
        <v>44925</v>
      </c>
      <c r="B1411" s="96">
        <v>140</v>
      </c>
      <c r="C1411" s="97">
        <v>1400</v>
      </c>
    </row>
    <row r="1412" spans="1:3">
      <c r="A1412" s="104">
        <v>44929</v>
      </c>
      <c r="B1412" s="96">
        <v>142</v>
      </c>
      <c r="C1412" s="97">
        <v>1400</v>
      </c>
    </row>
    <row r="1413" spans="1:3">
      <c r="A1413" s="104">
        <v>44930</v>
      </c>
      <c r="B1413" s="96">
        <v>141</v>
      </c>
      <c r="C1413" s="97">
        <v>1410</v>
      </c>
    </row>
    <row r="1414" spans="1:3">
      <c r="A1414" s="104">
        <v>44931</v>
      </c>
      <c r="B1414" s="96">
        <v>144</v>
      </c>
      <c r="C1414" s="97">
        <v>1420</v>
      </c>
    </row>
    <row r="1415" spans="1:3">
      <c r="A1415" s="104">
        <v>44932</v>
      </c>
      <c r="B1415" s="96">
        <v>145</v>
      </c>
      <c r="C1415" s="97">
        <v>1410</v>
      </c>
    </row>
    <row r="1416" spans="1:3">
      <c r="A1416" s="104">
        <v>44935</v>
      </c>
      <c r="B1416" s="96">
        <v>143</v>
      </c>
      <c r="C1416" s="97">
        <v>1400</v>
      </c>
    </row>
    <row r="1417" spans="1:3">
      <c r="A1417" s="104">
        <v>44936</v>
      </c>
      <c r="B1417" s="96">
        <v>143</v>
      </c>
      <c r="C1417" s="97">
        <v>1400</v>
      </c>
    </row>
    <row r="1418" spans="1:3">
      <c r="A1418" s="104">
        <v>44937</v>
      </c>
      <c r="B1418" s="96">
        <v>143</v>
      </c>
      <c r="C1418" s="97">
        <v>1390</v>
      </c>
    </row>
    <row r="1419" spans="1:3">
      <c r="A1419" s="104">
        <v>44938</v>
      </c>
      <c r="B1419" s="96">
        <v>141</v>
      </c>
      <c r="C1419" s="97">
        <v>1390</v>
      </c>
    </row>
    <row r="1420" spans="1:3">
      <c r="A1420" s="104">
        <v>44939</v>
      </c>
      <c r="B1420" s="96">
        <v>144</v>
      </c>
      <c r="C1420" s="97">
        <v>1350</v>
      </c>
    </row>
    <row r="1421" spans="1:3">
      <c r="A1421" s="104">
        <v>44942</v>
      </c>
      <c r="B1421" s="96">
        <v>142</v>
      </c>
      <c r="C1421" s="97">
        <v>1350</v>
      </c>
    </row>
    <row r="1422" spans="1:3">
      <c r="A1422" s="104">
        <v>44943</v>
      </c>
      <c r="B1422" s="96">
        <v>141</v>
      </c>
      <c r="C1422" s="97">
        <v>1320</v>
      </c>
    </row>
    <row r="1423" spans="1:3">
      <c r="A1423" s="104">
        <v>44944</v>
      </c>
      <c r="B1423" s="96">
        <v>141</v>
      </c>
      <c r="C1423" s="97">
        <v>1320</v>
      </c>
    </row>
    <row r="1424" spans="1:3">
      <c r="A1424" s="104">
        <v>44945</v>
      </c>
      <c r="B1424" s="96">
        <v>145</v>
      </c>
      <c r="C1424" s="97">
        <v>1320</v>
      </c>
    </row>
    <row r="1425" spans="1:3">
      <c r="A1425" s="104">
        <v>44946</v>
      </c>
      <c r="B1425" s="96">
        <v>144</v>
      </c>
      <c r="C1425" s="97">
        <v>1320</v>
      </c>
    </row>
    <row r="1426" spans="1:3">
      <c r="A1426" s="104">
        <v>44954</v>
      </c>
      <c r="B1426" s="96">
        <v>151</v>
      </c>
      <c r="C1426" s="97">
        <v>1320</v>
      </c>
    </row>
    <row r="1427" spans="1:3">
      <c r="A1427" s="104">
        <v>44955</v>
      </c>
      <c r="B1427" s="96">
        <v>150</v>
      </c>
      <c r="C1427" s="97">
        <v>1300</v>
      </c>
    </row>
    <row r="1428" spans="1:3">
      <c r="A1428" s="104">
        <v>44956</v>
      </c>
      <c r="B1428" s="96">
        <v>149</v>
      </c>
      <c r="C1428" s="97">
        <v>1250</v>
      </c>
    </row>
    <row r="1429" spans="1:3">
      <c r="A1429" s="104">
        <v>44957</v>
      </c>
      <c r="B1429" s="96">
        <v>150</v>
      </c>
      <c r="C1429" s="97">
        <v>1180</v>
      </c>
    </row>
    <row r="1430" spans="1:3">
      <c r="A1430" s="104">
        <v>44958</v>
      </c>
      <c r="B1430" s="96">
        <v>151</v>
      </c>
      <c r="C1430" s="97">
        <v>1150</v>
      </c>
    </row>
    <row r="1431" spans="1:3">
      <c r="A1431" s="104">
        <v>44959</v>
      </c>
      <c r="B1431" s="96">
        <v>153</v>
      </c>
      <c r="C1431" s="97">
        <v>1150</v>
      </c>
    </row>
    <row r="1432" spans="1:3">
      <c r="A1432" s="104">
        <v>44960</v>
      </c>
      <c r="B1432" s="96">
        <v>153</v>
      </c>
      <c r="C1432" s="97">
        <v>1160</v>
      </c>
    </row>
    <row r="1433" spans="1:3">
      <c r="A1433" s="104">
        <v>44963</v>
      </c>
      <c r="B1433" s="96">
        <v>154</v>
      </c>
      <c r="C1433" s="97">
        <v>1180</v>
      </c>
    </row>
    <row r="1434" spans="1:3">
      <c r="A1434" s="104">
        <v>44964</v>
      </c>
      <c r="B1434" s="96">
        <v>154</v>
      </c>
      <c r="C1434" s="97">
        <v>1200</v>
      </c>
    </row>
    <row r="1435" spans="1:3">
      <c r="A1435" s="104">
        <v>44965</v>
      </c>
      <c r="B1435" s="96">
        <v>158</v>
      </c>
      <c r="C1435" s="97">
        <v>1210</v>
      </c>
    </row>
    <row r="1436" spans="1:3">
      <c r="A1436" s="104">
        <v>44966</v>
      </c>
      <c r="B1436" s="96">
        <v>158</v>
      </c>
      <c r="C1436" s="97">
        <v>1230</v>
      </c>
    </row>
    <row r="1437" spans="1:3">
      <c r="A1437" s="104">
        <v>44967</v>
      </c>
      <c r="B1437" s="96">
        <v>157</v>
      </c>
      <c r="C1437" s="97">
        <v>1300</v>
      </c>
    </row>
    <row r="1438" spans="1:3">
      <c r="A1438" s="104">
        <v>44970</v>
      </c>
      <c r="B1438" s="96">
        <v>156</v>
      </c>
      <c r="C1438" s="97">
        <v>1250</v>
      </c>
    </row>
    <row r="1439" spans="1:3">
      <c r="A1439" s="104">
        <v>44971</v>
      </c>
      <c r="B1439" s="96">
        <v>155</v>
      </c>
      <c r="C1439" s="97">
        <v>1270</v>
      </c>
    </row>
    <row r="1440" spans="1:3">
      <c r="A1440" s="104">
        <v>44972</v>
      </c>
      <c r="B1440" s="96">
        <v>150</v>
      </c>
      <c r="C1440" s="97">
        <v>1270</v>
      </c>
    </row>
    <row r="1441" spans="1:3">
      <c r="A1441" s="104">
        <v>44973</v>
      </c>
      <c r="B1441" s="96">
        <v>151</v>
      </c>
      <c r="C1441" s="97">
        <v>1270</v>
      </c>
    </row>
    <row r="1442" spans="1:3">
      <c r="A1442" s="104">
        <v>44974</v>
      </c>
      <c r="B1442" s="96">
        <v>152</v>
      </c>
      <c r="C1442" s="97">
        <v>1270</v>
      </c>
    </row>
    <row r="1443" spans="1:3">
      <c r="A1443" s="104">
        <v>44977</v>
      </c>
      <c r="B1443" s="96">
        <v>153</v>
      </c>
      <c r="C1443" s="97">
        <v>1270</v>
      </c>
    </row>
    <row r="1444" spans="1:3">
      <c r="A1444" s="104">
        <v>44978</v>
      </c>
      <c r="B1444" s="96">
        <v>158</v>
      </c>
      <c r="C1444" s="97">
        <v>1290</v>
      </c>
    </row>
    <row r="1445" spans="1:3">
      <c r="A1445" s="104">
        <v>44979</v>
      </c>
      <c r="B1445" s="96">
        <v>158</v>
      </c>
      <c r="C1445" s="97">
        <v>1300</v>
      </c>
    </row>
    <row r="1446" spans="1:3">
      <c r="A1446" s="104">
        <v>44980</v>
      </c>
      <c r="B1446" s="96">
        <v>159</v>
      </c>
      <c r="C1446" s="97">
        <v>1300</v>
      </c>
    </row>
    <row r="1447" spans="1:3">
      <c r="A1447" s="104">
        <v>44981</v>
      </c>
      <c r="B1447" s="96">
        <v>160</v>
      </c>
      <c r="C1447" s="97">
        <v>1300</v>
      </c>
    </row>
    <row r="1448" spans="1:3">
      <c r="A1448" s="104">
        <v>44984</v>
      </c>
      <c r="B1448" s="96">
        <v>160</v>
      </c>
      <c r="C1448" s="97">
        <v>1300</v>
      </c>
    </row>
    <row r="1449" spans="1:3">
      <c r="A1449" s="104">
        <v>44985</v>
      </c>
      <c r="B1449" s="96">
        <v>165</v>
      </c>
      <c r="C1449" s="97">
        <v>1320</v>
      </c>
    </row>
    <row r="1450" spans="1:3">
      <c r="A1450" s="104">
        <v>44986</v>
      </c>
      <c r="B1450" s="96">
        <v>165</v>
      </c>
      <c r="C1450" s="97">
        <v>1330</v>
      </c>
    </row>
    <row r="1451" spans="1:3">
      <c r="A1451" s="104">
        <v>44987</v>
      </c>
      <c r="B1451" s="96">
        <v>161</v>
      </c>
      <c r="C1451" s="97">
        <v>1330</v>
      </c>
    </row>
    <row r="1452" spans="1:3">
      <c r="A1452" s="104">
        <v>44988</v>
      </c>
      <c r="B1452" s="96">
        <v>161</v>
      </c>
      <c r="C1452" s="97">
        <v>1330</v>
      </c>
    </row>
    <row r="1453" spans="1:3">
      <c r="A1453" s="104">
        <v>44991</v>
      </c>
      <c r="B1453" s="96">
        <v>161</v>
      </c>
      <c r="C1453" s="97">
        <v>1330</v>
      </c>
    </row>
    <row r="1454" spans="1:3">
      <c r="A1454" s="104">
        <v>44992</v>
      </c>
      <c r="B1454" s="96">
        <v>160</v>
      </c>
      <c r="C1454" s="97">
        <v>1330</v>
      </c>
    </row>
    <row r="1455" spans="1:3">
      <c r="A1455" s="104">
        <v>44993</v>
      </c>
      <c r="B1455" s="96">
        <v>158</v>
      </c>
      <c r="C1455" s="97">
        <v>1310</v>
      </c>
    </row>
    <row r="1456" spans="1:3">
      <c r="A1456" s="104">
        <v>44994</v>
      </c>
      <c r="B1456" s="96">
        <v>160</v>
      </c>
      <c r="C1456" s="97">
        <v>1300</v>
      </c>
    </row>
    <row r="1457" spans="1:3">
      <c r="A1457" s="104">
        <v>44995</v>
      </c>
      <c r="B1457" s="96">
        <v>161</v>
      </c>
      <c r="C1457" s="97">
        <v>1290</v>
      </c>
    </row>
    <row r="1458" spans="1:3">
      <c r="A1458" s="104">
        <v>44998</v>
      </c>
      <c r="B1458" s="96">
        <v>162</v>
      </c>
      <c r="C1458" s="97">
        <v>1250</v>
      </c>
    </row>
    <row r="1459" spans="1:3">
      <c r="A1459" s="104">
        <v>44999</v>
      </c>
      <c r="B1459" s="96">
        <v>162</v>
      </c>
      <c r="C1459" s="97">
        <v>1200</v>
      </c>
    </row>
    <row r="1460" spans="1:3">
      <c r="A1460" s="104">
        <v>45000</v>
      </c>
      <c r="B1460" s="96">
        <v>166</v>
      </c>
      <c r="C1460" s="97">
        <v>1170</v>
      </c>
    </row>
    <row r="1461" spans="1:3">
      <c r="A1461" s="104">
        <v>45001</v>
      </c>
      <c r="B1461" s="96">
        <v>164</v>
      </c>
      <c r="C1461" s="97">
        <v>1170</v>
      </c>
    </row>
    <row r="1462" spans="1:3">
      <c r="A1462" s="104">
        <v>45002</v>
      </c>
      <c r="B1462" s="96">
        <v>164</v>
      </c>
      <c r="C1462" s="97">
        <v>1170</v>
      </c>
    </row>
    <row r="1463" spans="1:3">
      <c r="A1463" s="104">
        <v>45005</v>
      </c>
      <c r="B1463" s="96">
        <v>163</v>
      </c>
      <c r="C1463" s="97">
        <v>1180</v>
      </c>
    </row>
    <row r="1464" spans="1:3">
      <c r="A1464" s="104">
        <v>45006</v>
      </c>
      <c r="B1464" s="96">
        <v>163</v>
      </c>
      <c r="C1464" s="97">
        <v>1180</v>
      </c>
    </row>
    <row r="1465" spans="1:3">
      <c r="A1465" s="104">
        <v>45007</v>
      </c>
      <c r="B1465" s="96">
        <v>162</v>
      </c>
      <c r="C1465" s="97">
        <v>1170</v>
      </c>
    </row>
    <row r="1466" spans="1:3">
      <c r="A1466" s="104">
        <v>45008</v>
      </c>
      <c r="B1466" s="96">
        <v>164</v>
      </c>
      <c r="C1466" s="97">
        <v>1170</v>
      </c>
    </row>
    <row r="1467" spans="1:3">
      <c r="A1467" s="104">
        <v>45009</v>
      </c>
      <c r="B1467" s="96">
        <v>164</v>
      </c>
      <c r="C1467" s="97">
        <v>1150</v>
      </c>
    </row>
    <row r="1468" spans="1:3">
      <c r="A1468" s="104">
        <v>45012</v>
      </c>
      <c r="B1468" s="96">
        <v>158</v>
      </c>
      <c r="C1468" s="97">
        <v>1120</v>
      </c>
    </row>
    <row r="1469" spans="1:3">
      <c r="A1469" s="104">
        <v>45013</v>
      </c>
      <c r="B1469" s="96">
        <v>161</v>
      </c>
      <c r="C1469" s="97">
        <v>1100</v>
      </c>
    </row>
    <row r="1470" spans="1:3">
      <c r="A1470" s="104">
        <v>45014</v>
      </c>
      <c r="B1470" s="96">
        <v>159</v>
      </c>
      <c r="C1470" s="97">
        <v>1060</v>
      </c>
    </row>
    <row r="1471" spans="1:3">
      <c r="A1471" s="104">
        <v>45015</v>
      </c>
      <c r="B1471" s="96">
        <v>160</v>
      </c>
      <c r="C1471" s="97">
        <v>1050</v>
      </c>
    </row>
    <row r="1472" spans="1:3">
      <c r="A1472" s="104">
        <v>45016</v>
      </c>
      <c r="B1472" s="96">
        <v>160</v>
      </c>
      <c r="C1472" s="97">
        <v>1030</v>
      </c>
    </row>
    <row r="1473" spans="1:3">
      <c r="A1473" s="104">
        <v>45019</v>
      </c>
      <c r="B1473" s="96">
        <v>162</v>
      </c>
      <c r="C1473" s="97">
        <v>1030</v>
      </c>
    </row>
    <row r="1474" spans="1:3">
      <c r="A1474" s="104">
        <v>45020</v>
      </c>
      <c r="B1474" s="96">
        <v>163</v>
      </c>
      <c r="C1474" s="97">
        <v>1030</v>
      </c>
    </row>
    <row r="1475" spans="1:3">
      <c r="A1475" s="104">
        <v>45022</v>
      </c>
      <c r="B1475" s="96">
        <v>157</v>
      </c>
      <c r="C1475" s="97">
        <v>1030</v>
      </c>
    </row>
    <row r="1476" spans="1:3">
      <c r="A1476" s="104">
        <v>45023</v>
      </c>
      <c r="B1476" s="96">
        <v>157</v>
      </c>
      <c r="C1476" s="97">
        <v>1020</v>
      </c>
    </row>
    <row r="1477" spans="1:3">
      <c r="A1477" s="104">
        <v>45026</v>
      </c>
      <c r="B1477" s="96">
        <v>154</v>
      </c>
      <c r="C1477" s="97">
        <v>1000</v>
      </c>
    </row>
    <row r="1478" spans="1:3">
      <c r="A1478" s="104">
        <v>45027</v>
      </c>
      <c r="B1478" s="96">
        <v>154</v>
      </c>
      <c r="C1478" s="97">
        <v>980</v>
      </c>
    </row>
    <row r="1479" spans="1:3">
      <c r="A1479" s="104">
        <v>45028</v>
      </c>
      <c r="B1479" s="96">
        <v>154</v>
      </c>
      <c r="C1479" s="97">
        <v>950</v>
      </c>
    </row>
    <row r="1480" spans="1:3">
      <c r="A1480" s="104">
        <v>45029</v>
      </c>
      <c r="B1480" s="96">
        <v>157</v>
      </c>
      <c r="C1480" s="97">
        <v>950</v>
      </c>
    </row>
    <row r="1481" spans="1:3">
      <c r="A1481" s="104">
        <v>45030</v>
      </c>
      <c r="B1481" s="96">
        <v>158</v>
      </c>
      <c r="C1481" s="97">
        <v>950</v>
      </c>
    </row>
    <row r="1482" spans="1:3">
      <c r="A1482" s="104">
        <v>45033</v>
      </c>
      <c r="B1482" s="96">
        <v>159</v>
      </c>
      <c r="C1482" s="97">
        <v>950</v>
      </c>
    </row>
    <row r="1483" spans="1:3">
      <c r="A1483" s="104">
        <v>45034</v>
      </c>
      <c r="B1483" s="96">
        <v>159</v>
      </c>
      <c r="C1483" s="97">
        <v>960</v>
      </c>
    </row>
    <row r="1484" spans="1:3">
      <c r="A1484" s="104">
        <v>45035</v>
      </c>
      <c r="B1484" s="96">
        <v>159</v>
      </c>
      <c r="C1484" s="97">
        <v>950</v>
      </c>
    </row>
    <row r="1485" spans="1:3">
      <c r="A1485" s="104">
        <v>45036</v>
      </c>
      <c r="B1485" s="96">
        <v>161</v>
      </c>
      <c r="C1485" s="97">
        <v>940</v>
      </c>
    </row>
    <row r="1486" spans="1:3">
      <c r="A1486" s="104">
        <v>45037</v>
      </c>
      <c r="B1486" s="96">
        <v>160</v>
      </c>
      <c r="C1486" s="97">
        <v>930</v>
      </c>
    </row>
    <row r="1487" spans="1:3">
      <c r="A1487" s="104">
        <v>45039</v>
      </c>
      <c r="B1487" s="96">
        <v>159</v>
      </c>
      <c r="C1487" s="97">
        <v>930</v>
      </c>
    </row>
    <row r="1488" spans="1:3">
      <c r="A1488" s="104">
        <v>45040</v>
      </c>
      <c r="B1488" s="96">
        <v>156</v>
      </c>
      <c r="C1488" s="97">
        <v>920</v>
      </c>
    </row>
    <row r="1489" spans="1:3">
      <c r="A1489" s="104">
        <v>45041</v>
      </c>
      <c r="B1489" s="96">
        <v>155</v>
      </c>
      <c r="C1489" s="97">
        <v>915</v>
      </c>
    </row>
    <row r="1490" spans="1:3">
      <c r="A1490" s="104">
        <v>45042</v>
      </c>
      <c r="B1490" s="96">
        <v>154</v>
      </c>
      <c r="C1490" s="97">
        <v>915</v>
      </c>
    </row>
    <row r="1491" spans="1:3">
      <c r="A1491" s="104">
        <v>45043</v>
      </c>
      <c r="B1491" s="96">
        <v>155</v>
      </c>
      <c r="C1491" s="97">
        <v>915</v>
      </c>
    </row>
    <row r="1492" spans="1:3">
      <c r="A1492" s="104">
        <v>45044</v>
      </c>
      <c r="B1492" s="96">
        <v>160</v>
      </c>
      <c r="C1492" s="97">
        <v>915</v>
      </c>
    </row>
    <row r="1493" spans="1:3">
      <c r="A1493" s="104">
        <v>45050</v>
      </c>
      <c r="B1493" s="96">
        <v>163</v>
      </c>
      <c r="C1493" s="97">
        <v>915</v>
      </c>
    </row>
    <row r="1494" spans="1:3">
      <c r="A1494" s="104">
        <v>45051</v>
      </c>
      <c r="B1494" s="96">
        <v>164</v>
      </c>
      <c r="C1494" s="97">
        <v>920</v>
      </c>
    </row>
    <row r="1495" spans="1:3">
      <c r="A1495" s="104">
        <v>45052</v>
      </c>
      <c r="B1495" s="96">
        <v>164</v>
      </c>
      <c r="C1495" s="97">
        <v>920</v>
      </c>
    </row>
    <row r="1496" spans="1:3">
      <c r="A1496" s="104">
        <v>45054</v>
      </c>
      <c r="B1496" s="96">
        <v>166</v>
      </c>
      <c r="C1496" s="97">
        <v>930</v>
      </c>
    </row>
    <row r="1497" spans="1:3">
      <c r="A1497" s="104">
        <v>45055</v>
      </c>
      <c r="B1497" s="96">
        <v>168</v>
      </c>
      <c r="C1497" s="97">
        <v>930</v>
      </c>
    </row>
    <row r="1498" spans="1:3">
      <c r="A1498" s="104">
        <v>45056</v>
      </c>
      <c r="B1498" s="96">
        <v>168</v>
      </c>
      <c r="C1498" s="97">
        <v>935</v>
      </c>
    </row>
    <row r="1499" spans="1:3">
      <c r="A1499" s="104">
        <v>45057</v>
      </c>
      <c r="B1499" s="96">
        <v>171</v>
      </c>
      <c r="C1499" s="97">
        <v>945</v>
      </c>
    </row>
    <row r="1500" spans="1:3">
      <c r="A1500" s="104">
        <v>45058</v>
      </c>
      <c r="B1500" s="96">
        <v>173</v>
      </c>
      <c r="C1500" s="97">
        <v>945</v>
      </c>
    </row>
    <row r="1501" spans="1:3">
      <c r="A1501" s="104">
        <v>45061</v>
      </c>
      <c r="B1501" s="96">
        <v>176</v>
      </c>
      <c r="C1501" s="97">
        <v>945</v>
      </c>
    </row>
    <row r="1502" spans="1:3">
      <c r="A1502" s="104">
        <v>45062</v>
      </c>
      <c r="B1502" s="96">
        <v>176</v>
      </c>
      <c r="C1502" s="97">
        <v>940</v>
      </c>
    </row>
    <row r="1503" spans="1:3">
      <c r="A1503" s="104">
        <v>45063</v>
      </c>
      <c r="B1503" s="96">
        <v>177</v>
      </c>
      <c r="C1503" s="97">
        <v>940</v>
      </c>
    </row>
    <row r="1504" spans="1:3">
      <c r="A1504" s="104">
        <v>45064</v>
      </c>
      <c r="B1504" s="96">
        <v>178</v>
      </c>
      <c r="C1504" s="97">
        <v>950</v>
      </c>
    </row>
    <row r="1505" spans="1:3">
      <c r="A1505" s="104">
        <v>45065</v>
      </c>
      <c r="B1505" s="96">
        <v>178</v>
      </c>
      <c r="C1505" s="97">
        <v>955</v>
      </c>
    </row>
    <row r="1506" spans="1:3">
      <c r="A1506" s="104">
        <v>45068</v>
      </c>
      <c r="B1506" s="96">
        <v>179</v>
      </c>
      <c r="C1506" s="97">
        <v>955</v>
      </c>
    </row>
    <row r="1507" spans="1:3">
      <c r="A1507" s="104">
        <v>45069</v>
      </c>
      <c r="B1507" s="96">
        <v>179</v>
      </c>
      <c r="C1507" s="97">
        <v>975</v>
      </c>
    </row>
    <row r="1508" spans="1:3">
      <c r="A1508" s="104">
        <v>45070</v>
      </c>
      <c r="B1508" s="96">
        <v>173</v>
      </c>
      <c r="C1508" s="97">
        <v>975</v>
      </c>
    </row>
    <row r="1509" spans="1:3">
      <c r="A1509" s="104">
        <v>45071</v>
      </c>
      <c r="B1509" s="96">
        <v>173</v>
      </c>
      <c r="C1509" s="97">
        <v>975</v>
      </c>
    </row>
    <row r="1510" spans="1:3">
      <c r="A1510" s="104">
        <v>45072</v>
      </c>
      <c r="B1510" s="96">
        <v>171</v>
      </c>
      <c r="C1510" s="97">
        <v>975</v>
      </c>
    </row>
    <row r="1511" spans="1:3">
      <c r="A1511" s="104">
        <v>45075</v>
      </c>
      <c r="B1511" s="96">
        <v>171</v>
      </c>
      <c r="C1511" s="97">
        <v>975</v>
      </c>
    </row>
    <row r="1512" spans="1:3">
      <c r="A1512" s="104">
        <v>45076</v>
      </c>
      <c r="B1512" s="96">
        <v>171</v>
      </c>
      <c r="C1512" s="97">
        <v>965</v>
      </c>
    </row>
    <row r="1513" spans="1:3">
      <c r="A1513" s="104">
        <v>45077</v>
      </c>
      <c r="B1513" s="96">
        <v>174</v>
      </c>
      <c r="C1513" s="97">
        <v>950</v>
      </c>
    </row>
    <row r="1514" spans="1:3">
      <c r="A1514" s="104">
        <v>45078</v>
      </c>
      <c r="B1514" s="96">
        <v>179</v>
      </c>
      <c r="C1514" s="97">
        <v>930</v>
      </c>
    </row>
    <row r="1515" spans="1:3">
      <c r="A1515" s="104">
        <v>45079</v>
      </c>
      <c r="B1515" s="96">
        <v>179</v>
      </c>
      <c r="C1515" s="97">
        <v>895</v>
      </c>
    </row>
    <row r="1516" spans="1:3">
      <c r="A1516" s="104">
        <v>45082</v>
      </c>
      <c r="B1516" s="96">
        <v>178</v>
      </c>
      <c r="C1516" s="97">
        <v>890</v>
      </c>
    </row>
    <row r="1517" spans="1:3">
      <c r="A1517" s="104">
        <v>45083</v>
      </c>
      <c r="B1517" s="96">
        <v>177</v>
      </c>
      <c r="C1517" s="97">
        <v>880</v>
      </c>
    </row>
    <row r="1518" spans="1:3">
      <c r="A1518" s="104">
        <v>45084</v>
      </c>
      <c r="B1518" s="96">
        <v>177</v>
      </c>
      <c r="C1518" s="97">
        <v>880</v>
      </c>
    </row>
    <row r="1519" spans="1:3">
      <c r="A1519" s="104">
        <v>45085</v>
      </c>
      <c r="B1519" s="96">
        <v>177</v>
      </c>
      <c r="C1519" s="97">
        <v>870</v>
      </c>
    </row>
    <row r="1520" spans="1:3">
      <c r="A1520" s="104">
        <v>45086</v>
      </c>
      <c r="B1520" s="96">
        <v>177</v>
      </c>
      <c r="C1520" s="97">
        <v>850</v>
      </c>
    </row>
    <row r="1521" spans="1:3">
      <c r="A1521" s="104">
        <v>45089</v>
      </c>
      <c r="B1521" s="96">
        <v>179</v>
      </c>
      <c r="C1521" s="97">
        <v>840</v>
      </c>
    </row>
    <row r="1522" spans="1:3">
      <c r="A1522" s="104">
        <v>45090</v>
      </c>
      <c r="B1522" s="96">
        <v>181</v>
      </c>
      <c r="C1522" s="97">
        <v>795</v>
      </c>
    </row>
    <row r="1523" spans="1:3">
      <c r="A1523" s="104">
        <v>45091</v>
      </c>
      <c r="B1523" s="96">
        <v>178</v>
      </c>
      <c r="C1523" s="97">
        <v>780</v>
      </c>
    </row>
    <row r="1524" spans="1:3">
      <c r="A1524" s="104">
        <v>45092</v>
      </c>
      <c r="B1524" s="96">
        <v>179</v>
      </c>
      <c r="C1524" s="97">
        <v>790</v>
      </c>
    </row>
    <row r="1525" spans="1:3">
      <c r="A1525" s="104">
        <v>45093</v>
      </c>
      <c r="B1525" s="96">
        <v>179</v>
      </c>
      <c r="C1525" s="97">
        <v>785</v>
      </c>
    </row>
    <row r="1526" spans="1:3">
      <c r="A1526" s="104">
        <v>45096</v>
      </c>
      <c r="B1526" s="96">
        <v>185</v>
      </c>
      <c r="C1526" s="97">
        <v>785</v>
      </c>
    </row>
    <row r="1527" spans="1:3">
      <c r="A1527" s="104">
        <v>45097</v>
      </c>
      <c r="B1527" s="96">
        <v>184</v>
      </c>
      <c r="C1527" s="97">
        <v>790</v>
      </c>
    </row>
    <row r="1528" spans="1:3">
      <c r="A1528" s="104">
        <v>45098</v>
      </c>
      <c r="B1528" s="96">
        <v>183</v>
      </c>
      <c r="C1528" s="97">
        <v>790</v>
      </c>
    </row>
    <row r="1529" spans="1:3">
      <c r="A1529" s="104">
        <v>45102</v>
      </c>
      <c r="B1529" s="96">
        <v>181</v>
      </c>
      <c r="C1529" s="97">
        <v>790</v>
      </c>
    </row>
    <row r="1530" spans="1:3">
      <c r="A1530" s="104">
        <v>45103</v>
      </c>
      <c r="B1530" s="96">
        <v>183</v>
      </c>
      <c r="C1530" s="97">
        <v>780</v>
      </c>
    </row>
    <row r="1531" spans="1:3">
      <c r="A1531" s="104">
        <v>45104</v>
      </c>
      <c r="B1531" s="96">
        <v>189</v>
      </c>
      <c r="C1531" s="97">
        <v>785</v>
      </c>
    </row>
    <row r="1532" spans="1:3">
      <c r="A1532" s="104">
        <v>45105</v>
      </c>
      <c r="B1532" s="96">
        <v>188</v>
      </c>
      <c r="C1532" s="97">
        <v>795</v>
      </c>
    </row>
    <row r="1533" spans="1:3">
      <c r="A1533" s="104">
        <v>45106</v>
      </c>
      <c r="B1533" s="96">
        <v>193</v>
      </c>
      <c r="C1533" s="97">
        <v>810</v>
      </c>
    </row>
    <row r="1534" spans="1:3">
      <c r="A1534" s="104">
        <v>45107</v>
      </c>
      <c r="B1534" s="96">
        <v>194</v>
      </c>
      <c r="C1534" s="97">
        <v>810</v>
      </c>
    </row>
    <row r="1535" spans="1:3">
      <c r="A1535" s="104">
        <v>45110</v>
      </c>
      <c r="B1535" s="96">
        <v>194</v>
      </c>
      <c r="C1535" s="97">
        <v>810</v>
      </c>
    </row>
    <row r="1536" spans="1:3">
      <c r="A1536" s="104">
        <v>45111</v>
      </c>
      <c r="B1536" s="96">
        <v>190</v>
      </c>
      <c r="C1536" s="97">
        <v>810</v>
      </c>
    </row>
    <row r="1537" spans="1:3">
      <c r="A1537" s="104">
        <v>45112</v>
      </c>
      <c r="B1537" s="96">
        <v>190</v>
      </c>
      <c r="C1537" s="97">
        <v>815</v>
      </c>
    </row>
    <row r="1538" spans="1:3">
      <c r="A1538" s="104">
        <v>45113</v>
      </c>
      <c r="B1538" s="96">
        <v>187</v>
      </c>
      <c r="C1538" s="97">
        <v>830</v>
      </c>
    </row>
    <row r="1539" spans="1:3">
      <c r="A1539" s="104">
        <v>45114</v>
      </c>
      <c r="B1539" s="96">
        <v>188</v>
      </c>
      <c r="C1539" s="97">
        <v>870</v>
      </c>
    </row>
    <row r="1540" spans="1:3">
      <c r="A1540" s="104">
        <v>45117</v>
      </c>
      <c r="B1540" s="96">
        <v>191</v>
      </c>
      <c r="C1540" s="97">
        <v>890</v>
      </c>
    </row>
    <row r="1541" spans="1:3">
      <c r="A1541" s="104">
        <v>45118</v>
      </c>
      <c r="B1541" s="96">
        <v>191</v>
      </c>
      <c r="C1541" s="97">
        <v>900</v>
      </c>
    </row>
    <row r="1542" spans="1:3">
      <c r="A1542" s="104">
        <v>45119</v>
      </c>
      <c r="B1542" s="96">
        <v>196</v>
      </c>
      <c r="C1542" s="97">
        <v>910</v>
      </c>
    </row>
    <row r="1543" spans="1:3">
      <c r="A1543" s="104">
        <v>45120</v>
      </c>
      <c r="B1543" s="96">
        <v>195</v>
      </c>
      <c r="C1543" s="97">
        <v>910</v>
      </c>
    </row>
    <row r="1544" spans="1:3">
      <c r="A1544" s="104">
        <v>45121</v>
      </c>
      <c r="B1544" s="96">
        <v>195</v>
      </c>
      <c r="C1544" s="97">
        <v>910</v>
      </c>
    </row>
    <row r="1545" spans="1:3">
      <c r="A1545" s="104">
        <v>45124</v>
      </c>
      <c r="B1545" s="96">
        <v>201</v>
      </c>
      <c r="C1545" s="97">
        <v>910</v>
      </c>
    </row>
    <row r="1546" spans="1:3">
      <c r="A1546" s="104">
        <v>45125</v>
      </c>
      <c r="B1546" s="96">
        <v>200</v>
      </c>
      <c r="C1546" s="97">
        <v>900</v>
      </c>
    </row>
    <row r="1547" spans="1:3">
      <c r="A1547" s="104">
        <v>45126</v>
      </c>
      <c r="B1547" s="96">
        <v>201</v>
      </c>
      <c r="C1547" s="97">
        <v>900</v>
      </c>
    </row>
    <row r="1548" spans="1:3">
      <c r="A1548" s="104">
        <v>45127</v>
      </c>
      <c r="B1548" s="96">
        <v>203</v>
      </c>
      <c r="C1548" s="97">
        <v>890</v>
      </c>
    </row>
    <row r="1549" spans="1:3">
      <c r="A1549" s="104">
        <v>45128</v>
      </c>
      <c r="B1549" s="96">
        <v>202</v>
      </c>
      <c r="C1549" s="97">
        <v>890</v>
      </c>
    </row>
    <row r="1550" spans="1:3">
      <c r="A1550" s="104">
        <v>45131</v>
      </c>
      <c r="B1550" s="96">
        <v>213</v>
      </c>
      <c r="C1550" s="97">
        <v>900</v>
      </c>
    </row>
    <row r="1551" spans="1:3">
      <c r="A1551" s="104">
        <v>45132</v>
      </c>
      <c r="B1551" s="96">
        <v>212</v>
      </c>
      <c r="C1551" s="97">
        <v>910</v>
      </c>
    </row>
    <row r="1552" spans="1:3">
      <c r="A1552" s="104">
        <v>45133</v>
      </c>
      <c r="B1552" s="96">
        <v>218</v>
      </c>
      <c r="C1552" s="97">
        <v>940</v>
      </c>
    </row>
    <row r="1553" spans="1:3">
      <c r="A1553" s="104">
        <v>45134</v>
      </c>
      <c r="B1553" s="96">
        <v>225</v>
      </c>
      <c r="C1553" s="97">
        <v>950</v>
      </c>
    </row>
    <row r="1554" spans="1:3">
      <c r="A1554" s="104">
        <v>45135</v>
      </c>
      <c r="B1554" s="96">
        <v>225</v>
      </c>
      <c r="C1554" s="97">
        <v>980</v>
      </c>
    </row>
    <row r="1555" spans="1:3">
      <c r="A1555" s="104">
        <v>45138</v>
      </c>
      <c r="B1555" s="96">
        <v>227</v>
      </c>
      <c r="C1555" s="97">
        <v>1000</v>
      </c>
    </row>
    <row r="1556" spans="1:3">
      <c r="A1556" s="104">
        <v>45139</v>
      </c>
      <c r="B1556" s="96">
        <v>227</v>
      </c>
      <c r="C1556" s="97">
        <v>1050</v>
      </c>
    </row>
    <row r="1557" spans="1:3">
      <c r="A1557" s="104">
        <v>45140</v>
      </c>
      <c r="B1557" s="96">
        <v>225</v>
      </c>
      <c r="C1557" s="97">
        <v>1100</v>
      </c>
    </row>
    <row r="1558" spans="1:3">
      <c r="A1558" s="104">
        <v>45141</v>
      </c>
      <c r="B1558" s="96">
        <v>229</v>
      </c>
      <c r="C1558" s="97">
        <v>1090</v>
      </c>
    </row>
    <row r="1559" spans="1:3">
      <c r="A1559" s="104">
        <v>45142</v>
      </c>
      <c r="B1559" s="96">
        <v>228</v>
      </c>
      <c r="C1559" s="97">
        <v>1080</v>
      </c>
    </row>
    <row r="1560" spans="1:3">
      <c r="A1560" s="104">
        <v>45145</v>
      </c>
      <c r="B1560" s="96">
        <v>229</v>
      </c>
      <c r="C1560" s="97">
        <v>1030</v>
      </c>
    </row>
    <row r="1561" spans="1:3">
      <c r="A1561" s="104">
        <v>45146</v>
      </c>
      <c r="B1561" s="96">
        <v>223</v>
      </c>
      <c r="C1561" s="97">
        <v>1040</v>
      </c>
    </row>
    <row r="1562" spans="1:3">
      <c r="A1562" s="104">
        <v>45147</v>
      </c>
      <c r="B1562" s="96">
        <v>231</v>
      </c>
      <c r="C1562" s="97">
        <v>1060</v>
      </c>
    </row>
    <row r="1563" spans="1:3">
      <c r="A1563" s="104">
        <v>45148</v>
      </c>
      <c r="B1563" s="96">
        <v>232</v>
      </c>
      <c r="C1563" s="97">
        <v>1090</v>
      </c>
    </row>
    <row r="1564" spans="1:3">
      <c r="A1564" s="104">
        <v>45149</v>
      </c>
      <c r="B1564" s="96">
        <v>234</v>
      </c>
      <c r="C1564" s="97">
        <v>1100</v>
      </c>
    </row>
    <row r="1565" spans="1:3">
      <c r="A1565" s="104">
        <v>45152</v>
      </c>
      <c r="B1565" s="96">
        <v>236</v>
      </c>
      <c r="C1565" s="97">
        <v>1100</v>
      </c>
    </row>
    <row r="1566" spans="1:3">
      <c r="A1566" s="104">
        <v>45153</v>
      </c>
      <c r="B1566" s="96">
        <v>240</v>
      </c>
      <c r="C1566" s="97">
        <v>1110</v>
      </c>
    </row>
    <row r="1567" spans="1:3">
      <c r="A1567" s="104">
        <v>45154</v>
      </c>
      <c r="B1567" s="96">
        <v>242</v>
      </c>
      <c r="C1567" s="97">
        <v>1125</v>
      </c>
    </row>
    <row r="1568" spans="1:3">
      <c r="A1568" s="104">
        <v>45155</v>
      </c>
      <c r="B1568" s="96">
        <v>245</v>
      </c>
      <c r="C1568" s="97">
        <v>1120</v>
      </c>
    </row>
    <row r="1569" spans="1:3">
      <c r="A1569" s="104">
        <v>45156</v>
      </c>
      <c r="B1569" s="96">
        <v>244</v>
      </c>
      <c r="C1569" s="97">
        <v>1120</v>
      </c>
    </row>
    <row r="1570" spans="1:3">
      <c r="A1570" s="104">
        <v>45159</v>
      </c>
      <c r="B1570" s="96">
        <v>245</v>
      </c>
      <c r="C1570" s="97">
        <v>1100</v>
      </c>
    </row>
    <row r="1571" spans="1:3">
      <c r="A1571" s="104">
        <v>45160</v>
      </c>
      <c r="B1571" s="96">
        <v>246</v>
      </c>
      <c r="C1571" s="97">
        <v>1090</v>
      </c>
    </row>
    <row r="1572" spans="1:3">
      <c r="A1572" s="104">
        <v>45161</v>
      </c>
      <c r="B1572" s="96">
        <v>245</v>
      </c>
      <c r="C1572" s="97">
        <v>1090</v>
      </c>
    </row>
    <row r="1573" spans="1:3">
      <c r="A1573" s="104">
        <v>45162</v>
      </c>
      <c r="B1573" s="96">
        <v>246</v>
      </c>
      <c r="C1573" s="97">
        <v>1090</v>
      </c>
    </row>
    <row r="1574" spans="1:3">
      <c r="A1574" s="104">
        <v>45163</v>
      </c>
      <c r="B1574" s="96">
        <v>247</v>
      </c>
      <c r="C1574" s="97">
        <v>1100</v>
      </c>
    </row>
    <row r="1575" spans="1:3">
      <c r="A1575" s="104">
        <v>45166</v>
      </c>
      <c r="B1575" s="96">
        <v>249</v>
      </c>
      <c r="C1575" s="97">
        <v>1100</v>
      </c>
    </row>
    <row r="1576" spans="1:3">
      <c r="A1576" s="104">
        <v>45167</v>
      </c>
      <c r="B1576" s="96">
        <v>249</v>
      </c>
      <c r="C1576" s="97">
        <v>1100</v>
      </c>
    </row>
    <row r="1577" spans="1:3">
      <c r="A1577" s="104">
        <v>45168</v>
      </c>
      <c r="B1577" s="96">
        <v>251</v>
      </c>
      <c r="C1577" s="97">
        <v>1100</v>
      </c>
    </row>
    <row r="1578" spans="1:3">
      <c r="A1578" s="104">
        <v>45169</v>
      </c>
      <c r="B1578" s="96">
        <v>246</v>
      </c>
      <c r="C1578" s="97">
        <v>1090</v>
      </c>
    </row>
    <row r="1579" spans="1:3">
      <c r="A1579" s="104">
        <v>45170</v>
      </c>
      <c r="B1579" s="96">
        <v>246</v>
      </c>
      <c r="C1579" s="97">
        <v>1080</v>
      </c>
    </row>
    <row r="1580" spans="1:3">
      <c r="A1580" s="104">
        <v>45173</v>
      </c>
      <c r="B1580" s="96">
        <v>246</v>
      </c>
      <c r="C1580" s="97">
        <v>1060</v>
      </c>
    </row>
    <row r="1581" spans="1:3">
      <c r="A1581" s="104">
        <v>45174</v>
      </c>
      <c r="B1581" s="96">
        <v>246</v>
      </c>
      <c r="C1581" s="97">
        <v>1070</v>
      </c>
    </row>
    <row r="1582" spans="1:3">
      <c r="A1582" s="104">
        <v>45175</v>
      </c>
      <c r="B1582" s="96">
        <v>251</v>
      </c>
      <c r="C1582" s="97">
        <v>1070</v>
      </c>
    </row>
    <row r="1583" spans="1:3">
      <c r="A1583" s="104">
        <v>45176</v>
      </c>
      <c r="B1583" s="96">
        <v>248</v>
      </c>
      <c r="C1583" s="97">
        <v>1070</v>
      </c>
    </row>
    <row r="1584" spans="1:3">
      <c r="A1584" s="104">
        <v>45177</v>
      </c>
      <c r="B1584" s="96">
        <v>251</v>
      </c>
      <c r="C1584" s="97">
        <v>1075</v>
      </c>
    </row>
    <row r="1585" spans="1:3">
      <c r="A1585" s="104">
        <v>45180</v>
      </c>
      <c r="B1585" s="96">
        <v>254</v>
      </c>
      <c r="C1585" s="97">
        <v>1130</v>
      </c>
    </row>
    <row r="1586" spans="1:3">
      <c r="A1586" s="104">
        <v>45181</v>
      </c>
      <c r="B1586" s="96">
        <v>254</v>
      </c>
      <c r="C1586" s="97">
        <v>1140</v>
      </c>
    </row>
    <row r="1587" spans="1:3">
      <c r="A1587" s="104">
        <v>45182</v>
      </c>
      <c r="B1587" s="96">
        <v>253</v>
      </c>
      <c r="C1587" s="97">
        <v>1125</v>
      </c>
    </row>
    <row r="1588" spans="1:3">
      <c r="A1588" s="104">
        <v>45183</v>
      </c>
      <c r="B1588" s="96">
        <v>251</v>
      </c>
      <c r="C1588" s="97">
        <v>1125</v>
      </c>
    </row>
    <row r="1589" spans="1:3">
      <c r="A1589" s="104">
        <v>45184</v>
      </c>
      <c r="B1589" s="96">
        <v>253</v>
      </c>
      <c r="C1589" s="97">
        <v>1125</v>
      </c>
    </row>
    <row r="1590" spans="1:3">
      <c r="A1590" s="104">
        <v>45187</v>
      </c>
      <c r="B1590" s="96">
        <v>252</v>
      </c>
      <c r="C1590" s="97">
        <v>1110</v>
      </c>
    </row>
    <row r="1591" spans="1:3">
      <c r="A1591" s="104">
        <v>45188</v>
      </c>
      <c r="B1591" s="96">
        <v>253</v>
      </c>
      <c r="C1591" s="97">
        <v>1075</v>
      </c>
    </row>
    <row r="1592" spans="1:3">
      <c r="A1592" s="104">
        <v>45189</v>
      </c>
      <c r="B1592" s="96">
        <v>256</v>
      </c>
      <c r="C1592" s="97">
        <v>1080</v>
      </c>
    </row>
    <row r="1593" spans="1:3">
      <c r="A1593" s="104">
        <v>45190</v>
      </c>
      <c r="B1593" s="96">
        <v>251</v>
      </c>
      <c r="C1593" s="97">
        <v>1090</v>
      </c>
    </row>
    <row r="1594" spans="1:3">
      <c r="A1594" s="104">
        <v>45191</v>
      </c>
      <c r="B1594" s="96">
        <v>251</v>
      </c>
      <c r="C1594" s="97">
        <v>1095</v>
      </c>
    </row>
    <row r="1595" spans="1:3">
      <c r="A1595" s="104">
        <v>45194</v>
      </c>
      <c r="B1595" s="96">
        <v>253</v>
      </c>
      <c r="C1595" s="97">
        <v>1100</v>
      </c>
    </row>
    <row r="1596" spans="1:3">
      <c r="A1596" s="104">
        <v>45195</v>
      </c>
      <c r="B1596" s="96">
        <v>253</v>
      </c>
      <c r="C1596" s="97">
        <v>1105</v>
      </c>
    </row>
    <row r="1597" spans="1:3">
      <c r="A1597" s="104">
        <v>45196</v>
      </c>
      <c r="B1597" s="96">
        <v>250</v>
      </c>
      <c r="C1597" s="97">
        <v>1105</v>
      </c>
    </row>
    <row r="1598" spans="1:3">
      <c r="A1598" s="104">
        <v>45197</v>
      </c>
      <c r="B1598" s="96">
        <v>248</v>
      </c>
      <c r="C1598" s="97">
        <v>1105</v>
      </c>
    </row>
    <row r="1599" spans="1:3">
      <c r="A1599" s="104">
        <v>45206</v>
      </c>
      <c r="B1599" s="96">
        <v>259</v>
      </c>
      <c r="C1599" s="97">
        <v>1105</v>
      </c>
    </row>
    <row r="1600" spans="1:3">
      <c r="A1600" s="104">
        <v>45207</v>
      </c>
      <c r="B1600" s="96">
        <v>260</v>
      </c>
      <c r="C1600" s="97">
        <v>1110</v>
      </c>
    </row>
    <row r="1601" spans="1:3">
      <c r="A1601" s="104">
        <v>45208</v>
      </c>
      <c r="B1601" s="96">
        <v>262</v>
      </c>
      <c r="C1601" s="97">
        <v>1110</v>
      </c>
    </row>
    <row r="1602" spans="1:3">
      <c r="A1602" s="104">
        <v>45209</v>
      </c>
      <c r="B1602" s="96">
        <v>268</v>
      </c>
      <c r="C1602" s="97">
        <v>1100</v>
      </c>
    </row>
    <row r="1603" spans="1:3">
      <c r="A1603" s="104">
        <v>45210</v>
      </c>
      <c r="B1603" s="96">
        <v>267</v>
      </c>
      <c r="C1603" s="97">
        <v>1095</v>
      </c>
    </row>
    <row r="1604" spans="1:3">
      <c r="A1604" s="104">
        <v>45211</v>
      </c>
      <c r="B1604" s="96">
        <v>265</v>
      </c>
      <c r="C1604" s="97">
        <v>1085</v>
      </c>
    </row>
    <row r="1605" spans="1:3">
      <c r="A1605" s="104">
        <v>45212</v>
      </c>
      <c r="B1605" s="96">
        <v>266</v>
      </c>
      <c r="C1605" s="97">
        <v>1075</v>
      </c>
    </row>
    <row r="1606" spans="1:3">
      <c r="A1606" s="104">
        <v>45215</v>
      </c>
      <c r="B1606" s="96">
        <v>274</v>
      </c>
      <c r="C1606" s="97">
        <v>1075</v>
      </c>
    </row>
    <row r="1607" spans="1:3">
      <c r="A1607" s="104">
        <v>45216</v>
      </c>
      <c r="B1607" s="96">
        <v>274</v>
      </c>
      <c r="C1607" s="97">
        <v>1060</v>
      </c>
    </row>
    <row r="1608" spans="1:3">
      <c r="A1608" s="104">
        <v>45217</v>
      </c>
      <c r="B1608" s="96">
        <v>274</v>
      </c>
      <c r="C1608" s="97">
        <v>1060</v>
      </c>
    </row>
    <row r="1609" spans="1:3">
      <c r="A1609" s="104">
        <v>45218</v>
      </c>
      <c r="B1609" s="96">
        <v>278</v>
      </c>
      <c r="C1609" s="97">
        <v>1050</v>
      </c>
    </row>
    <row r="1610" spans="1:3">
      <c r="A1610" s="104">
        <v>45219</v>
      </c>
      <c r="B1610" s="96">
        <v>280</v>
      </c>
      <c r="C1610" s="97">
        <v>1030</v>
      </c>
    </row>
    <row r="1611" spans="1:3">
      <c r="A1611" s="104">
        <v>45222</v>
      </c>
      <c r="B1611" s="96">
        <v>289</v>
      </c>
      <c r="C1611" s="97">
        <v>1000</v>
      </c>
    </row>
    <row r="1612" spans="1:3">
      <c r="A1612" s="104">
        <v>45223</v>
      </c>
      <c r="B1612" s="96">
        <v>288</v>
      </c>
      <c r="C1612" s="97">
        <v>980</v>
      </c>
    </row>
    <row r="1613" spans="1:3">
      <c r="A1613" s="104">
        <v>45224</v>
      </c>
      <c r="B1613" s="96">
        <v>283</v>
      </c>
      <c r="C1613" s="97">
        <v>940</v>
      </c>
    </row>
    <row r="1614" spans="1:3">
      <c r="A1614" s="104">
        <v>45225</v>
      </c>
      <c r="B1614" s="96">
        <v>281</v>
      </c>
      <c r="C1614" s="97">
        <v>950</v>
      </c>
    </row>
    <row r="1615" spans="1:3">
      <c r="A1615" s="104">
        <v>45226</v>
      </c>
      <c r="B1615" s="96">
        <v>281</v>
      </c>
      <c r="C1615" s="97">
        <v>970</v>
      </c>
    </row>
    <row r="1616" spans="1:3">
      <c r="A1616" s="104">
        <v>45229</v>
      </c>
      <c r="B1616" s="96">
        <v>277</v>
      </c>
      <c r="C1616" s="97">
        <v>970</v>
      </c>
    </row>
    <row r="1617" spans="1:3">
      <c r="A1617" s="104">
        <v>45230</v>
      </c>
      <c r="B1617" s="96">
        <v>282</v>
      </c>
      <c r="C1617" s="97">
        <v>985</v>
      </c>
    </row>
    <row r="1618" spans="1:3">
      <c r="A1618" s="104">
        <v>45231</v>
      </c>
      <c r="B1618" s="96">
        <v>281</v>
      </c>
      <c r="C1618" s="97">
        <v>990</v>
      </c>
    </row>
    <row r="1619" spans="1:3">
      <c r="A1619" s="104">
        <v>45232</v>
      </c>
      <c r="B1619" s="96">
        <v>279</v>
      </c>
      <c r="C1619" s="97">
        <v>985</v>
      </c>
    </row>
    <row r="1620" spans="1:3">
      <c r="A1620" s="104">
        <v>45233</v>
      </c>
      <c r="B1620" s="96">
        <v>280</v>
      </c>
      <c r="C1620" s="97">
        <v>980</v>
      </c>
    </row>
    <row r="1621" spans="1:3">
      <c r="A1621" s="104">
        <v>45236</v>
      </c>
      <c r="B1621" s="96">
        <v>278</v>
      </c>
      <c r="C1621" s="97">
        <v>980</v>
      </c>
    </row>
    <row r="1622" spans="1:3">
      <c r="A1622" s="104">
        <v>45237</v>
      </c>
      <c r="B1622" s="96">
        <v>278</v>
      </c>
      <c r="C1622" s="97">
        <v>990</v>
      </c>
    </row>
    <row r="1623" spans="1:3">
      <c r="A1623" s="104">
        <v>45238</v>
      </c>
      <c r="B1623" s="96">
        <v>277</v>
      </c>
      <c r="C1623" s="97">
        <v>1010</v>
      </c>
    </row>
    <row r="1624" spans="1:3">
      <c r="A1624" s="104">
        <v>45239</v>
      </c>
      <c r="B1624" s="96">
        <v>276</v>
      </c>
      <c r="C1624" s="97">
        <v>1010</v>
      </c>
    </row>
    <row r="1625" spans="1:3">
      <c r="A1625" s="104">
        <v>45240</v>
      </c>
      <c r="B1625" s="96">
        <v>275</v>
      </c>
      <c r="C1625" s="97">
        <v>980</v>
      </c>
    </row>
    <row r="1626" spans="1:3">
      <c r="A1626" s="104">
        <v>45243</v>
      </c>
      <c r="B1626" s="96">
        <v>272</v>
      </c>
      <c r="C1626" s="97">
        <v>970</v>
      </c>
    </row>
    <row r="1627" spans="1:3">
      <c r="A1627" s="104">
        <v>45244</v>
      </c>
      <c r="B1627" s="96">
        <v>272</v>
      </c>
      <c r="C1627" s="97">
        <v>970</v>
      </c>
    </row>
    <row r="1628" spans="1:3">
      <c r="A1628" s="104">
        <v>45245</v>
      </c>
      <c r="B1628" s="96">
        <v>271</v>
      </c>
      <c r="C1628" s="97">
        <v>960</v>
      </c>
    </row>
    <row r="1629" spans="1:3">
      <c r="A1629" s="104">
        <v>45246</v>
      </c>
      <c r="B1629" s="96">
        <v>271</v>
      </c>
      <c r="C1629" s="97">
        <v>960</v>
      </c>
    </row>
    <row r="1630" spans="1:3">
      <c r="A1630" s="104">
        <v>45247</v>
      </c>
      <c r="B1630" s="96">
        <v>276</v>
      </c>
      <c r="C1630" s="97">
        <v>955</v>
      </c>
    </row>
    <row r="1631" spans="1:3">
      <c r="A1631" s="104">
        <v>45250</v>
      </c>
      <c r="B1631" s="96">
        <v>276</v>
      </c>
      <c r="C1631" s="97">
        <v>955</v>
      </c>
    </row>
    <row r="1632" spans="1:3">
      <c r="A1632" s="104">
        <v>45251</v>
      </c>
      <c r="B1632" s="96">
        <v>272</v>
      </c>
      <c r="C1632" s="97">
        <v>955</v>
      </c>
    </row>
    <row r="1633" spans="1:3">
      <c r="A1633" s="104">
        <v>45252</v>
      </c>
      <c r="B1633" s="96">
        <v>272</v>
      </c>
      <c r="C1633" s="97">
        <v>940</v>
      </c>
    </row>
    <row r="1634" spans="1:3">
      <c r="A1634" s="104">
        <v>45253</v>
      </c>
      <c r="B1634" s="96">
        <v>274</v>
      </c>
      <c r="C1634" s="97">
        <v>940</v>
      </c>
    </row>
    <row r="1635" spans="1:3">
      <c r="A1635" s="104">
        <v>45254</v>
      </c>
      <c r="B1635" s="96">
        <v>273</v>
      </c>
      <c r="C1635" s="97">
        <v>940</v>
      </c>
    </row>
    <row r="1636" spans="1:3">
      <c r="A1636" s="104">
        <v>45257</v>
      </c>
      <c r="B1636" s="96">
        <v>271</v>
      </c>
      <c r="C1636" s="97">
        <v>950</v>
      </c>
    </row>
    <row r="1637" spans="1:3">
      <c r="A1637" s="104">
        <v>45258</v>
      </c>
      <c r="B1637" s="96">
        <v>271</v>
      </c>
      <c r="C1637" s="97">
        <v>950</v>
      </c>
    </row>
    <row r="1638" spans="1:3">
      <c r="A1638" s="104">
        <v>45259</v>
      </c>
      <c r="B1638" s="96">
        <v>271</v>
      </c>
      <c r="C1638" s="97">
        <v>950</v>
      </c>
    </row>
    <row r="1639" spans="1:3">
      <c r="A1639" s="104">
        <v>45260</v>
      </c>
      <c r="B1639" s="96">
        <v>270</v>
      </c>
      <c r="C1639" s="97">
        <v>940</v>
      </c>
    </row>
    <row r="1640" spans="1:3">
      <c r="A1640" s="104">
        <v>45261</v>
      </c>
      <c r="B1640" s="96">
        <v>272</v>
      </c>
      <c r="C1640" s="97">
        <v>935</v>
      </c>
    </row>
    <row r="1641" spans="1:3">
      <c r="A1641" s="104">
        <v>45264</v>
      </c>
      <c r="B1641" s="96">
        <v>274</v>
      </c>
      <c r="C1641" s="97">
        <v>930</v>
      </c>
    </row>
    <row r="1642" spans="1:3">
      <c r="A1642" s="104">
        <v>45265</v>
      </c>
      <c r="B1642" s="96">
        <v>273</v>
      </c>
      <c r="C1642" s="97">
        <v>915</v>
      </c>
    </row>
    <row r="1643" spans="1:3">
      <c r="A1643" s="104">
        <v>45266</v>
      </c>
      <c r="B1643" s="96">
        <v>271</v>
      </c>
      <c r="C1643" s="97">
        <v>915</v>
      </c>
    </row>
    <row r="1644" spans="1:3">
      <c r="A1644" s="104">
        <v>45267</v>
      </c>
      <c r="B1644" s="96">
        <v>271</v>
      </c>
      <c r="C1644" s="97">
        <v>915</v>
      </c>
    </row>
    <row r="1645" spans="1:3">
      <c r="A1645" s="104">
        <v>45268</v>
      </c>
      <c r="B1645" s="96">
        <v>270.3</v>
      </c>
      <c r="C1645" s="97">
        <v>915</v>
      </c>
    </row>
    <row r="1646" spans="1:3">
      <c r="A1646" s="104">
        <v>45271</v>
      </c>
      <c r="B1646" s="96">
        <v>267.8</v>
      </c>
      <c r="C1646" s="97">
        <v>915</v>
      </c>
    </row>
    <row r="1647" spans="1:3">
      <c r="A1647" s="104">
        <v>45272</v>
      </c>
      <c r="B1647" s="96">
        <v>265</v>
      </c>
      <c r="C1647" s="97">
        <v>915</v>
      </c>
    </row>
    <row r="1648" spans="1:3">
      <c r="A1648" s="104">
        <v>45273</v>
      </c>
      <c r="B1648" s="96">
        <v>264</v>
      </c>
      <c r="C1648" s="97">
        <v>920</v>
      </c>
    </row>
    <row r="1649" spans="1:3">
      <c r="A1649" s="104">
        <v>45274</v>
      </c>
      <c r="B1649" s="96">
        <v>264</v>
      </c>
      <c r="C1649" s="97">
        <v>925</v>
      </c>
    </row>
    <row r="1650" spans="1:3">
      <c r="A1650" s="104">
        <v>45275</v>
      </c>
      <c r="B1650" s="96">
        <v>264</v>
      </c>
      <c r="C1650" s="97">
        <v>925</v>
      </c>
    </row>
    <row r="1651" spans="1:3">
      <c r="A1651" s="104">
        <v>45278</v>
      </c>
      <c r="B1651" s="96">
        <v>261</v>
      </c>
      <c r="C1651" s="97">
        <v>925</v>
      </c>
    </row>
    <row r="1652" spans="1:3">
      <c r="A1652" s="104">
        <v>45279</v>
      </c>
      <c r="B1652" s="96">
        <v>263</v>
      </c>
      <c r="C1652" s="97">
        <v>925</v>
      </c>
    </row>
    <row r="1653" spans="1:3">
      <c r="A1653" s="104">
        <v>45280</v>
      </c>
      <c r="B1653" s="96">
        <v>267</v>
      </c>
      <c r="C1653" s="97">
        <v>920</v>
      </c>
    </row>
    <row r="1654" spans="1:3">
      <c r="A1654" s="104">
        <v>45281</v>
      </c>
      <c r="B1654" s="96">
        <v>268</v>
      </c>
      <c r="C1654" s="97">
        <v>925</v>
      </c>
    </row>
    <row r="1655" spans="1:3">
      <c r="A1655" s="104">
        <v>45282</v>
      </c>
      <c r="B1655" s="96">
        <v>267</v>
      </c>
      <c r="C1655" s="97">
        <v>925</v>
      </c>
    </row>
    <row r="1656" spans="1:3">
      <c r="A1656" s="104">
        <v>45285</v>
      </c>
      <c r="B1656" s="96">
        <v>266</v>
      </c>
      <c r="C1656" s="97">
        <v>930</v>
      </c>
    </row>
    <row r="1657" spans="1:3">
      <c r="A1657" s="104">
        <v>45286</v>
      </c>
      <c r="B1657" s="96">
        <v>271</v>
      </c>
      <c r="C1657" s="97">
        <v>930</v>
      </c>
    </row>
    <row r="1658" spans="1:3">
      <c r="A1658" s="104">
        <v>45287</v>
      </c>
      <c r="B1658" s="96">
        <v>270</v>
      </c>
      <c r="C1658" s="97">
        <v>930</v>
      </c>
    </row>
    <row r="1659" spans="1:3">
      <c r="A1659" s="104">
        <v>45288</v>
      </c>
      <c r="B1659" s="96">
        <v>267</v>
      </c>
      <c r="C1659" s="97">
        <v>930</v>
      </c>
    </row>
    <row r="1660" spans="1:3">
      <c r="A1660" s="104">
        <v>45289</v>
      </c>
      <c r="B1660" s="96">
        <v>268</v>
      </c>
      <c r="C1660" s="97">
        <v>930</v>
      </c>
    </row>
    <row r="1661" spans="1:3">
      <c r="A1661" s="104">
        <v>45293</v>
      </c>
      <c r="B1661" s="96">
        <v>266</v>
      </c>
      <c r="C1661" s="97">
        <v>930</v>
      </c>
    </row>
    <row r="1662" spans="1:3">
      <c r="A1662" s="104">
        <v>45294</v>
      </c>
      <c r="B1662" s="96">
        <v>263</v>
      </c>
      <c r="C1662" s="97">
        <v>930</v>
      </c>
    </row>
    <row r="1663" spans="1:3">
      <c r="A1663" s="104">
        <v>45295</v>
      </c>
      <c r="B1663" s="96">
        <v>262</v>
      </c>
      <c r="C1663" s="97">
        <v>920</v>
      </c>
    </row>
    <row r="1664" spans="1:3">
      <c r="A1664" s="104">
        <v>45296</v>
      </c>
      <c r="B1664" s="96">
        <v>262</v>
      </c>
      <c r="C1664" s="97">
        <v>910</v>
      </c>
    </row>
    <row r="1665" spans="1:3">
      <c r="A1665" s="104">
        <v>45299</v>
      </c>
      <c r="B1665" s="96">
        <v>260</v>
      </c>
      <c r="C1665" s="97">
        <v>900</v>
      </c>
    </row>
    <row r="1666" spans="1:3">
      <c r="A1666" s="104">
        <v>45300</v>
      </c>
      <c r="B1666" s="96">
        <v>265</v>
      </c>
      <c r="C1666" s="97">
        <v>880</v>
      </c>
    </row>
    <row r="1667" spans="1:3">
      <c r="A1667" s="104">
        <v>45301</v>
      </c>
      <c r="B1667" s="96">
        <v>268</v>
      </c>
      <c r="C1667" s="97">
        <v>860</v>
      </c>
    </row>
    <row r="1668" spans="1:3">
      <c r="A1668" s="104">
        <v>45302</v>
      </c>
      <c r="B1668" s="96">
        <v>266</v>
      </c>
      <c r="C1668" s="97">
        <v>850</v>
      </c>
    </row>
    <row r="1669" spans="1:3">
      <c r="A1669" s="104">
        <v>45303</v>
      </c>
      <c r="B1669" s="96">
        <v>264</v>
      </c>
      <c r="C1669" s="97">
        <v>845</v>
      </c>
    </row>
    <row r="1670" spans="1:3">
      <c r="A1670" s="104">
        <v>45306</v>
      </c>
      <c r="B1670" s="96">
        <v>263</v>
      </c>
      <c r="C1670" s="97">
        <v>840</v>
      </c>
    </row>
    <row r="1671" spans="1:3">
      <c r="A1671" s="104">
        <v>45307</v>
      </c>
      <c r="B1671" s="96">
        <v>262</v>
      </c>
      <c r="C1671" s="97">
        <v>830</v>
      </c>
    </row>
    <row r="1672" spans="1:3">
      <c r="A1672" s="104">
        <v>45308</v>
      </c>
      <c r="B1672" s="96">
        <v>265</v>
      </c>
      <c r="C1672" s="97">
        <v>820</v>
      </c>
    </row>
    <row r="1673" spans="1:3">
      <c r="A1673" s="104">
        <v>45309</v>
      </c>
      <c r="B1673" s="96">
        <v>266</v>
      </c>
      <c r="C1673" s="97">
        <v>820</v>
      </c>
    </row>
    <row r="1674" spans="1:3">
      <c r="A1674" s="104">
        <v>45310</v>
      </c>
      <c r="B1674" s="96">
        <v>265</v>
      </c>
      <c r="C1674" s="97">
        <v>840</v>
      </c>
    </row>
    <row r="1675" spans="1:3">
      <c r="A1675" s="104">
        <v>45313</v>
      </c>
      <c r="B1675" s="96">
        <v>266</v>
      </c>
      <c r="C1675" s="97">
        <v>840</v>
      </c>
    </row>
    <row r="1676" spans="1:3">
      <c r="A1676" s="104">
        <v>45314</v>
      </c>
      <c r="B1676" s="96">
        <v>264</v>
      </c>
      <c r="C1676" s="97">
        <v>850</v>
      </c>
    </row>
    <row r="1677" spans="1:3">
      <c r="A1677" s="104">
        <v>45315</v>
      </c>
      <c r="B1677" s="96">
        <v>263</v>
      </c>
      <c r="C1677" s="97">
        <v>850</v>
      </c>
    </row>
    <row r="1678" spans="1:3">
      <c r="A1678" s="104">
        <v>45316</v>
      </c>
      <c r="B1678" s="96">
        <v>263</v>
      </c>
      <c r="C1678" s="97">
        <v>860</v>
      </c>
    </row>
    <row r="1679" spans="1:3">
      <c r="A1679" s="104">
        <v>45317</v>
      </c>
      <c r="B1679" s="96">
        <v>262</v>
      </c>
      <c r="C1679" s="97">
        <v>860</v>
      </c>
    </row>
    <row r="1680" spans="1:3">
      <c r="A1680" s="104">
        <v>45320</v>
      </c>
      <c r="B1680" s="96">
        <v>258</v>
      </c>
      <c r="C1680" s="97">
        <v>860</v>
      </c>
    </row>
    <row r="1681" spans="1:3">
      <c r="A1681" s="104">
        <v>45321</v>
      </c>
      <c r="B1681" s="96">
        <v>258</v>
      </c>
      <c r="C1681" s="97">
        <v>880</v>
      </c>
    </row>
    <row r="1682" spans="1:3">
      <c r="A1682" s="104">
        <v>45322</v>
      </c>
      <c r="B1682" s="96">
        <v>259</v>
      </c>
      <c r="C1682" s="97">
        <v>900</v>
      </c>
    </row>
    <row r="1683" spans="1:3">
      <c r="A1683" s="104">
        <v>45323</v>
      </c>
      <c r="B1683" s="96">
        <v>255</v>
      </c>
      <c r="C1683" s="97">
        <v>900</v>
      </c>
    </row>
    <row r="1684" spans="1:3">
      <c r="A1684" s="104">
        <v>45324</v>
      </c>
      <c r="B1684" s="96">
        <v>254</v>
      </c>
      <c r="C1684" s="97">
        <v>900</v>
      </c>
    </row>
    <row r="1685" spans="1:3">
      <c r="A1685" s="104">
        <v>45326</v>
      </c>
      <c r="B1685" s="96">
        <v>262</v>
      </c>
      <c r="C1685" s="97">
        <v>900</v>
      </c>
    </row>
    <row r="1686" spans="1:3">
      <c r="A1686" s="104">
        <v>45327</v>
      </c>
      <c r="B1686" s="96">
        <v>266</v>
      </c>
      <c r="C1686" s="97">
        <v>900</v>
      </c>
    </row>
    <row r="1687" spans="1:3">
      <c r="A1687" s="104">
        <v>45328</v>
      </c>
      <c r="B1687" s="96">
        <v>268</v>
      </c>
      <c r="C1687" s="97">
        <v>900</v>
      </c>
    </row>
    <row r="1688" spans="1:3">
      <c r="A1688" s="104">
        <v>45329</v>
      </c>
      <c r="B1688" s="96">
        <v>267</v>
      </c>
      <c r="C1688" s="97">
        <v>900</v>
      </c>
    </row>
    <row r="1689" spans="1:3">
      <c r="A1689" s="104">
        <v>45330</v>
      </c>
      <c r="B1689" s="96">
        <v>267</v>
      </c>
      <c r="C1689" s="97">
        <v>900</v>
      </c>
    </row>
    <row r="1690" spans="1:3">
      <c r="A1690" s="104">
        <v>45340</v>
      </c>
      <c r="B1690" s="96">
        <v>266</v>
      </c>
      <c r="C1690" s="97">
        <v>900</v>
      </c>
    </row>
    <row r="1691" spans="1:3">
      <c r="A1691" s="104">
        <v>45341</v>
      </c>
      <c r="B1691" s="96">
        <v>267</v>
      </c>
      <c r="C1691" s="97">
        <v>900</v>
      </c>
    </row>
    <row r="1692" spans="1:3">
      <c r="A1692" s="104">
        <v>45342</v>
      </c>
      <c r="B1692" s="96">
        <v>283</v>
      </c>
      <c r="C1692" s="97">
        <v>920</v>
      </c>
    </row>
    <row r="1693" spans="1:3">
      <c r="A1693" s="104">
        <v>45343</v>
      </c>
      <c r="B1693" s="96">
        <v>286</v>
      </c>
      <c r="C1693" s="97">
        <v>920</v>
      </c>
    </row>
    <row r="1694" spans="1:3">
      <c r="A1694" s="104">
        <v>45344</v>
      </c>
      <c r="B1694" s="96">
        <v>286</v>
      </c>
      <c r="C1694" s="97">
        <v>920</v>
      </c>
    </row>
    <row r="1695" spans="1:3">
      <c r="A1695" s="104">
        <v>45345</v>
      </c>
      <c r="B1695" s="96">
        <v>288</v>
      </c>
      <c r="C1695" s="97">
        <v>910</v>
      </c>
    </row>
    <row r="1696" spans="1:3">
      <c r="A1696" s="104">
        <v>45348</v>
      </c>
      <c r="B1696" s="96">
        <v>292</v>
      </c>
      <c r="C1696" s="97">
        <v>915</v>
      </c>
    </row>
    <row r="1697" spans="1:3">
      <c r="A1697" s="104">
        <v>45349</v>
      </c>
      <c r="B1697" s="96">
        <v>292</v>
      </c>
      <c r="C1697" s="97">
        <v>920</v>
      </c>
    </row>
    <row r="1698" spans="1:3">
      <c r="A1698" s="104">
        <v>45350</v>
      </c>
      <c r="B1698" s="96">
        <v>293</v>
      </c>
      <c r="C1698" s="97">
        <v>920</v>
      </c>
    </row>
    <row r="1699" spans="1:3">
      <c r="A1699" s="104">
        <v>45351</v>
      </c>
      <c r="B1699" s="96">
        <v>294</v>
      </c>
      <c r="C1699" s="97">
        <v>905</v>
      </c>
    </row>
    <row r="1700" spans="1:3">
      <c r="A1700" s="104">
        <v>45352</v>
      </c>
      <c r="B1700" s="96">
        <v>291</v>
      </c>
      <c r="C1700" s="97">
        <v>900</v>
      </c>
    </row>
    <row r="1701" spans="1:3">
      <c r="A1701" s="104">
        <v>45355</v>
      </c>
      <c r="B1701" s="96">
        <v>293</v>
      </c>
      <c r="C1701" s="97">
        <v>910</v>
      </c>
    </row>
    <row r="1702" spans="1:3">
      <c r="A1702" s="104">
        <v>45356</v>
      </c>
      <c r="B1702" s="96">
        <v>295</v>
      </c>
      <c r="C1702" s="97">
        <v>905</v>
      </c>
    </row>
    <row r="1703" spans="1:3">
      <c r="A1703" s="104">
        <v>45357</v>
      </c>
      <c r="B1703" s="96">
        <v>295</v>
      </c>
      <c r="C1703" s="97">
        <v>900</v>
      </c>
    </row>
    <row r="1704" spans="1:3">
      <c r="A1704" s="104">
        <v>45358</v>
      </c>
      <c r="B1704" s="96">
        <v>298</v>
      </c>
      <c r="C1704" s="97">
        <v>895</v>
      </c>
    </row>
    <row r="1705" spans="1:3">
      <c r="A1705" s="104">
        <v>45359</v>
      </c>
      <c r="B1705" s="96">
        <v>297</v>
      </c>
      <c r="C1705" s="97">
        <v>900</v>
      </c>
    </row>
    <row r="1706" spans="1:3">
      <c r="A1706" s="104">
        <v>45362</v>
      </c>
      <c r="B1706" s="96">
        <v>295</v>
      </c>
      <c r="C1706" s="97">
        <v>900</v>
      </c>
    </row>
    <row r="1707" spans="1:3">
      <c r="A1707" s="104">
        <v>45363</v>
      </c>
      <c r="B1707" s="96">
        <v>301</v>
      </c>
      <c r="C1707" s="97">
        <v>910</v>
      </c>
    </row>
    <row r="1708" spans="1:3">
      <c r="A1708" s="104">
        <v>45364</v>
      </c>
      <c r="B1708" s="96">
        <v>300</v>
      </c>
      <c r="C1708" s="97">
        <v>910</v>
      </c>
    </row>
    <row r="1709" spans="1:3">
      <c r="A1709" s="104">
        <v>45365</v>
      </c>
      <c r="B1709" s="96">
        <v>297</v>
      </c>
      <c r="C1709" s="97">
        <v>910</v>
      </c>
    </row>
    <row r="1710" spans="1:3">
      <c r="A1710" s="104">
        <v>45366</v>
      </c>
      <c r="B1710" s="96">
        <v>294</v>
      </c>
      <c r="C1710" s="97">
        <v>910</v>
      </c>
    </row>
    <row r="1711" spans="1:3">
      <c r="A1711" s="104">
        <v>45369</v>
      </c>
      <c r="B1711" s="96">
        <v>288</v>
      </c>
      <c r="C1711" s="97">
        <v>915</v>
      </c>
    </row>
    <row r="1712" spans="1:3">
      <c r="A1712" s="104">
        <v>45370</v>
      </c>
      <c r="B1712" s="96">
        <v>287</v>
      </c>
      <c r="C1712" s="97">
        <v>920</v>
      </c>
    </row>
    <row r="1713" spans="1:3">
      <c r="A1713" s="104">
        <v>45371</v>
      </c>
      <c r="B1713" s="96">
        <v>287</v>
      </c>
      <c r="C1713" s="97">
        <v>930</v>
      </c>
    </row>
    <row r="1714" spans="1:3">
      <c r="A1714" s="104">
        <v>45372</v>
      </c>
      <c r="B1714" s="96">
        <v>286</v>
      </c>
      <c r="C1714" s="97">
        <v>935</v>
      </c>
    </row>
    <row r="1715" spans="1:3">
      <c r="A1715" s="104">
        <v>45373</v>
      </c>
      <c r="B1715" s="96">
        <v>293</v>
      </c>
      <c r="C1715" s="97">
        <v>940</v>
      </c>
    </row>
    <row r="1716" spans="1:3">
      <c r="A1716" s="104">
        <v>45376</v>
      </c>
      <c r="B1716" s="96">
        <v>297</v>
      </c>
      <c r="C1716" s="97">
        <v>940</v>
      </c>
    </row>
    <row r="1717" spans="1:3">
      <c r="A1717" s="104">
        <v>45377</v>
      </c>
      <c r="B1717" s="96">
        <v>296</v>
      </c>
      <c r="C1717" s="97">
        <v>935</v>
      </c>
    </row>
    <row r="1718" spans="1:3">
      <c r="A1718" s="104">
        <v>45378</v>
      </c>
      <c r="B1718" s="96">
        <v>300</v>
      </c>
      <c r="C1718" s="97">
        <v>935</v>
      </c>
    </row>
    <row r="1719" spans="1:3">
      <c r="A1719" s="104">
        <v>45379</v>
      </c>
      <c r="B1719" s="96">
        <v>303</v>
      </c>
      <c r="C1719" s="97">
        <v>930</v>
      </c>
    </row>
    <row r="1720" spans="1:3">
      <c r="A1720" s="104">
        <v>45380</v>
      </c>
      <c r="B1720" s="96">
        <v>300</v>
      </c>
      <c r="C1720" s="97">
        <v>935</v>
      </c>
    </row>
    <row r="1721" spans="1:3">
      <c r="A1721" s="104">
        <v>45383</v>
      </c>
      <c r="B1721" s="96">
        <v>306</v>
      </c>
      <c r="C1721" s="97">
        <v>935</v>
      </c>
    </row>
    <row r="1722" spans="1:3">
      <c r="A1722" s="104">
        <v>45384</v>
      </c>
      <c r="B1722" s="96">
        <v>301</v>
      </c>
      <c r="C1722" s="97">
        <v>935</v>
      </c>
    </row>
    <row r="1723" spans="1:3">
      <c r="A1723" s="104">
        <v>45385</v>
      </c>
      <c r="B1723" s="96">
        <v>299</v>
      </c>
      <c r="C1723" s="97">
        <v>930</v>
      </c>
    </row>
    <row r="1724" spans="1:3">
      <c r="A1724" s="104">
        <v>45389</v>
      </c>
      <c r="B1724" s="96">
        <v>301</v>
      </c>
      <c r="C1724" s="97">
        <v>935</v>
      </c>
    </row>
    <row r="1725" spans="1:3">
      <c r="A1725" s="104">
        <v>45390</v>
      </c>
      <c r="B1725" s="96">
        <v>300</v>
      </c>
      <c r="C1725" s="97">
        <v>930</v>
      </c>
    </row>
    <row r="1726" spans="1:3">
      <c r="A1726" s="104">
        <v>45391</v>
      </c>
      <c r="B1726" s="96">
        <v>300</v>
      </c>
      <c r="C1726" s="97">
        <v>930</v>
      </c>
    </row>
    <row r="1727" spans="1:3">
      <c r="A1727" s="104">
        <v>45392</v>
      </c>
      <c r="B1727" s="96">
        <v>297</v>
      </c>
      <c r="C1727" s="97">
        <v>935</v>
      </c>
    </row>
    <row r="1728" spans="1:3">
      <c r="A1728" s="104">
        <v>45393</v>
      </c>
      <c r="B1728" s="96">
        <v>294</v>
      </c>
      <c r="C1728" s="97">
        <v>935</v>
      </c>
    </row>
    <row r="1729" spans="1:3">
      <c r="A1729" s="104">
        <v>45394</v>
      </c>
      <c r="B1729" s="96">
        <v>295</v>
      </c>
      <c r="C1729" s="97">
        <v>935</v>
      </c>
    </row>
    <row r="1730" spans="1:3">
      <c r="A1730" s="104">
        <v>45397</v>
      </c>
      <c r="B1730" s="96">
        <v>296</v>
      </c>
      <c r="C1730" s="97">
        <v>940</v>
      </c>
    </row>
    <row r="1731" spans="1:3">
      <c r="A1731" s="104">
        <v>45398</v>
      </c>
      <c r="B1731" s="96">
        <v>294</v>
      </c>
      <c r="C1731" s="97">
        <v>940</v>
      </c>
    </row>
    <row r="1732" spans="1:3">
      <c r="A1732" s="104">
        <v>45399</v>
      </c>
      <c r="B1732" s="96">
        <v>291</v>
      </c>
      <c r="C1732" s="97">
        <v>940</v>
      </c>
    </row>
    <row r="1733" spans="1:3">
      <c r="A1733" s="104">
        <v>45400</v>
      </c>
      <c r="B1733" s="96">
        <v>289</v>
      </c>
      <c r="C1733" s="97">
        <v>935</v>
      </c>
    </row>
    <row r="1734" spans="1:3">
      <c r="A1734" s="104">
        <v>45401</v>
      </c>
      <c r="B1734" s="96">
        <v>288</v>
      </c>
      <c r="C1734" s="97">
        <v>935</v>
      </c>
    </row>
    <row r="1735" spans="1:3">
      <c r="A1735" s="104">
        <v>45404</v>
      </c>
      <c r="B1735" s="96">
        <v>287</v>
      </c>
      <c r="C1735" s="97">
        <v>930</v>
      </c>
    </row>
    <row r="1736" spans="1:3">
      <c r="A1736" s="104">
        <v>45405</v>
      </c>
      <c r="B1736" s="96">
        <v>288</v>
      </c>
      <c r="C1736" s="97">
        <v>925</v>
      </c>
    </row>
    <row r="1737" spans="1:3">
      <c r="A1737" s="104">
        <v>45406</v>
      </c>
      <c r="B1737" s="96">
        <v>288</v>
      </c>
      <c r="C1737" s="97">
        <v>915</v>
      </c>
    </row>
    <row r="1738" spans="1:3">
      <c r="A1738" s="104">
        <v>45407</v>
      </c>
      <c r="B1738" s="96">
        <v>286</v>
      </c>
      <c r="C1738" s="97">
        <v>915</v>
      </c>
    </row>
    <row r="1739" spans="1:3">
      <c r="A1739" s="104">
        <v>45408</v>
      </c>
      <c r="B1739" s="96">
        <v>285</v>
      </c>
      <c r="C1739" s="97">
        <v>915</v>
      </c>
    </row>
    <row r="1740" spans="1:3">
      <c r="A1740" s="104">
        <v>45410</v>
      </c>
      <c r="B1740" s="96">
        <v>280</v>
      </c>
      <c r="C1740" s="97">
        <v>915</v>
      </c>
    </row>
    <row r="1741" spans="1:3">
      <c r="A1741" s="104">
        <v>45411</v>
      </c>
      <c r="B1741" s="96">
        <v>278</v>
      </c>
      <c r="C1741" s="97">
        <v>920</v>
      </c>
    </row>
    <row r="1742" spans="1:3">
      <c r="A1742" s="104">
        <v>45412</v>
      </c>
      <c r="B1742" s="96">
        <v>280</v>
      </c>
      <c r="C1742" s="97">
        <v>920</v>
      </c>
    </row>
    <row r="1743" spans="1:3">
      <c r="A1743" s="104">
        <v>45418</v>
      </c>
      <c r="B1743" s="96">
        <v>279</v>
      </c>
      <c r="C1743" s="97">
        <v>920</v>
      </c>
    </row>
    <row r="1744" spans="1:3">
      <c r="A1744" s="104">
        <v>45419</v>
      </c>
      <c r="B1744" s="96">
        <v>281</v>
      </c>
      <c r="C1744" s="97">
        <v>930</v>
      </c>
    </row>
    <row r="1745" spans="1:3">
      <c r="A1745" s="104">
        <v>45420</v>
      </c>
      <c r="B1745" s="96">
        <v>279</v>
      </c>
      <c r="C1745" s="97">
        <v>930</v>
      </c>
    </row>
    <row r="1746" spans="1:3">
      <c r="A1746" s="104">
        <v>45421</v>
      </c>
      <c r="B1746" s="96">
        <v>279</v>
      </c>
      <c r="C1746" s="97">
        <v>925</v>
      </c>
    </row>
    <row r="1747" spans="1:3">
      <c r="A1747" s="104">
        <v>45422</v>
      </c>
      <c r="B1747" s="96">
        <v>287</v>
      </c>
      <c r="C1747" s="97">
        <v>925</v>
      </c>
    </row>
    <row r="1748" spans="1:3">
      <c r="A1748" s="104">
        <v>45423</v>
      </c>
      <c r="B1748" s="96">
        <v>285</v>
      </c>
      <c r="C1748" s="97">
        <v>925</v>
      </c>
    </row>
    <row r="1749" spans="1:3">
      <c r="A1749" s="104">
        <v>45425</v>
      </c>
      <c r="B1749" s="96">
        <v>285</v>
      </c>
      <c r="C1749" s="97">
        <v>925</v>
      </c>
    </row>
    <row r="1750" spans="1:3">
      <c r="A1750" s="104">
        <v>45426</v>
      </c>
      <c r="B1750" s="96">
        <v>291</v>
      </c>
      <c r="C1750" s="97">
        <v>925</v>
      </c>
    </row>
    <row r="1751" spans="1:3">
      <c r="A1751" s="104">
        <v>45427</v>
      </c>
      <c r="B1751" s="96">
        <v>288</v>
      </c>
      <c r="C1751" s="97">
        <v>925</v>
      </c>
    </row>
    <row r="1752" spans="1:3">
      <c r="A1752" s="104">
        <v>45428</v>
      </c>
      <c r="B1752" s="96">
        <v>288</v>
      </c>
      <c r="C1752" s="97">
        <v>925</v>
      </c>
    </row>
    <row r="1753" spans="1:3">
      <c r="A1753" s="104">
        <v>45429</v>
      </c>
      <c r="B1753" s="96">
        <v>283</v>
      </c>
      <c r="C1753" s="97">
        <v>920</v>
      </c>
    </row>
    <row r="1754" spans="1:3">
      <c r="A1754" s="104">
        <v>45432</v>
      </c>
      <c r="B1754" s="96">
        <v>278.8</v>
      </c>
      <c r="C1754" s="97">
        <v>910</v>
      </c>
    </row>
    <row r="1755" spans="1:3">
      <c r="A1755" s="104">
        <v>45433</v>
      </c>
      <c r="B1755" s="96">
        <v>275.7</v>
      </c>
      <c r="C1755" s="97">
        <v>910</v>
      </c>
    </row>
    <row r="1756" spans="1:3">
      <c r="A1756" s="104">
        <v>45434</v>
      </c>
      <c r="B1756" s="96">
        <v>275.3</v>
      </c>
      <c r="C1756" s="97">
        <v>915</v>
      </c>
    </row>
    <row r="1757" spans="1:3">
      <c r="A1757" s="104">
        <v>45435</v>
      </c>
      <c r="B1757" s="96">
        <v>274.3</v>
      </c>
      <c r="C1757" s="97">
        <v>915</v>
      </c>
    </row>
    <row r="1758" spans="1:3">
      <c r="A1758" s="104">
        <v>45436</v>
      </c>
      <c r="B1758" s="96">
        <v>278.8</v>
      </c>
      <c r="C1758" s="97">
        <v>915</v>
      </c>
    </row>
    <row r="1759" spans="1:3">
      <c r="A1759" s="104">
        <v>45439</v>
      </c>
      <c r="B1759" s="96">
        <v>286.8</v>
      </c>
      <c r="C1759" s="97">
        <v>915</v>
      </c>
    </row>
    <row r="1760" spans="1:3">
      <c r="A1760" s="104">
        <v>45440</v>
      </c>
      <c r="B1760" s="96">
        <v>284.9</v>
      </c>
      <c r="C1760" s="97">
        <v>915</v>
      </c>
    </row>
    <row r="1761" spans="1:3">
      <c r="A1761" s="104">
        <v>45441</v>
      </c>
      <c r="B1761" s="96">
        <v>283.2</v>
      </c>
      <c r="C1761" s="97">
        <v>920</v>
      </c>
    </row>
    <row r="1762" spans="1:3">
      <c r="A1762" s="104">
        <v>45442</v>
      </c>
      <c r="B1762" s="96">
        <v>280.9</v>
      </c>
      <c r="C1762" s="97">
        <v>920</v>
      </c>
    </row>
    <row r="1763" spans="1:3">
      <c r="A1763" s="104">
        <v>45443</v>
      </c>
      <c r="B1763" s="96">
        <v>279.3</v>
      </c>
      <c r="C1763" s="97">
        <v>915</v>
      </c>
    </row>
    <row r="1764" spans="1:3">
      <c r="A1764" s="104">
        <v>45446</v>
      </c>
      <c r="B1764" s="96">
        <v>280.4</v>
      </c>
      <c r="C1764" s="97">
        <v>915</v>
      </c>
    </row>
    <row r="1765" spans="1:3">
      <c r="A1765" s="104">
        <v>45447</v>
      </c>
      <c r="B1765" s="96">
        <v>279.7</v>
      </c>
      <c r="C1765" s="97">
        <v>915</v>
      </c>
    </row>
    <row r="1766" spans="1:3">
      <c r="A1766" s="104">
        <v>45448</v>
      </c>
      <c r="B1766" s="96">
        <v>279</v>
      </c>
      <c r="C1766" s="97">
        <v>915</v>
      </c>
    </row>
    <row r="1767" spans="1:3">
      <c r="A1767" s="104">
        <v>45449</v>
      </c>
      <c r="B1767" s="96">
        <v>276.1</v>
      </c>
      <c r="C1767" s="97">
        <v>915</v>
      </c>
    </row>
    <row r="1768" spans="1:3">
      <c r="A1768" s="104">
        <v>45450</v>
      </c>
      <c r="B1768" s="96">
        <v>274.3</v>
      </c>
      <c r="C1768" s="97">
        <v>915</v>
      </c>
    </row>
    <row r="1769" spans="1:3">
      <c r="A1769" s="104">
        <v>45454</v>
      </c>
      <c r="B1769" s="96">
        <v>277</v>
      </c>
      <c r="C1769" s="97">
        <v>915</v>
      </c>
    </row>
    <row r="1770" spans="1:3">
      <c r="A1770" s="104">
        <v>45455</v>
      </c>
      <c r="B1770" s="96">
        <v>275.7</v>
      </c>
      <c r="C1770" s="97">
        <v>915</v>
      </c>
    </row>
    <row r="1771" spans="1:3">
      <c r="A1771" s="104">
        <v>45456</v>
      </c>
      <c r="B1771" s="96">
        <v>278.8</v>
      </c>
      <c r="C1771" s="97">
        <v>915</v>
      </c>
    </row>
    <row r="1772" spans="1:3">
      <c r="A1772" s="104">
        <v>45457</v>
      </c>
      <c r="B1772" s="96">
        <v>276.3</v>
      </c>
      <c r="C1772" s="97">
        <v>915</v>
      </c>
    </row>
    <row r="1773" spans="1:3">
      <c r="A1773" s="104">
        <v>45460</v>
      </c>
      <c r="B1773" s="96">
        <v>272.1</v>
      </c>
      <c r="C1773" s="97">
        <v>925</v>
      </c>
    </row>
    <row r="1774" spans="1:3">
      <c r="A1774" s="104">
        <v>45461</v>
      </c>
      <c r="B1774" s="96">
        <v>272.8</v>
      </c>
      <c r="C1774" s="97">
        <v>935</v>
      </c>
    </row>
    <row r="1775" spans="1:3">
      <c r="A1775" s="104">
        <v>45462</v>
      </c>
      <c r="B1775" s="96">
        <v>270</v>
      </c>
      <c r="C1775" s="97">
        <v>935</v>
      </c>
    </row>
    <row r="1776" spans="1:3">
      <c r="A1776" s="104">
        <v>45463</v>
      </c>
      <c r="B1776" s="96">
        <v>269</v>
      </c>
      <c r="C1776" s="97">
        <v>935</v>
      </c>
    </row>
    <row r="1777" spans="1:3">
      <c r="A1777" s="104">
        <v>45464</v>
      </c>
      <c r="B1777" s="96">
        <v>267</v>
      </c>
      <c r="C1777" s="97">
        <v>935</v>
      </c>
    </row>
    <row r="1778" spans="1:3">
      <c r="A1778" s="104">
        <v>45467</v>
      </c>
      <c r="B1778" s="96">
        <v>267.4</v>
      </c>
      <c r="C1778" s="97">
        <v>940</v>
      </c>
    </row>
    <row r="1779" spans="1:3">
      <c r="A1779" s="104">
        <v>45468</v>
      </c>
      <c r="B1779" s="96">
        <v>267.1</v>
      </c>
      <c r="C1779" s="97">
        <v>940</v>
      </c>
    </row>
    <row r="1780" spans="1:3">
      <c r="A1780" s="104">
        <v>45469</v>
      </c>
      <c r="B1780" s="96">
        <v>266.3</v>
      </c>
      <c r="C1780" s="97">
        <v>945</v>
      </c>
    </row>
    <row r="1781" spans="1:3">
      <c r="A1781" s="104">
        <v>45470</v>
      </c>
      <c r="B1781" s="96">
        <v>265.6</v>
      </c>
      <c r="C1781" s="97">
        <v>950</v>
      </c>
    </row>
    <row r="1782" spans="1:3">
      <c r="A1782" s="104">
        <v>45471</v>
      </c>
      <c r="B1782" s="96">
        <v>272</v>
      </c>
      <c r="C1782" s="97">
        <v>965</v>
      </c>
    </row>
    <row r="1783" spans="1:3">
      <c r="A1783" s="104">
        <v>45474</v>
      </c>
      <c r="B1783" s="96">
        <v>270.2</v>
      </c>
      <c r="C1783" s="97">
        <v>980</v>
      </c>
    </row>
    <row r="1784" spans="1:3">
      <c r="A1784" s="104">
        <v>45475</v>
      </c>
      <c r="B1784" s="96">
        <v>266.5</v>
      </c>
      <c r="C1784" s="97">
        <v>1000</v>
      </c>
    </row>
    <row r="1785" spans="1:3">
      <c r="A1785" s="104">
        <v>45476</v>
      </c>
      <c r="B1785" s="96">
        <v>265.4</v>
      </c>
      <c r="C1785" s="97">
        <v>1040</v>
      </c>
    </row>
    <row r="1786" spans="1:3">
      <c r="A1786" s="104">
        <v>45477</v>
      </c>
      <c r="B1786" s="96">
        <v>263.1</v>
      </c>
      <c r="C1786" s="97">
        <v>1060</v>
      </c>
    </row>
    <row r="1787" spans="1:3">
      <c r="A1787" s="104">
        <v>45478</v>
      </c>
      <c r="B1787" s="96">
        <v>263.1</v>
      </c>
      <c r="C1787" s="97">
        <v>1070</v>
      </c>
    </row>
    <row r="1788" spans="1:3">
      <c r="A1788" s="104">
        <v>45481</v>
      </c>
      <c r="B1788" s="96">
        <v>267.7</v>
      </c>
      <c r="C1788" s="97">
        <v>1075</v>
      </c>
    </row>
    <row r="1789" spans="1:3">
      <c r="A1789" s="104">
        <v>45482</v>
      </c>
      <c r="B1789" s="96">
        <v>259.7</v>
      </c>
      <c r="C1789" s="97">
        <v>1080</v>
      </c>
    </row>
    <row r="1790" spans="1:3">
      <c r="A1790" s="104">
        <v>45483</v>
      </c>
      <c r="B1790" s="96">
        <v>260</v>
      </c>
      <c r="C1790" s="97">
        <v>1075</v>
      </c>
    </row>
    <row r="1791" spans="1:3">
      <c r="A1791" s="104">
        <v>45484</v>
      </c>
      <c r="B1791" s="96">
        <v>257.4</v>
      </c>
      <c r="C1791" s="97">
        <v>1070</v>
      </c>
    </row>
    <row r="1792" spans="1:3">
      <c r="A1792" s="104">
        <v>45485</v>
      </c>
      <c r="B1792" s="96">
        <v>255.15</v>
      </c>
      <c r="C1792" s="97">
        <v>1065</v>
      </c>
    </row>
    <row r="1793" spans="1:3">
      <c r="A1793" s="104">
        <v>45488</v>
      </c>
      <c r="B1793" s="96">
        <v>253.8</v>
      </c>
      <c r="C1793" s="97">
        <v>1060</v>
      </c>
    </row>
    <row r="1794" spans="1:3">
      <c r="A1794" s="104">
        <v>45489</v>
      </c>
      <c r="B1794" s="96">
        <v>255.6</v>
      </c>
      <c r="C1794" s="97">
        <v>1060</v>
      </c>
    </row>
    <row r="1795" spans="1:3">
      <c r="A1795" s="104">
        <v>45490</v>
      </c>
      <c r="B1795" s="96">
        <v>255.9</v>
      </c>
      <c r="C1795" s="97">
        <v>1060</v>
      </c>
    </row>
    <row r="1796" spans="1:3">
      <c r="A1796" s="104">
        <v>45491</v>
      </c>
      <c r="B1796" s="96">
        <v>257.5</v>
      </c>
      <c r="C1796" s="97">
        <v>1065</v>
      </c>
    </row>
    <row r="1797" spans="1:3">
      <c r="A1797" s="104">
        <v>45492</v>
      </c>
      <c r="B1797" s="96">
        <v>261.4</v>
      </c>
      <c r="C1797" s="97">
        <v>1090</v>
      </c>
    </row>
    <row r="1798" spans="1:3">
      <c r="A1798" s="104">
        <v>45495</v>
      </c>
      <c r="B1798" s="96">
        <v>261</v>
      </c>
      <c r="C1798" s="97">
        <v>1110</v>
      </c>
    </row>
    <row r="1799" spans="1:3">
      <c r="A1799" s="104">
        <v>45496</v>
      </c>
      <c r="B1799" s="96">
        <v>264.3</v>
      </c>
      <c r="C1799" s="97">
        <v>1140</v>
      </c>
    </row>
    <row r="1800" spans="1:3">
      <c r="A1800" s="104">
        <v>45497</v>
      </c>
      <c r="B1800" s="96">
        <v>265.4</v>
      </c>
      <c r="C1800" s="97">
        <v>1170</v>
      </c>
    </row>
    <row r="1801" spans="1:3">
      <c r="A1801" s="104">
        <v>45498</v>
      </c>
      <c r="B1801" s="96">
        <v>264.4</v>
      </c>
      <c r="C1801" s="97">
        <v>1160</v>
      </c>
    </row>
    <row r="1802" spans="1:3">
      <c r="A1802" s="104">
        <v>45499</v>
      </c>
      <c r="B1802" s="96">
        <v>267.8</v>
      </c>
      <c r="C1802" s="97">
        <v>1155</v>
      </c>
    </row>
    <row r="1803" spans="1:3">
      <c r="A1803" s="104">
        <v>45502</v>
      </c>
      <c r="B1803" s="96">
        <v>269.8</v>
      </c>
      <c r="C1803" s="97">
        <v>1160</v>
      </c>
    </row>
    <row r="1804" spans="1:3">
      <c r="A1804" s="104">
        <v>45503</v>
      </c>
      <c r="B1804" s="96">
        <v>263.6</v>
      </c>
      <c r="C1804" s="97">
        <v>1190</v>
      </c>
    </row>
    <row r="1805" spans="1:3">
      <c r="A1805" s="104">
        <v>45504</v>
      </c>
      <c r="B1805" s="96">
        <v>264.1</v>
      </c>
      <c r="C1805" s="97">
        <v>1195</v>
      </c>
    </row>
    <row r="1806" spans="1:3">
      <c r="A1806" s="104">
        <v>45505</v>
      </c>
      <c r="B1806" s="96">
        <v>264.5</v>
      </c>
      <c r="C1806" s="97">
        <v>1200</v>
      </c>
    </row>
    <row r="1807" spans="1:3">
      <c r="A1807" s="104">
        <v>45506</v>
      </c>
      <c r="B1807" s="96">
        <v>263.9</v>
      </c>
      <c r="C1807" s="97">
        <v>1200</v>
      </c>
    </row>
    <row r="1808" spans="1:3">
      <c r="A1808" s="104">
        <v>45509</v>
      </c>
      <c r="B1808" s="96">
        <v>260.4</v>
      </c>
      <c r="C1808" s="97">
        <v>1195</v>
      </c>
    </row>
    <row r="1809" spans="1:3">
      <c r="A1809" s="104">
        <v>45510</v>
      </c>
      <c r="B1809" s="96">
        <v>259.3</v>
      </c>
      <c r="C1809" s="97">
        <v>1180</v>
      </c>
    </row>
    <row r="1810" spans="1:3">
      <c r="A1810" s="104">
        <v>45511</v>
      </c>
      <c r="B1810" s="96">
        <v>261.9</v>
      </c>
      <c r="C1810" s="97">
        <v>1175</v>
      </c>
    </row>
    <row r="1811" spans="1:3">
      <c r="A1811" s="104">
        <v>45512</v>
      </c>
      <c r="B1811" s="96">
        <v>262.7</v>
      </c>
      <c r="C1811" s="97">
        <v>1180</v>
      </c>
    </row>
    <row r="1812" spans="1:3">
      <c r="A1812" s="104">
        <v>45513</v>
      </c>
      <c r="B1812" s="96">
        <v>264.05</v>
      </c>
      <c r="C1812" s="97">
        <v>1180</v>
      </c>
    </row>
    <row r="1813" spans="1:3">
      <c r="A1813" s="104">
        <v>45516</v>
      </c>
      <c r="B1813" s="96">
        <v>274.8</v>
      </c>
      <c r="C1813" s="97">
        <v>1175</v>
      </c>
    </row>
    <row r="1814" spans="1:3">
      <c r="A1814" s="104">
        <v>45517</v>
      </c>
      <c r="B1814" s="96">
        <v>270.1</v>
      </c>
      <c r="C1814" s="97">
        <v>1170</v>
      </c>
    </row>
    <row r="1815" spans="1:3">
      <c r="A1815" s="104">
        <v>45518</v>
      </c>
      <c r="B1815" s="96">
        <v>270.6</v>
      </c>
      <c r="C1815" s="97">
        <v>1170</v>
      </c>
    </row>
    <row r="1816" spans="1:3">
      <c r="A1816" s="104">
        <v>45519</v>
      </c>
      <c r="B1816" s="96">
        <v>272.9</v>
      </c>
      <c r="C1816" s="97">
        <v>1170</v>
      </c>
    </row>
    <row r="1817" spans="1:3">
      <c r="A1817" s="104">
        <v>45520</v>
      </c>
      <c r="B1817" s="96">
        <v>267.1</v>
      </c>
      <c r="C1817" s="97">
        <v>1170</v>
      </c>
    </row>
    <row r="1818" spans="1:3">
      <c r="A1818" s="104">
        <v>45523</v>
      </c>
      <c r="B1818" s="96">
        <v>267.2</v>
      </c>
      <c r="C1818" s="97">
        <v>1160</v>
      </c>
    </row>
    <row r="1819" spans="1:3">
      <c r="A1819" s="104">
        <v>45524</v>
      </c>
      <c r="B1819" s="96">
        <v>265.1</v>
      </c>
      <c r="C1819" s="97">
        <v>1160</v>
      </c>
    </row>
    <row r="1820" spans="1:3">
      <c r="A1820" s="104">
        <v>45525</v>
      </c>
      <c r="B1820" s="96">
        <v>257.8</v>
      </c>
      <c r="C1820" s="97">
        <v>1160</v>
      </c>
    </row>
    <row r="1821" spans="1:3">
      <c r="A1821" s="104">
        <v>45526</v>
      </c>
      <c r="B1821" s="96">
        <v>263.4</v>
      </c>
      <c r="C1821" s="97">
        <v>1160</v>
      </c>
    </row>
    <row r="1822" spans="1:3">
      <c r="A1822" s="104">
        <v>45527</v>
      </c>
      <c r="B1822" s="96">
        <v>264</v>
      </c>
      <c r="C1822" s="97">
        <v>1170</v>
      </c>
    </row>
    <row r="1823" spans="1:3">
      <c r="A1823" s="104">
        <v>45530</v>
      </c>
      <c r="B1823" s="96">
        <v>258.6</v>
      </c>
      <c r="C1823" s="97">
        <v>1175</v>
      </c>
    </row>
    <row r="1824" spans="1:3">
      <c r="A1824" s="104">
        <v>45531</v>
      </c>
      <c r="B1824" s="96">
        <v>262.3</v>
      </c>
      <c r="C1824" s="97">
        <v>1185</v>
      </c>
    </row>
    <row r="1825" spans="1:3">
      <c r="A1825" s="104">
        <v>45532</v>
      </c>
      <c r="B1825" s="96">
        <v>259.4</v>
      </c>
      <c r="C1825" s="97">
        <v>1190</v>
      </c>
    </row>
    <row r="1826" spans="1:3">
      <c r="A1826" s="104">
        <v>45533</v>
      </c>
      <c r="B1826" s="96">
        <v>255.6</v>
      </c>
      <c r="C1826" s="97">
        <v>1180</v>
      </c>
    </row>
    <row r="1827" spans="1:3">
      <c r="A1827" s="104">
        <v>45534</v>
      </c>
      <c r="B1827" s="96">
        <v>253.8</v>
      </c>
      <c r="C1827" s="97">
        <v>1180</v>
      </c>
    </row>
    <row r="1828" spans="1:3">
      <c r="A1828" s="104">
        <v>45537</v>
      </c>
      <c r="B1828" s="96">
        <v>246.3</v>
      </c>
      <c r="C1828" s="97">
        <v>1180</v>
      </c>
    </row>
    <row r="1829" spans="1:3">
      <c r="A1829" s="104">
        <v>45538</v>
      </c>
      <c r="B1829" s="96">
        <v>239.5</v>
      </c>
      <c r="C1829" s="97">
        <v>1175</v>
      </c>
    </row>
    <row r="1830" spans="1:3">
      <c r="A1830" s="104">
        <v>45539</v>
      </c>
      <c r="B1830" s="96">
        <v>238</v>
      </c>
      <c r="C1830" s="97">
        <v>1170</v>
      </c>
    </row>
    <row r="1831" spans="1:3">
      <c r="A1831" s="104">
        <v>45540</v>
      </c>
      <c r="B1831" s="96">
        <v>241.67</v>
      </c>
      <c r="C1831" s="97">
        <v>1165</v>
      </c>
    </row>
    <row r="1832" spans="1:3">
      <c r="A1832" s="104">
        <v>45541</v>
      </c>
      <c r="B1832" s="96">
        <v>241.15</v>
      </c>
      <c r="C1832" s="97">
        <v>1170</v>
      </c>
    </row>
    <row r="1833" spans="1:3">
      <c r="A1833" s="104">
        <v>45544</v>
      </c>
      <c r="B1833" s="96">
        <v>249.26</v>
      </c>
      <c r="C1833" s="97">
        <v>1170</v>
      </c>
    </row>
    <row r="1834" spans="1:3">
      <c r="A1834" s="104">
        <v>45545</v>
      </c>
      <c r="B1834" s="96">
        <v>249.1</v>
      </c>
      <c r="C1834" s="97">
        <v>1170</v>
      </c>
    </row>
    <row r="1835" spans="1:3">
      <c r="A1835" s="104">
        <v>45546</v>
      </c>
      <c r="B1835" s="96">
        <v>256.2</v>
      </c>
      <c r="C1835" s="97">
        <v>1165</v>
      </c>
    </row>
    <row r="1836" spans="1:3">
      <c r="A1836" s="104">
        <v>45547</v>
      </c>
      <c r="B1836" s="96">
        <v>253.35</v>
      </c>
      <c r="C1836" s="97">
        <v>1165</v>
      </c>
    </row>
    <row r="1837" spans="1:3">
      <c r="A1837" s="104">
        <v>45548</v>
      </c>
      <c r="B1837" s="96">
        <v>259.4</v>
      </c>
      <c r="C1837" s="97">
        <v>1165</v>
      </c>
    </row>
    <row r="1838" spans="1:3">
      <c r="A1838" s="104">
        <v>45549</v>
      </c>
      <c r="B1838" s="96">
        <v>259</v>
      </c>
      <c r="C1838" s="97">
        <v>1165</v>
      </c>
    </row>
    <row r="1839" spans="1:3">
      <c r="A1839" s="104">
        <v>45553</v>
      </c>
      <c r="B1839" s="96">
        <v>256.75</v>
      </c>
      <c r="C1839" s="97">
        <v>1160</v>
      </c>
    </row>
    <row r="1840" spans="1:3">
      <c r="A1840" s="104">
        <v>45554</v>
      </c>
      <c r="B1840" s="96">
        <v>255.95</v>
      </c>
      <c r="C1840" s="97">
        <v>1160</v>
      </c>
    </row>
    <row r="1841" spans="1:3">
      <c r="A1841" s="104">
        <v>45555</v>
      </c>
      <c r="B1841" s="96">
        <v>253.25</v>
      </c>
      <c r="C1841" s="97">
        <v>1150</v>
      </c>
    </row>
    <row r="1842" spans="1:3">
      <c r="A1842" s="104">
        <v>45558</v>
      </c>
      <c r="B1842" s="96">
        <v>250.9</v>
      </c>
      <c r="C1842" s="97">
        <v>1145</v>
      </c>
    </row>
    <row r="1843" spans="1:3">
      <c r="A1843" s="104">
        <v>45559</v>
      </c>
      <c r="B1843" s="96">
        <v>247.35</v>
      </c>
      <c r="C1843" s="97">
        <v>1135</v>
      </c>
    </row>
    <row r="1844" spans="1:3">
      <c r="A1844" s="104">
        <v>45560</v>
      </c>
      <c r="B1844" s="96">
        <v>248.4</v>
      </c>
      <c r="C1844" s="97">
        <v>1130</v>
      </c>
    </row>
    <row r="1845" spans="1:3">
      <c r="A1845" s="104">
        <v>45561</v>
      </c>
      <c r="B1845" s="96">
        <v>248.61</v>
      </c>
      <c r="C1845" s="97">
        <v>1125</v>
      </c>
    </row>
    <row r="1846" spans="1:3">
      <c r="A1846" s="104">
        <v>45562</v>
      </c>
      <c r="B1846" s="96">
        <v>244.95</v>
      </c>
      <c r="C1846" s="97">
        <v>1135</v>
      </c>
    </row>
    <row r="1847" spans="1:3">
      <c r="A1847" s="104">
        <v>45564</v>
      </c>
      <c r="B1847" s="96">
        <v>248.75</v>
      </c>
      <c r="C1847" s="97">
        <v>1140</v>
      </c>
    </row>
    <row r="1848" spans="1:3">
      <c r="A1848" s="104">
        <v>45565</v>
      </c>
      <c r="B1848" s="96">
        <v>247.7</v>
      </c>
      <c r="C1848" s="97">
        <v>1140</v>
      </c>
    </row>
    <row r="1849" spans="1:3">
      <c r="A1849" s="104">
        <v>45573</v>
      </c>
      <c r="B1849" s="96">
        <v>235.6</v>
      </c>
      <c r="C1849" s="97">
        <v>1180</v>
      </c>
    </row>
    <row r="1850" spans="1:3">
      <c r="A1850" s="104">
        <v>45574</v>
      </c>
      <c r="B1850" s="96">
        <v>243.4</v>
      </c>
      <c r="C1850" s="97">
        <v>1195</v>
      </c>
    </row>
    <row r="1851" spans="1:3">
      <c r="A1851" s="104">
        <v>45575</v>
      </c>
      <c r="B1851" s="96">
        <v>240.8</v>
      </c>
      <c r="C1851" s="97">
        <v>1215</v>
      </c>
    </row>
    <row r="1852" spans="1:3">
      <c r="A1852" s="104">
        <v>45576</v>
      </c>
      <c r="B1852" s="96">
        <v>240.05</v>
      </c>
      <c r="C1852" s="97">
        <v>1250</v>
      </c>
    </row>
    <row r="1853" spans="1:3">
      <c r="A1853" s="104">
        <v>45577</v>
      </c>
      <c r="B1853" s="96">
        <v>233.4</v>
      </c>
      <c r="C1853" s="97">
        <v>1270</v>
      </c>
    </row>
    <row r="1854" spans="1:3">
      <c r="A1854" s="104">
        <v>45579</v>
      </c>
      <c r="B1854" s="96">
        <v>231.13</v>
      </c>
      <c r="C1854" s="97">
        <v>1270</v>
      </c>
    </row>
    <row r="1855" spans="1:3">
      <c r="A1855" s="104">
        <v>45580</v>
      </c>
      <c r="B1855" s="96">
        <v>227.3</v>
      </c>
      <c r="C1855" s="97">
        <v>1240</v>
      </c>
    </row>
    <row r="1856" spans="1:3">
      <c r="A1856" s="104">
        <v>45581</v>
      </c>
      <c r="B1856" s="96">
        <v>227.65</v>
      </c>
      <c r="C1856" s="97">
        <v>1260</v>
      </c>
    </row>
    <row r="1857" spans="1:3">
      <c r="A1857" s="104">
        <v>45582</v>
      </c>
      <c r="B1857" s="96">
        <v>227.4</v>
      </c>
      <c r="C1857" s="97">
        <v>1260</v>
      </c>
    </row>
    <row r="1858" spans="1:3">
      <c r="A1858" s="104">
        <v>45583</v>
      </c>
      <c r="B1858" s="96">
        <v>227.05</v>
      </c>
      <c r="C1858" s="97">
        <v>1260</v>
      </c>
    </row>
    <row r="1859" spans="1:3">
      <c r="A1859" s="104">
        <v>45586</v>
      </c>
      <c r="B1859" s="96">
        <v>225.2</v>
      </c>
      <c r="C1859" s="97">
        <v>1270</v>
      </c>
    </row>
    <row r="1860" spans="1:3">
      <c r="A1860" s="104">
        <v>45587</v>
      </c>
      <c r="B1860" s="96">
        <v>228.15</v>
      </c>
      <c r="C1860" s="97">
        <v>1275</v>
      </c>
    </row>
    <row r="1861" spans="1:3">
      <c r="A1861" s="104">
        <v>45588</v>
      </c>
      <c r="B1861" s="96">
        <v>226.85</v>
      </c>
      <c r="C1861" s="97">
        <v>1285</v>
      </c>
    </row>
    <row r="1862" spans="1:3">
      <c r="A1862" s="104">
        <v>45589</v>
      </c>
      <c r="B1862" s="96">
        <v>231.89</v>
      </c>
      <c r="C1862" s="97">
        <v>1295</v>
      </c>
    </row>
    <row r="1863" spans="1:3">
      <c r="A1863" s="104">
        <v>45590</v>
      </c>
      <c r="B1863" s="96">
        <v>233</v>
      </c>
      <c r="C1863" s="97">
        <v>1290</v>
      </c>
    </row>
    <row r="1864" spans="1:3">
      <c r="A1864" s="104">
        <v>45593</v>
      </c>
      <c r="B1864" s="96">
        <v>228.1</v>
      </c>
      <c r="C1864" s="97">
        <v>1290</v>
      </c>
    </row>
    <row r="1865" spans="1:3">
      <c r="A1865" s="104">
        <v>45594</v>
      </c>
      <c r="B1865" s="96">
        <v>233.5</v>
      </c>
      <c r="C1865" s="97">
        <v>1290</v>
      </c>
    </row>
    <row r="1866" spans="1:3">
      <c r="A1866" s="104">
        <v>45595</v>
      </c>
      <c r="B1866" s="96">
        <v>232.6</v>
      </c>
      <c r="C1866" s="97">
        <v>1290</v>
      </c>
    </row>
    <row r="1867" spans="1:3">
      <c r="A1867" s="104">
        <v>45596</v>
      </c>
      <c r="B1867" s="96">
        <v>234</v>
      </c>
      <c r="C1867" s="97">
        <v>1295</v>
      </c>
    </row>
    <row r="1868" spans="1:3">
      <c r="A1868" s="104">
        <v>45597</v>
      </c>
      <c r="B1868" s="96">
        <v>235.7</v>
      </c>
      <c r="C1868" s="97">
        <v>1305</v>
      </c>
    </row>
    <row r="1869" spans="1:3">
      <c r="A1869" s="104">
        <v>45600</v>
      </c>
      <c r="B1869" s="96">
        <v>234.1</v>
      </c>
      <c r="C1869" s="97">
        <v>1315</v>
      </c>
    </row>
    <row r="1870" spans="1:3">
      <c r="A1870" s="104">
        <v>45601</v>
      </c>
      <c r="B1870" s="96">
        <v>240.3</v>
      </c>
      <c r="C1870" s="97">
        <v>1330</v>
      </c>
    </row>
    <row r="1871" spans="1:3">
      <c r="A1871" s="104">
        <v>45602</v>
      </c>
      <c r="B1871" s="96">
        <v>238.95</v>
      </c>
      <c r="C1871" s="97">
        <v>1340</v>
      </c>
    </row>
    <row r="1872" spans="1:3">
      <c r="A1872" s="104">
        <v>45603</v>
      </c>
      <c r="B1872" s="96">
        <v>237</v>
      </c>
      <c r="C1872" s="97">
        <v>1370</v>
      </c>
    </row>
    <row r="1873" spans="1:3">
      <c r="A1873" s="104">
        <v>45604</v>
      </c>
      <c r="B1873" s="96">
        <v>233.95</v>
      </c>
      <c r="C1873" s="97">
        <v>1390</v>
      </c>
    </row>
    <row r="1874" spans="1:3">
      <c r="A1874" s="104">
        <v>45607</v>
      </c>
      <c r="B1874" s="96">
        <v>230.1</v>
      </c>
      <c r="C1874" s="97">
        <v>1450</v>
      </c>
    </row>
    <row r="1875" spans="1:3">
      <c r="A1875" s="104">
        <v>45608</v>
      </c>
      <c r="B1875" s="96">
        <v>230.4</v>
      </c>
      <c r="C1875" s="97">
        <v>1490</v>
      </c>
    </row>
    <row r="1876" spans="1:3">
      <c r="A1876" s="104">
        <v>45609</v>
      </c>
      <c r="B1876" s="96">
        <v>228.8</v>
      </c>
      <c r="C1876" s="97">
        <v>1480</v>
      </c>
    </row>
    <row r="1877" spans="1:3">
      <c r="A1877" s="104">
        <v>45610</v>
      </c>
      <c r="B1877" s="96">
        <v>229.28</v>
      </c>
      <c r="C1877" s="97">
        <v>1480</v>
      </c>
    </row>
    <row r="1878" spans="1:3">
      <c r="A1878" s="104">
        <v>45611</v>
      </c>
      <c r="B1878" s="96">
        <v>228.7</v>
      </c>
      <c r="C1878" s="97">
        <v>1480</v>
      </c>
    </row>
    <row r="1879" spans="1:3">
      <c r="A1879" s="104">
        <v>45614</v>
      </c>
      <c r="B1879" s="96">
        <v>226.7</v>
      </c>
      <c r="C1879" s="97">
        <v>1495</v>
      </c>
    </row>
    <row r="1880" spans="1:3">
      <c r="A1880" s="104">
        <v>45615</v>
      </c>
      <c r="B1880" s="96">
        <v>225.8</v>
      </c>
      <c r="C1880" s="97">
        <v>1530</v>
      </c>
    </row>
    <row r="1881" spans="1:3">
      <c r="A1881" s="104">
        <v>45616</v>
      </c>
      <c r="B1881" s="96">
        <v>222.7</v>
      </c>
      <c r="C1881" s="97">
        <v>1565</v>
      </c>
    </row>
    <row r="1882" spans="1:3">
      <c r="A1882" s="104">
        <v>45617</v>
      </c>
      <c r="B1882" s="96">
        <v>220.94</v>
      </c>
      <c r="C1882" s="97">
        <v>1565</v>
      </c>
    </row>
    <row r="1883" spans="1:3">
      <c r="A1883" s="104">
        <v>45618</v>
      </c>
      <c r="B1883" s="96">
        <v>220.55</v>
      </c>
      <c r="C1883" s="97">
        <v>1580</v>
      </c>
    </row>
    <row r="1884" spans="1:3">
      <c r="A1884" s="104">
        <v>45621</v>
      </c>
      <c r="B1884" s="96">
        <v>216.9</v>
      </c>
      <c r="C1884" s="97">
        <v>1580</v>
      </c>
    </row>
    <row r="1885" spans="1:3">
      <c r="A1885" s="104">
        <v>45622</v>
      </c>
      <c r="B1885" s="96">
        <v>216.7</v>
      </c>
      <c r="C1885" s="97">
        <v>1580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6"/>
  <sheetViews>
    <sheetView topLeftCell="A246" workbookViewId="0">
      <selection activeCell="B17" sqref="B17"/>
    </sheetView>
  </sheetViews>
  <sheetFormatPr defaultColWidth="9" defaultRowHeight="14.25" outlineLevelCol="5"/>
  <cols>
    <col min="1" max="1" width="20" style="75" customWidth="1"/>
    <col min="2" max="5" width="20" style="76" customWidth="1"/>
    <col min="6" max="6" width="7" style="76" customWidth="1"/>
    <col min="7" max="16384" width="9" style="76"/>
  </cols>
  <sheetData>
    <row r="1" spans="1:6">
      <c r="A1" s="77" t="s">
        <v>0</v>
      </c>
      <c r="B1" s="78" t="s">
        <v>14</v>
      </c>
      <c r="C1" s="78" t="s">
        <v>15</v>
      </c>
      <c r="D1" s="78" t="s">
        <v>16</v>
      </c>
      <c r="E1" s="78" t="s">
        <v>17</v>
      </c>
      <c r="F1" s="78" t="s">
        <v>18</v>
      </c>
    </row>
    <row r="2" ht="15" spans="1:6">
      <c r="A2" s="79">
        <v>45908</v>
      </c>
      <c r="B2" s="80" t="s">
        <v>19</v>
      </c>
      <c r="C2" s="80">
        <v>2600</v>
      </c>
      <c r="D2" s="80">
        <v>2620</v>
      </c>
      <c r="E2" s="80">
        <v>2610</v>
      </c>
      <c r="F2" s="80" t="s">
        <v>20</v>
      </c>
    </row>
    <row r="3" ht="15" spans="1:6">
      <c r="A3" s="79">
        <v>45905</v>
      </c>
      <c r="B3" s="80" t="s">
        <v>19</v>
      </c>
      <c r="C3" s="80">
        <v>2600</v>
      </c>
      <c r="D3" s="80">
        <v>2620</v>
      </c>
      <c r="E3" s="80">
        <v>2610</v>
      </c>
      <c r="F3" s="80" t="s">
        <v>20</v>
      </c>
    </row>
    <row r="4" ht="15" spans="1:6">
      <c r="A4" s="79">
        <v>45904</v>
      </c>
      <c r="B4" s="80" t="s">
        <v>19</v>
      </c>
      <c r="C4" s="80">
        <v>2580</v>
      </c>
      <c r="D4" s="80">
        <v>2600</v>
      </c>
      <c r="E4" s="80">
        <v>2590</v>
      </c>
      <c r="F4" s="80" t="s">
        <v>20</v>
      </c>
    </row>
    <row r="5" ht="15" spans="1:6">
      <c r="A5" s="79">
        <v>45903</v>
      </c>
      <c r="B5" s="80" t="s">
        <v>19</v>
      </c>
      <c r="C5" s="80">
        <v>2595</v>
      </c>
      <c r="D5" s="80">
        <v>2615</v>
      </c>
      <c r="E5" s="80">
        <v>2605</v>
      </c>
      <c r="F5" s="80" t="s">
        <v>20</v>
      </c>
    </row>
    <row r="6" ht="15" spans="1:6">
      <c r="A6" s="79">
        <v>45902</v>
      </c>
      <c r="B6" s="80" t="s">
        <v>19</v>
      </c>
      <c r="C6" s="80">
        <v>2605</v>
      </c>
      <c r="D6" s="80">
        <v>2625</v>
      </c>
      <c r="E6" s="80">
        <v>2615</v>
      </c>
      <c r="F6" s="80" t="s">
        <v>20</v>
      </c>
    </row>
    <row r="7" ht="15" spans="1:6">
      <c r="A7" s="79">
        <v>45901</v>
      </c>
      <c r="B7" s="80" t="s">
        <v>19</v>
      </c>
      <c r="C7" s="80">
        <v>2615</v>
      </c>
      <c r="D7" s="80">
        <v>2635</v>
      </c>
      <c r="E7" s="80">
        <v>2625</v>
      </c>
      <c r="F7" s="80" t="s">
        <v>20</v>
      </c>
    </row>
    <row r="8" ht="15" spans="1:6">
      <c r="A8" s="79">
        <v>45898</v>
      </c>
      <c r="B8" s="80" t="s">
        <v>19</v>
      </c>
      <c r="C8" s="80">
        <v>2610</v>
      </c>
      <c r="D8" s="80">
        <v>2630</v>
      </c>
      <c r="E8" s="80">
        <v>2620</v>
      </c>
      <c r="F8" s="80" t="s">
        <v>20</v>
      </c>
    </row>
    <row r="9" ht="15" spans="1:6">
      <c r="A9" s="79">
        <v>45897</v>
      </c>
      <c r="B9" s="80" t="s">
        <v>19</v>
      </c>
      <c r="C9" s="80">
        <v>2580</v>
      </c>
      <c r="D9" s="80">
        <v>2600</v>
      </c>
      <c r="E9" s="80">
        <v>2590</v>
      </c>
      <c r="F9" s="80" t="s">
        <v>20</v>
      </c>
    </row>
    <row r="10" ht="15" spans="1:6">
      <c r="A10" s="79">
        <v>45896</v>
      </c>
      <c r="B10" s="80" t="s">
        <v>19</v>
      </c>
      <c r="C10" s="80">
        <v>2580</v>
      </c>
      <c r="D10" s="80">
        <v>2600</v>
      </c>
      <c r="E10" s="80">
        <v>2590</v>
      </c>
      <c r="F10" s="80" t="s">
        <v>20</v>
      </c>
    </row>
    <row r="11" ht="15" spans="1:6">
      <c r="A11" s="79">
        <v>45895</v>
      </c>
      <c r="B11" s="80" t="s">
        <v>19</v>
      </c>
      <c r="C11" s="80">
        <v>2600</v>
      </c>
      <c r="D11" s="80">
        <v>2620</v>
      </c>
      <c r="E11" s="80">
        <v>2610</v>
      </c>
      <c r="F11" s="80" t="s">
        <v>20</v>
      </c>
    </row>
    <row r="12" ht="15" spans="1:6">
      <c r="A12" s="79">
        <v>45894</v>
      </c>
      <c r="B12" s="80" t="s">
        <v>19</v>
      </c>
      <c r="C12" s="80">
        <v>2585</v>
      </c>
      <c r="D12" s="80">
        <v>2605</v>
      </c>
      <c r="E12" s="80">
        <v>2595</v>
      </c>
      <c r="F12" s="80" t="s">
        <v>20</v>
      </c>
    </row>
    <row r="13" ht="15" spans="1:6">
      <c r="A13" s="79">
        <v>45891</v>
      </c>
      <c r="B13" s="80" t="s">
        <v>19</v>
      </c>
      <c r="C13" s="80">
        <v>2570</v>
      </c>
      <c r="D13" s="80">
        <v>2590</v>
      </c>
      <c r="E13" s="80">
        <v>2580</v>
      </c>
      <c r="F13" s="80" t="s">
        <v>20</v>
      </c>
    </row>
    <row r="14" ht="15" spans="1:6">
      <c r="A14" s="79">
        <v>45890</v>
      </c>
      <c r="B14" s="80" t="s">
        <v>19</v>
      </c>
      <c r="C14" s="80">
        <v>2550</v>
      </c>
      <c r="D14" s="80">
        <v>2570</v>
      </c>
      <c r="E14" s="80">
        <v>2560</v>
      </c>
      <c r="F14" s="80" t="s">
        <v>20</v>
      </c>
    </row>
    <row r="15" ht="15" spans="1:6">
      <c r="A15" s="79">
        <v>45889</v>
      </c>
      <c r="B15" s="80" t="s">
        <v>19</v>
      </c>
      <c r="C15" s="80">
        <v>2530</v>
      </c>
      <c r="D15" s="80">
        <v>2550</v>
      </c>
      <c r="E15" s="80">
        <v>2540</v>
      </c>
      <c r="F15" s="80" t="s">
        <v>20</v>
      </c>
    </row>
    <row r="16" ht="15" spans="1:6">
      <c r="A16" s="79">
        <v>45888</v>
      </c>
      <c r="B16" s="80" t="s">
        <v>19</v>
      </c>
      <c r="C16" s="80">
        <v>2505</v>
      </c>
      <c r="D16" s="80">
        <v>2525</v>
      </c>
      <c r="E16" s="80">
        <v>2515</v>
      </c>
      <c r="F16" s="80" t="s">
        <v>20</v>
      </c>
    </row>
    <row r="17" ht="15" spans="1:6">
      <c r="A17" s="79">
        <v>45887</v>
      </c>
      <c r="B17" s="80" t="s">
        <v>19</v>
      </c>
      <c r="C17" s="80">
        <v>2505</v>
      </c>
      <c r="D17" s="80">
        <v>2525</v>
      </c>
      <c r="E17" s="80">
        <v>2515</v>
      </c>
      <c r="F17" s="80" t="s">
        <v>20</v>
      </c>
    </row>
    <row r="18" ht="15" spans="1:6">
      <c r="A18" s="79">
        <v>45884</v>
      </c>
      <c r="B18" s="80" t="s">
        <v>19</v>
      </c>
      <c r="C18" s="80">
        <v>2520</v>
      </c>
      <c r="D18" s="80">
        <v>2540</v>
      </c>
      <c r="E18" s="80">
        <v>2530</v>
      </c>
      <c r="F18" s="80" t="s">
        <v>20</v>
      </c>
    </row>
    <row r="19" ht="15" spans="1:6">
      <c r="A19" s="79">
        <v>45883</v>
      </c>
      <c r="B19" s="80" t="s">
        <v>19</v>
      </c>
      <c r="C19" s="80">
        <v>2480</v>
      </c>
      <c r="D19" s="80">
        <v>2500</v>
      </c>
      <c r="E19" s="80">
        <v>2490</v>
      </c>
      <c r="F19" s="80" t="s">
        <v>20</v>
      </c>
    </row>
    <row r="20" ht="15" spans="1:6">
      <c r="A20" s="79">
        <v>45882</v>
      </c>
      <c r="B20" s="80" t="s">
        <v>19</v>
      </c>
      <c r="C20" s="80">
        <v>2475</v>
      </c>
      <c r="D20" s="80">
        <v>2495</v>
      </c>
      <c r="E20" s="80">
        <v>2485</v>
      </c>
      <c r="F20" s="80" t="s">
        <v>20</v>
      </c>
    </row>
    <row r="21" ht="15" spans="1:6">
      <c r="A21" s="79">
        <v>45881</v>
      </c>
      <c r="B21" s="80" t="s">
        <v>19</v>
      </c>
      <c r="C21" s="80">
        <v>2460</v>
      </c>
      <c r="D21" s="80">
        <v>2480</v>
      </c>
      <c r="E21" s="80">
        <v>2470</v>
      </c>
      <c r="F21" s="80" t="s">
        <v>20</v>
      </c>
    </row>
    <row r="22" ht="15" spans="1:6">
      <c r="A22" s="79">
        <v>45880</v>
      </c>
      <c r="B22" s="80" t="s">
        <v>19</v>
      </c>
      <c r="C22" s="80">
        <v>2450</v>
      </c>
      <c r="D22" s="80">
        <v>2470</v>
      </c>
      <c r="E22" s="80">
        <v>2460</v>
      </c>
      <c r="F22" s="80" t="s">
        <v>20</v>
      </c>
    </row>
    <row r="23" ht="15" spans="1:6">
      <c r="A23" s="79">
        <v>45877</v>
      </c>
      <c r="B23" s="80" t="s">
        <v>19</v>
      </c>
      <c r="C23" s="80">
        <v>2420</v>
      </c>
      <c r="D23" s="80">
        <v>2440</v>
      </c>
      <c r="E23" s="80">
        <v>2430</v>
      </c>
      <c r="F23" s="80" t="s">
        <v>20</v>
      </c>
    </row>
    <row r="24" ht="15" spans="1:6">
      <c r="A24" s="79">
        <v>45876</v>
      </c>
      <c r="B24" s="80" t="s">
        <v>19</v>
      </c>
      <c r="C24" s="80">
        <v>2410</v>
      </c>
      <c r="D24" s="80">
        <v>2430</v>
      </c>
      <c r="E24" s="80">
        <v>2420</v>
      </c>
      <c r="F24" s="80" t="s">
        <v>20</v>
      </c>
    </row>
    <row r="25" ht="15" spans="1:6">
      <c r="A25" s="79">
        <v>45875</v>
      </c>
      <c r="B25" s="80" t="s">
        <v>19</v>
      </c>
      <c r="C25" s="80">
        <v>2370</v>
      </c>
      <c r="D25" s="80">
        <v>2390</v>
      </c>
      <c r="E25" s="80">
        <v>2380</v>
      </c>
      <c r="F25" s="80" t="s">
        <v>20</v>
      </c>
    </row>
    <row r="26" ht="15" spans="1:6">
      <c r="A26" s="79">
        <v>45874</v>
      </c>
      <c r="B26" s="80" t="s">
        <v>19</v>
      </c>
      <c r="C26" s="80">
        <v>2365</v>
      </c>
      <c r="D26" s="80">
        <v>2385</v>
      </c>
      <c r="E26" s="80">
        <v>2375</v>
      </c>
      <c r="F26" s="80" t="s">
        <v>20</v>
      </c>
    </row>
    <row r="27" ht="15" spans="1:6">
      <c r="A27" s="79">
        <v>45873</v>
      </c>
      <c r="B27" s="80" t="s">
        <v>19</v>
      </c>
      <c r="C27" s="80">
        <v>2360</v>
      </c>
      <c r="D27" s="80">
        <v>2380</v>
      </c>
      <c r="E27" s="80">
        <v>2370</v>
      </c>
      <c r="F27" s="80" t="s">
        <v>20</v>
      </c>
    </row>
    <row r="28" ht="15" spans="1:6">
      <c r="A28" s="79">
        <v>45870</v>
      </c>
      <c r="B28" s="80" t="s">
        <v>19</v>
      </c>
      <c r="C28" s="80">
        <v>2360</v>
      </c>
      <c r="D28" s="80">
        <v>2380</v>
      </c>
      <c r="E28" s="80">
        <v>2370</v>
      </c>
      <c r="F28" s="80" t="s">
        <v>20</v>
      </c>
    </row>
    <row r="29" ht="15" spans="1:6">
      <c r="A29" s="79">
        <v>45869</v>
      </c>
      <c r="B29" s="80" t="s">
        <v>19</v>
      </c>
      <c r="C29" s="80">
        <v>2360</v>
      </c>
      <c r="D29" s="80">
        <v>2380</v>
      </c>
      <c r="E29" s="80">
        <v>2370</v>
      </c>
      <c r="F29" s="80" t="s">
        <v>20</v>
      </c>
    </row>
    <row r="30" ht="15" spans="1:6">
      <c r="A30" s="79">
        <v>45868</v>
      </c>
      <c r="B30" s="80" t="s">
        <v>19</v>
      </c>
      <c r="C30" s="80">
        <v>2360</v>
      </c>
      <c r="D30" s="80">
        <v>2380</v>
      </c>
      <c r="E30" s="80">
        <v>2370</v>
      </c>
      <c r="F30" s="80" t="s">
        <v>20</v>
      </c>
    </row>
    <row r="31" ht="15" spans="1:6">
      <c r="A31" s="79">
        <v>45867</v>
      </c>
      <c r="B31" s="80" t="s">
        <v>19</v>
      </c>
      <c r="C31" s="80">
        <v>2365</v>
      </c>
      <c r="D31" s="80">
        <v>2385</v>
      </c>
      <c r="E31" s="80">
        <v>2375</v>
      </c>
      <c r="F31" s="80" t="s">
        <v>20</v>
      </c>
    </row>
    <row r="32" ht="15" spans="1:6">
      <c r="A32" s="79">
        <v>45866</v>
      </c>
      <c r="B32" s="80" t="s">
        <v>19</v>
      </c>
      <c r="C32" s="80">
        <v>2360</v>
      </c>
      <c r="D32" s="80">
        <v>2380</v>
      </c>
      <c r="E32" s="80">
        <v>2370</v>
      </c>
      <c r="F32" s="80" t="s">
        <v>20</v>
      </c>
    </row>
    <row r="33" ht="15" spans="1:6">
      <c r="A33" s="79">
        <v>45863</v>
      </c>
      <c r="B33" s="80" t="s">
        <v>19</v>
      </c>
      <c r="C33" s="80">
        <v>2345</v>
      </c>
      <c r="D33" s="80">
        <v>2365</v>
      </c>
      <c r="E33" s="80">
        <v>2355</v>
      </c>
      <c r="F33" s="80" t="s">
        <v>20</v>
      </c>
    </row>
    <row r="34" ht="15" spans="1:6">
      <c r="A34" s="79">
        <v>45862</v>
      </c>
      <c r="B34" s="80" t="s">
        <v>19</v>
      </c>
      <c r="C34" s="80">
        <v>2335</v>
      </c>
      <c r="D34" s="80">
        <v>2355</v>
      </c>
      <c r="E34" s="80">
        <v>2345</v>
      </c>
      <c r="F34" s="80" t="s">
        <v>20</v>
      </c>
    </row>
    <row r="35" ht="15" spans="1:6">
      <c r="A35" s="79">
        <v>45861</v>
      </c>
      <c r="B35" s="80" t="s">
        <v>19</v>
      </c>
      <c r="C35" s="80">
        <v>2335</v>
      </c>
      <c r="D35" s="80">
        <v>2355</v>
      </c>
      <c r="E35" s="80">
        <v>2345</v>
      </c>
      <c r="F35" s="80" t="s">
        <v>20</v>
      </c>
    </row>
    <row r="36" ht="15" spans="1:6">
      <c r="A36" s="79">
        <v>45860</v>
      </c>
      <c r="B36" s="80" t="s">
        <v>19</v>
      </c>
      <c r="C36" s="80">
        <v>2335</v>
      </c>
      <c r="D36" s="80">
        <v>2355</v>
      </c>
      <c r="E36" s="80">
        <v>2345</v>
      </c>
      <c r="F36" s="80" t="s">
        <v>20</v>
      </c>
    </row>
    <row r="37" ht="15" spans="1:6">
      <c r="A37" s="79">
        <v>45859</v>
      </c>
      <c r="B37" s="80" t="s">
        <v>19</v>
      </c>
      <c r="C37" s="80">
        <v>2340</v>
      </c>
      <c r="D37" s="80">
        <v>2360</v>
      </c>
      <c r="E37" s="80">
        <v>2350</v>
      </c>
      <c r="F37" s="80" t="s">
        <v>20</v>
      </c>
    </row>
    <row r="38" ht="15" spans="1:6">
      <c r="A38" s="79">
        <v>45856</v>
      </c>
      <c r="B38" s="80" t="s">
        <v>19</v>
      </c>
      <c r="C38" s="80">
        <v>2335</v>
      </c>
      <c r="D38" s="80">
        <v>2355</v>
      </c>
      <c r="E38" s="80">
        <v>2345</v>
      </c>
      <c r="F38" s="80" t="s">
        <v>20</v>
      </c>
    </row>
    <row r="39" ht="15" spans="1:6">
      <c r="A39" s="79">
        <v>45855</v>
      </c>
      <c r="B39" s="80" t="s">
        <v>19</v>
      </c>
      <c r="C39" s="80">
        <v>2345</v>
      </c>
      <c r="D39" s="80">
        <v>2365</v>
      </c>
      <c r="E39" s="80">
        <v>2355</v>
      </c>
      <c r="F39" s="80" t="s">
        <v>20</v>
      </c>
    </row>
    <row r="40" ht="15" spans="1:6">
      <c r="A40" s="79">
        <v>45854</v>
      </c>
      <c r="B40" s="80" t="s">
        <v>19</v>
      </c>
      <c r="C40" s="80">
        <v>2360</v>
      </c>
      <c r="D40" s="80">
        <v>2380</v>
      </c>
      <c r="E40" s="80">
        <v>2370</v>
      </c>
      <c r="F40" s="80" t="s">
        <v>20</v>
      </c>
    </row>
    <row r="41" ht="15" spans="1:6">
      <c r="A41" s="79">
        <v>45853</v>
      </c>
      <c r="B41" s="80" t="s">
        <v>19</v>
      </c>
      <c r="C41" s="80">
        <v>2375</v>
      </c>
      <c r="D41" s="80">
        <v>2395</v>
      </c>
      <c r="E41" s="80">
        <v>2385</v>
      </c>
      <c r="F41" s="80" t="s">
        <v>20</v>
      </c>
    </row>
    <row r="42" ht="15" spans="1:6">
      <c r="A42" s="79">
        <v>45852</v>
      </c>
      <c r="B42" s="80" t="s">
        <v>19</v>
      </c>
      <c r="C42" s="80">
        <v>2350</v>
      </c>
      <c r="D42" s="80">
        <v>2370</v>
      </c>
      <c r="E42" s="80">
        <v>2360</v>
      </c>
      <c r="F42" s="80" t="s">
        <v>20</v>
      </c>
    </row>
    <row r="43" ht="15" spans="1:6">
      <c r="A43" s="79">
        <v>45849</v>
      </c>
      <c r="B43" s="80" t="s">
        <v>19</v>
      </c>
      <c r="C43" s="80">
        <v>2330</v>
      </c>
      <c r="D43" s="80">
        <v>2350</v>
      </c>
      <c r="E43" s="80">
        <v>2340</v>
      </c>
      <c r="F43" s="80" t="s">
        <v>20</v>
      </c>
    </row>
    <row r="44" ht="15" spans="1:6">
      <c r="A44" s="79">
        <v>45848</v>
      </c>
      <c r="B44" s="80" t="s">
        <v>19</v>
      </c>
      <c r="C44" s="80">
        <v>2320</v>
      </c>
      <c r="D44" s="80">
        <v>2340</v>
      </c>
      <c r="E44" s="80">
        <v>2330</v>
      </c>
      <c r="F44" s="80" t="s">
        <v>20</v>
      </c>
    </row>
    <row r="45" ht="15" spans="1:6">
      <c r="A45" s="79">
        <v>45847</v>
      </c>
      <c r="B45" s="80" t="s">
        <v>19</v>
      </c>
      <c r="C45" s="80">
        <v>2300</v>
      </c>
      <c r="D45" s="80">
        <v>2320</v>
      </c>
      <c r="E45" s="80">
        <v>2310</v>
      </c>
      <c r="F45" s="80" t="s">
        <v>20</v>
      </c>
    </row>
    <row r="46" ht="15" spans="1:6">
      <c r="A46" s="79">
        <v>45846</v>
      </c>
      <c r="B46" s="80" t="s">
        <v>19</v>
      </c>
      <c r="C46" s="80">
        <v>2285</v>
      </c>
      <c r="D46" s="80">
        <v>2305</v>
      </c>
      <c r="E46" s="80">
        <v>2295</v>
      </c>
      <c r="F46" s="80" t="s">
        <v>20</v>
      </c>
    </row>
    <row r="47" ht="15" spans="1:6">
      <c r="A47" s="79">
        <v>45845</v>
      </c>
      <c r="B47" s="80" t="s">
        <v>19</v>
      </c>
      <c r="C47" s="80">
        <v>2270</v>
      </c>
      <c r="D47" s="80">
        <v>2290</v>
      </c>
      <c r="E47" s="80">
        <v>2280</v>
      </c>
      <c r="F47" s="80" t="s">
        <v>20</v>
      </c>
    </row>
    <row r="48" ht="15" spans="1:6">
      <c r="A48" s="79">
        <v>45842</v>
      </c>
      <c r="B48" s="80" t="s">
        <v>19</v>
      </c>
      <c r="C48" s="80">
        <v>2270</v>
      </c>
      <c r="D48" s="80">
        <v>2290</v>
      </c>
      <c r="E48" s="80">
        <v>2280</v>
      </c>
      <c r="F48" s="80" t="s">
        <v>20</v>
      </c>
    </row>
    <row r="49" ht="15" spans="1:6">
      <c r="A49" s="79">
        <v>45841</v>
      </c>
      <c r="B49" s="80" t="s">
        <v>19</v>
      </c>
      <c r="C49" s="80">
        <v>2280</v>
      </c>
      <c r="D49" s="80">
        <v>2300</v>
      </c>
      <c r="E49" s="80">
        <v>2290</v>
      </c>
      <c r="F49" s="80" t="s">
        <v>20</v>
      </c>
    </row>
    <row r="50" ht="15" spans="1:6">
      <c r="A50" s="79">
        <v>45840</v>
      </c>
      <c r="B50" s="80" t="s">
        <v>19</v>
      </c>
      <c r="C50" s="80">
        <v>2305</v>
      </c>
      <c r="D50" s="80">
        <v>2325</v>
      </c>
      <c r="E50" s="80">
        <v>2315</v>
      </c>
      <c r="F50" s="80" t="s">
        <v>20</v>
      </c>
    </row>
    <row r="51" ht="15" spans="1:6">
      <c r="A51" s="79">
        <v>45839</v>
      </c>
      <c r="B51" s="80" t="s">
        <v>19</v>
      </c>
      <c r="C51" s="80">
        <v>2305</v>
      </c>
      <c r="D51" s="80">
        <v>2325</v>
      </c>
      <c r="E51" s="80">
        <v>2315</v>
      </c>
      <c r="F51" s="80" t="s">
        <v>20</v>
      </c>
    </row>
    <row r="52" ht="15" spans="1:6">
      <c r="A52" s="79">
        <v>45838</v>
      </c>
      <c r="B52" s="80" t="s">
        <v>19</v>
      </c>
      <c r="C52" s="80">
        <v>2310</v>
      </c>
      <c r="D52" s="80">
        <v>2330</v>
      </c>
      <c r="E52" s="80">
        <v>2320</v>
      </c>
      <c r="F52" s="80" t="s">
        <v>20</v>
      </c>
    </row>
    <row r="53" ht="15" spans="1:6">
      <c r="A53" s="79">
        <v>45835</v>
      </c>
      <c r="B53" s="80" t="s">
        <v>19</v>
      </c>
      <c r="C53" s="80">
        <v>2310</v>
      </c>
      <c r="D53" s="80">
        <v>2330</v>
      </c>
      <c r="E53" s="80">
        <v>2320</v>
      </c>
      <c r="F53" s="80" t="s">
        <v>20</v>
      </c>
    </row>
    <row r="54" ht="15" spans="1:6">
      <c r="A54" s="79">
        <v>45834</v>
      </c>
      <c r="B54" s="80" t="s">
        <v>19</v>
      </c>
      <c r="C54" s="80">
        <v>2310</v>
      </c>
      <c r="D54" s="80">
        <v>2330</v>
      </c>
      <c r="E54" s="80">
        <v>2320</v>
      </c>
      <c r="F54" s="80" t="s">
        <v>20</v>
      </c>
    </row>
    <row r="55" ht="15" spans="1:6">
      <c r="A55" s="79">
        <v>45833</v>
      </c>
      <c r="B55" s="80" t="s">
        <v>19</v>
      </c>
      <c r="C55" s="80">
        <v>2310</v>
      </c>
      <c r="D55" s="80">
        <v>2330</v>
      </c>
      <c r="E55" s="80">
        <v>2320</v>
      </c>
      <c r="F55" s="80" t="s">
        <v>20</v>
      </c>
    </row>
    <row r="56" ht="15" spans="1:6">
      <c r="A56" s="79">
        <v>45832</v>
      </c>
      <c r="B56" s="80" t="s">
        <v>19</v>
      </c>
      <c r="C56" s="80">
        <v>2350</v>
      </c>
      <c r="D56" s="80">
        <v>2370</v>
      </c>
      <c r="E56" s="80">
        <v>2360</v>
      </c>
      <c r="F56" s="80" t="s">
        <v>20</v>
      </c>
    </row>
    <row r="57" ht="15" spans="1:6">
      <c r="A57" s="79">
        <v>45831</v>
      </c>
      <c r="B57" s="80" t="s">
        <v>19</v>
      </c>
      <c r="C57" s="80">
        <v>2460</v>
      </c>
      <c r="D57" s="80">
        <v>2480</v>
      </c>
      <c r="E57" s="80">
        <v>2470</v>
      </c>
      <c r="F57" s="80" t="s">
        <v>20</v>
      </c>
    </row>
    <row r="58" ht="15" spans="1:6">
      <c r="A58" s="79">
        <v>45828</v>
      </c>
      <c r="B58" s="80" t="s">
        <v>19</v>
      </c>
      <c r="C58" s="80">
        <v>2420</v>
      </c>
      <c r="D58" s="80">
        <v>2440</v>
      </c>
      <c r="E58" s="80">
        <v>2430</v>
      </c>
      <c r="F58" s="80" t="s">
        <v>20</v>
      </c>
    </row>
    <row r="59" ht="15" spans="1:6">
      <c r="A59" s="79">
        <v>45827</v>
      </c>
      <c r="B59" s="80" t="s">
        <v>19</v>
      </c>
      <c r="C59" s="80">
        <v>2450</v>
      </c>
      <c r="D59" s="80">
        <v>2470</v>
      </c>
      <c r="E59" s="80">
        <v>2460</v>
      </c>
      <c r="F59" s="80" t="s">
        <v>20</v>
      </c>
    </row>
    <row r="60" ht="15" spans="1:6">
      <c r="A60" s="79">
        <v>45826</v>
      </c>
      <c r="B60" s="80" t="s">
        <v>19</v>
      </c>
      <c r="C60" s="80">
        <v>2455</v>
      </c>
      <c r="D60" s="80">
        <v>2475</v>
      </c>
      <c r="E60" s="80">
        <v>2465</v>
      </c>
      <c r="F60" s="80" t="s">
        <v>20</v>
      </c>
    </row>
    <row r="61" ht="15" spans="1:6">
      <c r="A61" s="79">
        <v>45825</v>
      </c>
      <c r="B61" s="80" t="s">
        <v>19</v>
      </c>
      <c r="C61" s="80">
        <v>2440</v>
      </c>
      <c r="D61" s="80">
        <v>2460</v>
      </c>
      <c r="E61" s="80">
        <v>2450</v>
      </c>
      <c r="F61" s="80" t="s">
        <v>20</v>
      </c>
    </row>
    <row r="62" ht="15" spans="1:6">
      <c r="A62" s="79">
        <v>45824</v>
      </c>
      <c r="B62" s="80" t="s">
        <v>19</v>
      </c>
      <c r="C62" s="80">
        <v>2420</v>
      </c>
      <c r="D62" s="80">
        <v>2440</v>
      </c>
      <c r="E62" s="80">
        <v>2430</v>
      </c>
      <c r="F62" s="80" t="s">
        <v>20</v>
      </c>
    </row>
    <row r="63" ht="15" spans="1:6">
      <c r="A63" s="79">
        <v>45821</v>
      </c>
      <c r="B63" s="80" t="s">
        <v>19</v>
      </c>
      <c r="C63" s="80">
        <v>2295</v>
      </c>
      <c r="D63" s="80">
        <v>2315</v>
      </c>
      <c r="E63" s="80">
        <v>2305</v>
      </c>
      <c r="F63" s="80" t="s">
        <v>20</v>
      </c>
    </row>
    <row r="64" ht="15" spans="1:6">
      <c r="A64" s="79">
        <v>45820</v>
      </c>
      <c r="B64" s="80" t="s">
        <v>19</v>
      </c>
      <c r="C64" s="80">
        <v>2250</v>
      </c>
      <c r="D64" s="80">
        <v>2270</v>
      </c>
      <c r="E64" s="80">
        <v>2260</v>
      </c>
      <c r="F64" s="80" t="s">
        <v>20</v>
      </c>
    </row>
    <row r="65" ht="15" spans="1:6">
      <c r="A65" s="79">
        <v>45819</v>
      </c>
      <c r="B65" s="80" t="s">
        <v>19</v>
      </c>
      <c r="C65" s="80">
        <v>2260</v>
      </c>
      <c r="D65" s="80">
        <v>2280</v>
      </c>
      <c r="E65" s="80">
        <v>2270</v>
      </c>
      <c r="F65" s="80" t="s">
        <v>20</v>
      </c>
    </row>
    <row r="66" ht="15" spans="1:6">
      <c r="A66" s="79">
        <v>45818</v>
      </c>
      <c r="B66" s="80" t="s">
        <v>19</v>
      </c>
      <c r="C66" s="80">
        <v>2275</v>
      </c>
      <c r="D66" s="80">
        <v>2295</v>
      </c>
      <c r="E66" s="80">
        <v>2285</v>
      </c>
      <c r="F66" s="80" t="s">
        <v>20</v>
      </c>
    </row>
    <row r="67" ht="15" spans="1:6">
      <c r="A67" s="79">
        <v>45817</v>
      </c>
      <c r="B67" s="80" t="s">
        <v>19</v>
      </c>
      <c r="C67" s="80">
        <v>2280</v>
      </c>
      <c r="D67" s="80">
        <v>2300</v>
      </c>
      <c r="E67" s="80">
        <v>2290</v>
      </c>
      <c r="F67" s="80" t="s">
        <v>20</v>
      </c>
    </row>
    <row r="68" ht="15" spans="1:6">
      <c r="A68" s="79">
        <v>45814</v>
      </c>
      <c r="B68" s="80" t="s">
        <v>19</v>
      </c>
      <c r="C68" s="80">
        <v>2275</v>
      </c>
      <c r="D68" s="80">
        <v>2295</v>
      </c>
      <c r="E68" s="80">
        <v>2285</v>
      </c>
      <c r="F68" s="80" t="s">
        <v>20</v>
      </c>
    </row>
    <row r="69" ht="15" spans="1:6">
      <c r="A69" s="79">
        <v>45813</v>
      </c>
      <c r="B69" s="80" t="s">
        <v>19</v>
      </c>
      <c r="C69" s="80">
        <v>2270</v>
      </c>
      <c r="D69" s="80">
        <v>2290</v>
      </c>
      <c r="E69" s="80">
        <v>2280</v>
      </c>
      <c r="F69" s="80" t="s">
        <v>20</v>
      </c>
    </row>
    <row r="70" ht="15" spans="1:6">
      <c r="A70" s="79">
        <v>45812</v>
      </c>
      <c r="B70" s="80" t="s">
        <v>19</v>
      </c>
      <c r="C70" s="80">
        <v>2270</v>
      </c>
      <c r="D70" s="80">
        <v>2290</v>
      </c>
      <c r="E70" s="80">
        <v>2280</v>
      </c>
      <c r="F70" s="80" t="s">
        <v>20</v>
      </c>
    </row>
    <row r="71" ht="15" spans="1:6">
      <c r="A71" s="79">
        <v>45811</v>
      </c>
      <c r="B71" s="80" t="s">
        <v>19</v>
      </c>
      <c r="C71" s="80">
        <v>2375</v>
      </c>
      <c r="D71" s="80">
        <v>2395</v>
      </c>
      <c r="E71" s="80">
        <v>2385</v>
      </c>
      <c r="F71" s="80" t="s">
        <v>20</v>
      </c>
    </row>
    <row r="72" ht="15" spans="1:6">
      <c r="A72" s="79">
        <v>45807</v>
      </c>
      <c r="B72" s="80" t="s">
        <v>19</v>
      </c>
      <c r="C72" s="80">
        <v>2390</v>
      </c>
      <c r="D72" s="80">
        <v>2410</v>
      </c>
      <c r="E72" s="80">
        <v>2400</v>
      </c>
      <c r="F72" s="80" t="s">
        <v>20</v>
      </c>
    </row>
    <row r="73" ht="15" spans="1:6">
      <c r="A73" s="79">
        <v>45806</v>
      </c>
      <c r="B73" s="80" t="s">
        <v>19</v>
      </c>
      <c r="C73" s="80">
        <v>2390</v>
      </c>
      <c r="D73" s="80">
        <v>2410</v>
      </c>
      <c r="E73" s="80">
        <v>2400</v>
      </c>
      <c r="F73" s="80" t="s">
        <v>20</v>
      </c>
    </row>
    <row r="74" ht="15" spans="1:6">
      <c r="A74" s="79">
        <v>45805</v>
      </c>
      <c r="B74" s="80" t="s">
        <v>19</v>
      </c>
      <c r="C74" s="80">
        <v>2465</v>
      </c>
      <c r="D74" s="80">
        <v>2485</v>
      </c>
      <c r="E74" s="80">
        <v>2475</v>
      </c>
      <c r="F74" s="80" t="s">
        <v>20</v>
      </c>
    </row>
    <row r="75" ht="15" spans="1:6">
      <c r="A75" s="79">
        <v>45804</v>
      </c>
      <c r="B75" s="80" t="s">
        <v>19</v>
      </c>
      <c r="C75" s="80">
        <v>2480</v>
      </c>
      <c r="D75" s="80">
        <v>2500</v>
      </c>
      <c r="E75" s="80">
        <v>2490</v>
      </c>
      <c r="F75" s="80" t="s">
        <v>20</v>
      </c>
    </row>
    <row r="76" ht="15" spans="1:6">
      <c r="A76" s="79">
        <v>45803</v>
      </c>
      <c r="B76" s="80" t="s">
        <v>19</v>
      </c>
      <c r="C76" s="80">
        <v>2505</v>
      </c>
      <c r="D76" s="80">
        <v>2525</v>
      </c>
      <c r="E76" s="80">
        <v>2515</v>
      </c>
      <c r="F76" s="80" t="s">
        <v>20</v>
      </c>
    </row>
    <row r="77" ht="15" spans="1:6">
      <c r="A77" s="79">
        <v>45800</v>
      </c>
      <c r="B77" s="80" t="s">
        <v>19</v>
      </c>
      <c r="C77" s="80">
        <v>2480</v>
      </c>
      <c r="D77" s="80">
        <v>2500</v>
      </c>
      <c r="E77" s="80">
        <v>2490</v>
      </c>
      <c r="F77" s="80" t="s">
        <v>20</v>
      </c>
    </row>
    <row r="78" ht="15" spans="1:6">
      <c r="A78" s="79">
        <v>45799</v>
      </c>
      <c r="B78" s="80" t="s">
        <v>19</v>
      </c>
      <c r="C78" s="80">
        <v>2470</v>
      </c>
      <c r="D78" s="80">
        <v>2490</v>
      </c>
      <c r="E78" s="80">
        <v>2480</v>
      </c>
      <c r="F78" s="80" t="s">
        <v>20</v>
      </c>
    </row>
    <row r="79" ht="15" spans="1:6">
      <c r="A79" s="79">
        <v>45798</v>
      </c>
      <c r="B79" s="80" t="s">
        <v>19</v>
      </c>
      <c r="C79" s="80">
        <v>2480</v>
      </c>
      <c r="D79" s="80">
        <v>2500</v>
      </c>
      <c r="E79" s="80">
        <v>2490</v>
      </c>
      <c r="F79" s="80" t="s">
        <v>20</v>
      </c>
    </row>
    <row r="80" ht="15" spans="1:6">
      <c r="A80" s="79">
        <v>45797</v>
      </c>
      <c r="B80" s="80" t="s">
        <v>19</v>
      </c>
      <c r="C80" s="80">
        <v>2470</v>
      </c>
      <c r="D80" s="80">
        <v>2490</v>
      </c>
      <c r="E80" s="80">
        <v>2480</v>
      </c>
      <c r="F80" s="80" t="s">
        <v>20</v>
      </c>
    </row>
    <row r="81" ht="15" spans="1:6">
      <c r="A81" s="79">
        <v>45796</v>
      </c>
      <c r="B81" s="80" t="s">
        <v>19</v>
      </c>
      <c r="C81" s="80">
        <v>2515</v>
      </c>
      <c r="D81" s="80">
        <v>2535</v>
      </c>
      <c r="E81" s="80">
        <v>2525</v>
      </c>
      <c r="F81" s="80" t="s">
        <v>20</v>
      </c>
    </row>
    <row r="82" ht="15" spans="1:6">
      <c r="A82" s="79">
        <v>45793</v>
      </c>
      <c r="B82" s="80" t="s">
        <v>19</v>
      </c>
      <c r="C82" s="80">
        <v>2550</v>
      </c>
      <c r="D82" s="80">
        <v>2570</v>
      </c>
      <c r="E82" s="80">
        <v>2560</v>
      </c>
      <c r="F82" s="80" t="s">
        <v>20</v>
      </c>
    </row>
    <row r="83" ht="15" spans="1:6">
      <c r="A83" s="79">
        <v>45792</v>
      </c>
      <c r="B83" s="80" t="s">
        <v>19</v>
      </c>
      <c r="C83" s="80">
        <v>2560</v>
      </c>
      <c r="D83" s="80">
        <v>2580</v>
      </c>
      <c r="E83" s="80">
        <v>2570</v>
      </c>
      <c r="F83" s="80" t="s">
        <v>20</v>
      </c>
    </row>
    <row r="84" ht="15" spans="1:6">
      <c r="A84" s="79">
        <v>45791</v>
      </c>
      <c r="B84" s="80" t="s">
        <v>19</v>
      </c>
      <c r="C84" s="80">
        <v>2560</v>
      </c>
      <c r="D84" s="80">
        <v>2580</v>
      </c>
      <c r="E84" s="80">
        <v>2570</v>
      </c>
      <c r="F84" s="80" t="s">
        <v>20</v>
      </c>
    </row>
    <row r="85" ht="15" spans="1:6">
      <c r="A85" s="79">
        <v>45790</v>
      </c>
      <c r="B85" s="80" t="s">
        <v>19</v>
      </c>
      <c r="C85" s="80">
        <v>2575</v>
      </c>
      <c r="D85" s="80">
        <v>2595</v>
      </c>
      <c r="E85" s="80">
        <v>2585</v>
      </c>
      <c r="F85" s="80" t="s">
        <v>20</v>
      </c>
    </row>
    <row r="86" ht="15" spans="1:6">
      <c r="A86" s="79">
        <v>45789</v>
      </c>
      <c r="B86" s="80" t="s">
        <v>19</v>
      </c>
      <c r="C86" s="80">
        <v>2590</v>
      </c>
      <c r="D86" s="80">
        <v>2610</v>
      </c>
      <c r="E86" s="80">
        <v>2600</v>
      </c>
      <c r="F86" s="80" t="s">
        <v>20</v>
      </c>
    </row>
    <row r="87" ht="15" spans="1:6">
      <c r="A87" s="79">
        <v>45786</v>
      </c>
      <c r="B87" s="80" t="s">
        <v>19</v>
      </c>
      <c r="C87" s="80">
        <v>2590</v>
      </c>
      <c r="D87" s="80">
        <v>2610</v>
      </c>
      <c r="E87" s="80">
        <v>2600</v>
      </c>
      <c r="F87" s="80" t="s">
        <v>20</v>
      </c>
    </row>
    <row r="88" ht="15" spans="1:6">
      <c r="A88" s="79">
        <v>45785</v>
      </c>
      <c r="B88" s="80" t="s">
        <v>19</v>
      </c>
      <c r="C88" s="80">
        <v>2600</v>
      </c>
      <c r="D88" s="80">
        <v>2620</v>
      </c>
      <c r="E88" s="80">
        <v>2610</v>
      </c>
      <c r="F88" s="80" t="s">
        <v>20</v>
      </c>
    </row>
    <row r="89" ht="15" spans="1:6">
      <c r="A89" s="79">
        <v>45784</v>
      </c>
      <c r="B89" s="80" t="s">
        <v>19</v>
      </c>
      <c r="C89" s="80">
        <v>2600</v>
      </c>
      <c r="D89" s="80">
        <v>2620</v>
      </c>
      <c r="E89" s="80">
        <v>2610</v>
      </c>
      <c r="F89" s="80" t="s">
        <v>20</v>
      </c>
    </row>
    <row r="90" ht="15" spans="1:6">
      <c r="A90" s="79">
        <v>45783</v>
      </c>
      <c r="B90" s="80" t="s">
        <v>19</v>
      </c>
      <c r="C90" s="80">
        <v>2540</v>
      </c>
      <c r="D90" s="80">
        <v>2560</v>
      </c>
      <c r="E90" s="80">
        <v>2550</v>
      </c>
      <c r="F90" s="80" t="s">
        <v>20</v>
      </c>
    </row>
    <row r="91" ht="15" spans="1:6">
      <c r="A91" s="79">
        <v>45777</v>
      </c>
      <c r="B91" s="80" t="s">
        <v>19</v>
      </c>
      <c r="C91" s="80">
        <v>2540</v>
      </c>
      <c r="D91" s="80">
        <v>2560</v>
      </c>
      <c r="E91" s="80">
        <v>2550</v>
      </c>
      <c r="F91" s="80" t="s">
        <v>20</v>
      </c>
    </row>
    <row r="92" ht="15" spans="1:6">
      <c r="A92" s="79">
        <v>45776</v>
      </c>
      <c r="B92" s="80" t="s">
        <v>19</v>
      </c>
      <c r="C92" s="80">
        <v>2430</v>
      </c>
      <c r="D92" s="80">
        <v>2450</v>
      </c>
      <c r="E92" s="80">
        <v>2440</v>
      </c>
      <c r="F92" s="80" t="s">
        <v>20</v>
      </c>
    </row>
    <row r="93" ht="15" spans="1:6">
      <c r="A93" s="79">
        <v>45775</v>
      </c>
      <c r="B93" s="80" t="s">
        <v>19</v>
      </c>
      <c r="C93" s="80">
        <v>2410</v>
      </c>
      <c r="D93" s="80">
        <v>2430</v>
      </c>
      <c r="E93" s="80">
        <v>2420</v>
      </c>
      <c r="F93" s="80" t="s">
        <v>20</v>
      </c>
    </row>
    <row r="94" ht="15" spans="1:6">
      <c r="A94" s="79">
        <v>45774</v>
      </c>
      <c r="B94" s="80" t="s">
        <v>19</v>
      </c>
      <c r="C94" s="80">
        <v>2440</v>
      </c>
      <c r="D94" s="80">
        <v>2460</v>
      </c>
      <c r="E94" s="80">
        <v>2450</v>
      </c>
      <c r="F94" s="80" t="s">
        <v>20</v>
      </c>
    </row>
    <row r="95" ht="15" spans="1:6">
      <c r="A95" s="79">
        <v>45772</v>
      </c>
      <c r="B95" s="80" t="s">
        <v>19</v>
      </c>
      <c r="C95" s="80">
        <v>2345</v>
      </c>
      <c r="D95" s="80">
        <v>2365</v>
      </c>
      <c r="E95" s="80">
        <v>2355</v>
      </c>
      <c r="F95" s="80" t="s">
        <v>20</v>
      </c>
    </row>
    <row r="96" ht="15" spans="1:6">
      <c r="A96" s="79">
        <v>45771</v>
      </c>
      <c r="B96" s="80" t="s">
        <v>19</v>
      </c>
      <c r="C96" s="80">
        <v>2345</v>
      </c>
      <c r="D96" s="80">
        <v>2365</v>
      </c>
      <c r="E96" s="80">
        <v>2355</v>
      </c>
      <c r="F96" s="80" t="s">
        <v>20</v>
      </c>
    </row>
    <row r="97" ht="15" spans="1:6">
      <c r="A97" s="79">
        <v>45770</v>
      </c>
      <c r="B97" s="80" t="s">
        <v>19</v>
      </c>
      <c r="C97" s="80">
        <v>2345</v>
      </c>
      <c r="D97" s="80">
        <v>2365</v>
      </c>
      <c r="E97" s="80">
        <v>2355</v>
      </c>
      <c r="F97" s="80" t="s">
        <v>20</v>
      </c>
    </row>
    <row r="98" ht="15" spans="1:6">
      <c r="A98" s="79">
        <v>45769</v>
      </c>
      <c r="B98" s="80" t="s">
        <v>19</v>
      </c>
      <c r="C98" s="80">
        <v>2355</v>
      </c>
      <c r="D98" s="80">
        <v>2375</v>
      </c>
      <c r="E98" s="80">
        <v>2365</v>
      </c>
      <c r="F98" s="80" t="s">
        <v>20</v>
      </c>
    </row>
    <row r="99" ht="15" spans="1:6">
      <c r="A99" s="79">
        <v>45768</v>
      </c>
      <c r="B99" s="80" t="s">
        <v>19</v>
      </c>
      <c r="C99" s="80">
        <v>2345</v>
      </c>
      <c r="D99" s="80">
        <v>2365</v>
      </c>
      <c r="E99" s="80">
        <v>2355</v>
      </c>
      <c r="F99" s="80" t="s">
        <v>20</v>
      </c>
    </row>
    <row r="100" ht="15" spans="1:6">
      <c r="A100" s="79">
        <v>45765</v>
      </c>
      <c r="B100" s="80" t="s">
        <v>19</v>
      </c>
      <c r="C100" s="80">
        <v>2280</v>
      </c>
      <c r="D100" s="80">
        <v>2300</v>
      </c>
      <c r="E100" s="80">
        <v>2290</v>
      </c>
      <c r="F100" s="80" t="s">
        <v>20</v>
      </c>
    </row>
    <row r="101" ht="15" spans="1:6">
      <c r="A101" s="79">
        <v>45764</v>
      </c>
      <c r="B101" s="80" t="s">
        <v>19</v>
      </c>
      <c r="C101" s="80">
        <v>2280</v>
      </c>
      <c r="D101" s="80">
        <v>2300</v>
      </c>
      <c r="E101" s="80">
        <v>2290</v>
      </c>
      <c r="F101" s="80" t="s">
        <v>20</v>
      </c>
    </row>
    <row r="102" ht="15" spans="1:6">
      <c r="A102" s="79">
        <v>45763</v>
      </c>
      <c r="B102" s="80" t="s">
        <v>19</v>
      </c>
      <c r="C102" s="80">
        <v>2290</v>
      </c>
      <c r="D102" s="80">
        <v>2310</v>
      </c>
      <c r="E102" s="80">
        <v>2300</v>
      </c>
      <c r="F102" s="80" t="s">
        <v>20</v>
      </c>
    </row>
    <row r="103" ht="15" spans="1:6">
      <c r="A103" s="79">
        <v>45762</v>
      </c>
      <c r="B103" s="80" t="s">
        <v>19</v>
      </c>
      <c r="C103" s="80">
        <v>2315</v>
      </c>
      <c r="D103" s="80">
        <v>2335</v>
      </c>
      <c r="E103" s="80">
        <v>2325</v>
      </c>
      <c r="F103" s="80" t="s">
        <v>20</v>
      </c>
    </row>
    <row r="104" ht="15" spans="1:6">
      <c r="A104" s="79">
        <v>45761</v>
      </c>
      <c r="B104" s="80" t="s">
        <v>19</v>
      </c>
      <c r="C104" s="80">
        <v>2345</v>
      </c>
      <c r="D104" s="80">
        <v>2365</v>
      </c>
      <c r="E104" s="80">
        <v>2355</v>
      </c>
      <c r="F104" s="80" t="s">
        <v>20</v>
      </c>
    </row>
    <row r="105" ht="15" spans="1:6">
      <c r="A105" s="79">
        <v>45758</v>
      </c>
      <c r="B105" s="80" t="s">
        <v>19</v>
      </c>
      <c r="C105" s="80">
        <v>2345</v>
      </c>
      <c r="D105" s="80">
        <v>2365</v>
      </c>
      <c r="E105" s="80">
        <v>2355</v>
      </c>
      <c r="F105" s="80" t="s">
        <v>20</v>
      </c>
    </row>
    <row r="106" ht="15" spans="1:6">
      <c r="A106" s="79">
        <v>45757</v>
      </c>
      <c r="B106" s="80" t="s">
        <v>19</v>
      </c>
      <c r="C106" s="80">
        <v>2340</v>
      </c>
      <c r="D106" s="80">
        <v>2360</v>
      </c>
      <c r="E106" s="80">
        <v>2350</v>
      </c>
      <c r="F106" s="80" t="s">
        <v>20</v>
      </c>
    </row>
    <row r="107" ht="15" spans="1:6">
      <c r="A107" s="79">
        <v>45756</v>
      </c>
      <c r="B107" s="80" t="s">
        <v>19</v>
      </c>
      <c r="C107" s="80">
        <v>2320</v>
      </c>
      <c r="D107" s="80">
        <v>2340</v>
      </c>
      <c r="E107" s="80">
        <v>2330</v>
      </c>
      <c r="F107" s="80" t="s">
        <v>20</v>
      </c>
    </row>
    <row r="108" ht="15" spans="1:6">
      <c r="A108" s="79">
        <v>45755</v>
      </c>
      <c r="B108" s="80" t="s">
        <v>19</v>
      </c>
      <c r="C108" s="80">
        <v>2390</v>
      </c>
      <c r="D108" s="80">
        <v>2410</v>
      </c>
      <c r="E108" s="80">
        <v>2400</v>
      </c>
      <c r="F108" s="80" t="s">
        <v>20</v>
      </c>
    </row>
    <row r="109" ht="15" spans="1:6">
      <c r="A109" s="79">
        <v>45754</v>
      </c>
      <c r="B109" s="80" t="s">
        <v>19</v>
      </c>
      <c r="C109" s="80">
        <v>2430</v>
      </c>
      <c r="D109" s="80">
        <v>2450</v>
      </c>
      <c r="E109" s="80">
        <v>2440</v>
      </c>
      <c r="F109" s="80" t="s">
        <v>20</v>
      </c>
    </row>
    <row r="110" ht="15" spans="1:6">
      <c r="A110" s="79">
        <v>45750</v>
      </c>
      <c r="B110" s="80" t="s">
        <v>19</v>
      </c>
      <c r="C110" s="80">
        <v>2445</v>
      </c>
      <c r="D110" s="80">
        <v>2465</v>
      </c>
      <c r="E110" s="80">
        <v>2455</v>
      </c>
      <c r="F110" s="80" t="s">
        <v>20</v>
      </c>
    </row>
    <row r="111" ht="15" spans="1:6">
      <c r="A111" s="79">
        <v>45749</v>
      </c>
      <c r="B111" s="80" t="s">
        <v>19</v>
      </c>
      <c r="C111" s="80">
        <v>2445</v>
      </c>
      <c r="D111" s="80">
        <v>2465</v>
      </c>
      <c r="E111" s="80">
        <v>2455</v>
      </c>
      <c r="F111" s="80" t="s">
        <v>20</v>
      </c>
    </row>
    <row r="112" ht="15" spans="1:6">
      <c r="A112" s="79">
        <v>45748</v>
      </c>
      <c r="B112" s="80" t="s">
        <v>19</v>
      </c>
      <c r="C112" s="80">
        <v>2450</v>
      </c>
      <c r="D112" s="80">
        <v>2470</v>
      </c>
      <c r="E112" s="80">
        <v>2460</v>
      </c>
      <c r="F112" s="80" t="s">
        <v>20</v>
      </c>
    </row>
    <row r="113" ht="15" spans="1:6">
      <c r="A113" s="79">
        <v>45747</v>
      </c>
      <c r="B113" s="80" t="s">
        <v>19</v>
      </c>
      <c r="C113" s="80">
        <v>2450</v>
      </c>
      <c r="D113" s="80">
        <v>2470</v>
      </c>
      <c r="E113" s="80">
        <v>2460</v>
      </c>
      <c r="F113" s="80" t="s">
        <v>20</v>
      </c>
    </row>
    <row r="114" ht="15" spans="1:6">
      <c r="A114" s="79">
        <v>45744</v>
      </c>
      <c r="B114" s="80" t="s">
        <v>19</v>
      </c>
      <c r="C114" s="80">
        <v>2450</v>
      </c>
      <c r="D114" s="80">
        <v>2470</v>
      </c>
      <c r="E114" s="80">
        <v>2460</v>
      </c>
      <c r="F114" s="80" t="s">
        <v>20</v>
      </c>
    </row>
    <row r="115" ht="15" spans="1:6">
      <c r="A115" s="79">
        <v>45743</v>
      </c>
      <c r="B115" s="80" t="s">
        <v>19</v>
      </c>
      <c r="C115" s="80">
        <v>2445</v>
      </c>
      <c r="D115" s="80">
        <v>2465</v>
      </c>
      <c r="E115" s="80">
        <v>2455</v>
      </c>
      <c r="F115" s="80" t="s">
        <v>20</v>
      </c>
    </row>
    <row r="116" ht="15" spans="1:6">
      <c r="A116" s="79">
        <v>45742</v>
      </c>
      <c r="B116" s="80" t="s">
        <v>19</v>
      </c>
      <c r="C116" s="80">
        <v>2445</v>
      </c>
      <c r="D116" s="80">
        <v>2465</v>
      </c>
      <c r="E116" s="80">
        <v>2455</v>
      </c>
      <c r="F116" s="80" t="s">
        <v>20</v>
      </c>
    </row>
    <row r="117" ht="15" spans="1:6">
      <c r="A117" s="79">
        <v>45741</v>
      </c>
      <c r="B117" s="80" t="s">
        <v>19</v>
      </c>
      <c r="C117" s="80">
        <v>2445</v>
      </c>
      <c r="D117" s="80">
        <v>2465</v>
      </c>
      <c r="E117" s="80">
        <v>2455</v>
      </c>
      <c r="F117" s="80" t="s">
        <v>20</v>
      </c>
    </row>
    <row r="118" ht="15" spans="1:6">
      <c r="A118" s="79">
        <v>45740</v>
      </c>
      <c r="B118" s="80" t="s">
        <v>19</v>
      </c>
      <c r="C118" s="80">
        <v>2440</v>
      </c>
      <c r="D118" s="80">
        <v>2460</v>
      </c>
      <c r="E118" s="80">
        <v>2450</v>
      </c>
      <c r="F118" s="80" t="s">
        <v>20</v>
      </c>
    </row>
    <row r="119" ht="15" spans="1:6">
      <c r="A119" s="79">
        <v>45737</v>
      </c>
      <c r="B119" s="80" t="s">
        <v>19</v>
      </c>
      <c r="C119" s="80">
        <v>2430</v>
      </c>
      <c r="D119" s="80">
        <v>2450</v>
      </c>
      <c r="E119" s="80">
        <v>2440</v>
      </c>
      <c r="F119" s="80" t="s">
        <v>20</v>
      </c>
    </row>
    <row r="120" ht="15" spans="1:6">
      <c r="A120" s="79">
        <v>45736</v>
      </c>
      <c r="B120" s="80" t="s">
        <v>19</v>
      </c>
      <c r="C120" s="80">
        <v>2430</v>
      </c>
      <c r="D120" s="80">
        <v>2450</v>
      </c>
      <c r="E120" s="80">
        <v>2440</v>
      </c>
      <c r="F120" s="80" t="s">
        <v>20</v>
      </c>
    </row>
    <row r="121" ht="15" spans="1:6">
      <c r="A121" s="79">
        <v>45735</v>
      </c>
      <c r="B121" s="80" t="s">
        <v>19</v>
      </c>
      <c r="C121" s="80">
        <v>2455</v>
      </c>
      <c r="D121" s="80">
        <v>2475</v>
      </c>
      <c r="E121" s="80">
        <v>2465</v>
      </c>
      <c r="F121" s="80" t="s">
        <v>20</v>
      </c>
    </row>
    <row r="122" ht="15" spans="1:6">
      <c r="A122" s="79">
        <v>45734</v>
      </c>
      <c r="B122" s="80" t="s">
        <v>19</v>
      </c>
      <c r="C122" s="80">
        <v>2430</v>
      </c>
      <c r="D122" s="80">
        <v>2450</v>
      </c>
      <c r="E122" s="80">
        <v>2440</v>
      </c>
      <c r="F122" s="80" t="s">
        <v>20</v>
      </c>
    </row>
    <row r="123" ht="15" spans="1:6">
      <c r="A123" s="79">
        <v>45733</v>
      </c>
      <c r="B123" s="80" t="s">
        <v>19</v>
      </c>
      <c r="C123" s="80">
        <v>2430</v>
      </c>
      <c r="D123" s="80">
        <v>2450</v>
      </c>
      <c r="E123" s="80">
        <v>2440</v>
      </c>
      <c r="F123" s="80" t="s">
        <v>20</v>
      </c>
    </row>
    <row r="124" ht="15" spans="1:6">
      <c r="A124" s="79">
        <v>45730</v>
      </c>
      <c r="B124" s="80" t="s">
        <v>19</v>
      </c>
      <c r="C124" s="80">
        <v>2335</v>
      </c>
      <c r="D124" s="80">
        <v>2355</v>
      </c>
      <c r="E124" s="80">
        <v>2345</v>
      </c>
      <c r="F124" s="80" t="s">
        <v>20</v>
      </c>
    </row>
    <row r="125" ht="15" spans="1:6">
      <c r="A125" s="79">
        <v>45729</v>
      </c>
      <c r="B125" s="80" t="s">
        <v>19</v>
      </c>
      <c r="C125" s="80">
        <v>2335</v>
      </c>
      <c r="D125" s="80">
        <v>2355</v>
      </c>
      <c r="E125" s="80">
        <v>2345</v>
      </c>
      <c r="F125" s="80" t="s">
        <v>20</v>
      </c>
    </row>
    <row r="126" ht="15" spans="1:6">
      <c r="A126" s="79">
        <v>45728</v>
      </c>
      <c r="B126" s="80" t="s">
        <v>19</v>
      </c>
      <c r="C126" s="80">
        <v>2340</v>
      </c>
      <c r="D126" s="80">
        <v>2360</v>
      </c>
      <c r="E126" s="80">
        <v>2350</v>
      </c>
      <c r="F126" s="80" t="s">
        <v>20</v>
      </c>
    </row>
    <row r="127" ht="15" spans="1:6">
      <c r="A127" s="79">
        <v>45727</v>
      </c>
      <c r="B127" s="80" t="s">
        <v>19</v>
      </c>
      <c r="C127" s="80">
        <v>2330</v>
      </c>
      <c r="D127" s="80">
        <v>2350</v>
      </c>
      <c r="E127" s="80">
        <v>2340</v>
      </c>
      <c r="F127" s="80" t="s">
        <v>20</v>
      </c>
    </row>
    <row r="128" ht="15" spans="1:6">
      <c r="A128" s="79">
        <v>45726</v>
      </c>
      <c r="B128" s="80" t="s">
        <v>19</v>
      </c>
      <c r="C128" s="80">
        <v>2300</v>
      </c>
      <c r="D128" s="80">
        <v>2320</v>
      </c>
      <c r="E128" s="80">
        <v>2310</v>
      </c>
      <c r="F128" s="80" t="s">
        <v>20</v>
      </c>
    </row>
    <row r="129" ht="15" spans="1:6">
      <c r="A129" s="79">
        <v>45723</v>
      </c>
      <c r="B129" s="80" t="s">
        <v>19</v>
      </c>
      <c r="C129" s="80">
        <v>2340</v>
      </c>
      <c r="D129" s="80">
        <v>2360</v>
      </c>
      <c r="E129" s="80">
        <v>2350</v>
      </c>
      <c r="F129" s="80" t="s">
        <v>20</v>
      </c>
    </row>
    <row r="130" ht="15" spans="1:6">
      <c r="A130" s="79">
        <v>45722</v>
      </c>
      <c r="B130" s="80" t="s">
        <v>19</v>
      </c>
      <c r="C130" s="80">
        <v>2350</v>
      </c>
      <c r="D130" s="80">
        <v>2370</v>
      </c>
      <c r="E130" s="80">
        <v>2360</v>
      </c>
      <c r="F130" s="80" t="s">
        <v>20</v>
      </c>
    </row>
    <row r="131" ht="15" spans="1:6">
      <c r="A131" s="79">
        <v>45721</v>
      </c>
      <c r="B131" s="80" t="s">
        <v>19</v>
      </c>
      <c r="C131" s="80">
        <v>2330</v>
      </c>
      <c r="D131" s="80">
        <v>2350</v>
      </c>
      <c r="E131" s="80">
        <v>2340</v>
      </c>
      <c r="F131" s="80" t="s">
        <v>20</v>
      </c>
    </row>
    <row r="132" ht="15" spans="1:6">
      <c r="A132" s="79">
        <v>45720</v>
      </c>
      <c r="B132" s="80" t="s">
        <v>19</v>
      </c>
      <c r="C132" s="80">
        <v>2340</v>
      </c>
      <c r="D132" s="80">
        <v>2360</v>
      </c>
      <c r="E132" s="80">
        <v>2350</v>
      </c>
      <c r="F132" s="80" t="s">
        <v>20</v>
      </c>
    </row>
    <row r="133" ht="15" spans="1:6">
      <c r="A133" s="79">
        <v>45719</v>
      </c>
      <c r="B133" s="80" t="s">
        <v>19</v>
      </c>
      <c r="C133" s="80">
        <v>2175</v>
      </c>
      <c r="D133" s="80">
        <v>2195</v>
      </c>
      <c r="E133" s="80">
        <v>2185</v>
      </c>
      <c r="F133" s="80" t="s">
        <v>20</v>
      </c>
    </row>
    <row r="134" ht="15" spans="1:6">
      <c r="A134" s="79">
        <v>45716</v>
      </c>
      <c r="B134" s="80" t="s">
        <v>19</v>
      </c>
      <c r="C134" s="80">
        <v>2050</v>
      </c>
      <c r="D134" s="80">
        <v>2070</v>
      </c>
      <c r="E134" s="80">
        <v>2060</v>
      </c>
      <c r="F134" s="80" t="s">
        <v>20</v>
      </c>
    </row>
    <row r="135" ht="15" spans="1:6">
      <c r="A135" s="79">
        <v>45715</v>
      </c>
      <c r="B135" s="80" t="s">
        <v>19</v>
      </c>
      <c r="C135" s="80">
        <v>2035</v>
      </c>
      <c r="D135" s="80">
        <v>2055</v>
      </c>
      <c r="E135" s="80">
        <v>2045</v>
      </c>
      <c r="F135" s="80" t="s">
        <v>20</v>
      </c>
    </row>
    <row r="136" ht="15" spans="1:6">
      <c r="A136" s="79">
        <v>45714</v>
      </c>
      <c r="B136" s="80" t="s">
        <v>19</v>
      </c>
      <c r="C136" s="80">
        <v>2040</v>
      </c>
      <c r="D136" s="80">
        <v>2060</v>
      </c>
      <c r="E136" s="80">
        <v>2050</v>
      </c>
      <c r="F136" s="80" t="s">
        <v>20</v>
      </c>
    </row>
    <row r="137" ht="15" spans="1:6">
      <c r="A137" s="79">
        <v>45713</v>
      </c>
      <c r="B137" s="80" t="s">
        <v>19</v>
      </c>
      <c r="C137" s="80">
        <v>2020</v>
      </c>
      <c r="D137" s="80">
        <v>2040</v>
      </c>
      <c r="E137" s="80">
        <v>2030</v>
      </c>
      <c r="F137" s="80" t="s">
        <v>20</v>
      </c>
    </row>
    <row r="138" ht="15" spans="1:6">
      <c r="A138" s="79">
        <v>45712</v>
      </c>
      <c r="B138" s="80" t="s">
        <v>19</v>
      </c>
      <c r="C138" s="80">
        <v>1930</v>
      </c>
      <c r="D138" s="80">
        <v>1950</v>
      </c>
      <c r="E138" s="80">
        <v>1940</v>
      </c>
      <c r="F138" s="80" t="s">
        <v>20</v>
      </c>
    </row>
    <row r="139" ht="15" spans="1:6">
      <c r="A139" s="79">
        <v>45709</v>
      </c>
      <c r="B139" s="80" t="s">
        <v>19</v>
      </c>
      <c r="C139" s="80">
        <v>1935</v>
      </c>
      <c r="D139" s="80">
        <v>1955</v>
      </c>
      <c r="E139" s="80">
        <v>1945</v>
      </c>
      <c r="F139" s="80" t="s">
        <v>20</v>
      </c>
    </row>
    <row r="140" ht="15" spans="1:6">
      <c r="A140" s="79">
        <v>45708</v>
      </c>
      <c r="B140" s="80" t="s">
        <v>19</v>
      </c>
      <c r="C140" s="80">
        <v>1860</v>
      </c>
      <c r="D140" s="80">
        <v>1880</v>
      </c>
      <c r="E140" s="80">
        <v>1870</v>
      </c>
      <c r="F140" s="80" t="s">
        <v>20</v>
      </c>
    </row>
    <row r="141" ht="15" spans="1:6">
      <c r="A141" s="79">
        <v>45707</v>
      </c>
      <c r="B141" s="80" t="s">
        <v>19</v>
      </c>
      <c r="C141" s="80">
        <v>1740</v>
      </c>
      <c r="D141" s="80">
        <v>1760</v>
      </c>
      <c r="E141" s="80">
        <v>1750</v>
      </c>
      <c r="F141" s="80" t="s">
        <v>20</v>
      </c>
    </row>
    <row r="142" ht="15" spans="1:6">
      <c r="A142" s="79">
        <v>45706</v>
      </c>
      <c r="B142" s="80" t="s">
        <v>19</v>
      </c>
      <c r="C142" s="80">
        <v>1690</v>
      </c>
      <c r="D142" s="80">
        <v>1710</v>
      </c>
      <c r="E142" s="80">
        <v>1700</v>
      </c>
      <c r="F142" s="80" t="s">
        <v>20</v>
      </c>
    </row>
    <row r="143" ht="15" spans="1:6">
      <c r="A143" s="79">
        <v>45705</v>
      </c>
      <c r="B143" s="80" t="s">
        <v>19</v>
      </c>
      <c r="C143" s="80">
        <v>1675</v>
      </c>
      <c r="D143" s="80">
        <v>1695</v>
      </c>
      <c r="E143" s="80">
        <v>1685</v>
      </c>
      <c r="F143" s="80" t="s">
        <v>20</v>
      </c>
    </row>
    <row r="144" ht="15" spans="1:6">
      <c r="A144" s="79">
        <v>45702</v>
      </c>
      <c r="B144" s="80" t="s">
        <v>19</v>
      </c>
      <c r="C144" s="80">
        <v>1650</v>
      </c>
      <c r="D144" s="80">
        <v>1670</v>
      </c>
      <c r="E144" s="80">
        <v>1660</v>
      </c>
      <c r="F144" s="80" t="s">
        <v>20</v>
      </c>
    </row>
    <row r="145" ht="15" spans="1:6">
      <c r="A145" s="79">
        <v>45701</v>
      </c>
      <c r="B145" s="80" t="s">
        <v>19</v>
      </c>
      <c r="C145" s="80">
        <v>1640</v>
      </c>
      <c r="D145" s="80">
        <v>1660</v>
      </c>
      <c r="E145" s="80">
        <v>1650</v>
      </c>
      <c r="F145" s="80" t="s">
        <v>20</v>
      </c>
    </row>
    <row r="146" ht="15" spans="1:6">
      <c r="A146" s="79">
        <v>45700</v>
      </c>
      <c r="B146" s="80" t="s">
        <v>19</v>
      </c>
      <c r="C146" s="80">
        <v>1635</v>
      </c>
      <c r="D146" s="80">
        <v>1655</v>
      </c>
      <c r="E146" s="80">
        <v>1645</v>
      </c>
      <c r="F146" s="80" t="s">
        <v>20</v>
      </c>
    </row>
    <row r="147" ht="15" spans="1:6">
      <c r="A147" s="79">
        <v>45699</v>
      </c>
      <c r="B147" s="80" t="s">
        <v>19</v>
      </c>
      <c r="C147" s="80">
        <v>1630</v>
      </c>
      <c r="D147" s="80">
        <v>1650</v>
      </c>
      <c r="E147" s="80">
        <v>1640</v>
      </c>
      <c r="F147" s="80" t="s">
        <v>20</v>
      </c>
    </row>
    <row r="148" ht="15" spans="1:6">
      <c r="A148" s="79">
        <v>45698</v>
      </c>
      <c r="B148" s="80" t="s">
        <v>19</v>
      </c>
      <c r="C148" s="80">
        <v>1630</v>
      </c>
      <c r="D148" s="80">
        <v>1650</v>
      </c>
      <c r="E148" s="80">
        <v>1640</v>
      </c>
      <c r="F148" s="80" t="s">
        <v>20</v>
      </c>
    </row>
    <row r="149" ht="15" spans="1:6">
      <c r="A149" s="79">
        <v>45696</v>
      </c>
      <c r="B149" s="80" t="s">
        <v>19</v>
      </c>
      <c r="C149" s="80">
        <v>1630</v>
      </c>
      <c r="D149" s="80">
        <v>1650</v>
      </c>
      <c r="E149" s="80">
        <v>1640</v>
      </c>
      <c r="F149" s="80" t="s">
        <v>20</v>
      </c>
    </row>
    <row r="150" ht="15" spans="1:6">
      <c r="A150" s="79">
        <v>45695</v>
      </c>
      <c r="B150" s="80" t="s">
        <v>19</v>
      </c>
      <c r="C150" s="80">
        <v>1630</v>
      </c>
      <c r="D150" s="80">
        <v>1650</v>
      </c>
      <c r="E150" s="80">
        <v>1640</v>
      </c>
      <c r="F150" s="80" t="s">
        <v>20</v>
      </c>
    </row>
    <row r="151" ht="15" spans="1:6">
      <c r="A151" s="79">
        <v>45694</v>
      </c>
      <c r="B151" s="80" t="s">
        <v>19</v>
      </c>
      <c r="C151" s="80">
        <v>1635</v>
      </c>
      <c r="D151" s="80">
        <v>1655</v>
      </c>
      <c r="E151" s="80">
        <v>1645</v>
      </c>
      <c r="F151" s="80" t="s">
        <v>20</v>
      </c>
    </row>
    <row r="152" ht="15" spans="1:6">
      <c r="A152" s="79">
        <v>45693</v>
      </c>
      <c r="B152" s="80" t="s">
        <v>19</v>
      </c>
      <c r="C152" s="80">
        <v>1590</v>
      </c>
      <c r="D152" s="80">
        <v>1610</v>
      </c>
      <c r="E152" s="80">
        <v>1600</v>
      </c>
      <c r="F152" s="80" t="s">
        <v>20</v>
      </c>
    </row>
    <row r="153" ht="15" spans="1:6">
      <c r="A153" s="79">
        <v>45684</v>
      </c>
      <c r="B153" s="80" t="s">
        <v>19</v>
      </c>
      <c r="C153" s="80">
        <v>1570</v>
      </c>
      <c r="D153" s="80">
        <v>1590</v>
      </c>
      <c r="E153" s="80">
        <v>1580</v>
      </c>
      <c r="F153" s="80" t="s">
        <v>20</v>
      </c>
    </row>
    <row r="154" ht="15" spans="1:6">
      <c r="A154" s="79">
        <v>45683</v>
      </c>
      <c r="B154" s="80" t="s">
        <v>19</v>
      </c>
      <c r="C154" s="80">
        <v>1570</v>
      </c>
      <c r="D154" s="80">
        <v>1590</v>
      </c>
      <c r="E154" s="80">
        <v>1580</v>
      </c>
      <c r="F154" s="80" t="s">
        <v>20</v>
      </c>
    </row>
    <row r="155" ht="15" spans="1:6">
      <c r="A155" s="79">
        <v>45681</v>
      </c>
      <c r="B155" s="80" t="s">
        <v>19</v>
      </c>
      <c r="C155" s="80">
        <v>1570</v>
      </c>
      <c r="D155" s="80">
        <v>1590</v>
      </c>
      <c r="E155" s="80">
        <v>1580</v>
      </c>
      <c r="F155" s="80" t="s">
        <v>20</v>
      </c>
    </row>
    <row r="156" ht="15" spans="1:6">
      <c r="A156" s="79">
        <v>45680</v>
      </c>
      <c r="B156" s="80" t="s">
        <v>19</v>
      </c>
      <c r="C156" s="80">
        <v>1570</v>
      </c>
      <c r="D156" s="80">
        <v>1590</v>
      </c>
      <c r="E156" s="80">
        <v>1580</v>
      </c>
      <c r="F156" s="80" t="s">
        <v>20</v>
      </c>
    </row>
    <row r="157" ht="15" spans="1:6">
      <c r="A157" s="79">
        <v>45679</v>
      </c>
      <c r="B157" s="80" t="s">
        <v>19</v>
      </c>
      <c r="C157" s="80">
        <v>1565</v>
      </c>
      <c r="D157" s="80">
        <v>1585</v>
      </c>
      <c r="E157" s="80">
        <v>1575</v>
      </c>
      <c r="F157" s="80" t="s">
        <v>20</v>
      </c>
    </row>
    <row r="158" ht="15" spans="1:6">
      <c r="A158" s="79">
        <v>45678</v>
      </c>
      <c r="B158" s="80" t="s">
        <v>19</v>
      </c>
      <c r="C158" s="80">
        <v>1565</v>
      </c>
      <c r="D158" s="80">
        <v>1585</v>
      </c>
      <c r="E158" s="80">
        <v>1575</v>
      </c>
      <c r="F158" s="80" t="s">
        <v>20</v>
      </c>
    </row>
    <row r="159" ht="15" spans="1:6">
      <c r="A159" s="79">
        <v>45677</v>
      </c>
      <c r="B159" s="80" t="s">
        <v>19</v>
      </c>
      <c r="C159" s="80">
        <v>1570</v>
      </c>
      <c r="D159" s="80">
        <v>1590</v>
      </c>
      <c r="E159" s="80">
        <v>1580</v>
      </c>
      <c r="F159" s="80" t="s">
        <v>20</v>
      </c>
    </row>
    <row r="160" ht="15" spans="1:6">
      <c r="A160" s="79">
        <v>45674</v>
      </c>
      <c r="B160" s="80" t="s">
        <v>19</v>
      </c>
      <c r="C160" s="80">
        <v>1570</v>
      </c>
      <c r="D160" s="80">
        <v>1590</v>
      </c>
      <c r="E160" s="80">
        <v>1580</v>
      </c>
      <c r="F160" s="80" t="s">
        <v>20</v>
      </c>
    </row>
    <row r="161" ht="15" spans="1:6">
      <c r="A161" s="79">
        <v>45673</v>
      </c>
      <c r="B161" s="80" t="s">
        <v>19</v>
      </c>
      <c r="C161" s="80">
        <v>1565</v>
      </c>
      <c r="D161" s="80">
        <v>1585</v>
      </c>
      <c r="E161" s="80">
        <v>1575</v>
      </c>
      <c r="F161" s="80" t="s">
        <v>20</v>
      </c>
    </row>
    <row r="162" ht="15" spans="1:6">
      <c r="A162" s="79">
        <v>45672</v>
      </c>
      <c r="B162" s="80" t="s">
        <v>19</v>
      </c>
      <c r="C162" s="80">
        <v>1555</v>
      </c>
      <c r="D162" s="80">
        <v>1575</v>
      </c>
      <c r="E162" s="80">
        <v>1565</v>
      </c>
      <c r="F162" s="80" t="s">
        <v>20</v>
      </c>
    </row>
    <row r="163" ht="15" spans="1:6">
      <c r="A163" s="79">
        <v>45671</v>
      </c>
      <c r="B163" s="80" t="s">
        <v>19</v>
      </c>
      <c r="C163" s="80">
        <v>1550</v>
      </c>
      <c r="D163" s="80">
        <v>1570</v>
      </c>
      <c r="E163" s="80">
        <v>1560</v>
      </c>
      <c r="F163" s="80" t="s">
        <v>20</v>
      </c>
    </row>
    <row r="164" ht="15" spans="1:6">
      <c r="A164" s="79">
        <v>45670</v>
      </c>
      <c r="B164" s="80" t="s">
        <v>19</v>
      </c>
      <c r="C164" s="80">
        <v>1545</v>
      </c>
      <c r="D164" s="80">
        <v>1565</v>
      </c>
      <c r="E164" s="80">
        <v>1555</v>
      </c>
      <c r="F164" s="80" t="s">
        <v>20</v>
      </c>
    </row>
    <row r="165" ht="15" spans="1:6">
      <c r="A165" s="79">
        <v>45667</v>
      </c>
      <c r="B165" s="80" t="s">
        <v>19</v>
      </c>
      <c r="C165" s="80">
        <v>1540</v>
      </c>
      <c r="D165" s="80">
        <v>1560</v>
      </c>
      <c r="E165" s="80">
        <v>1550</v>
      </c>
      <c r="F165" s="80" t="s">
        <v>20</v>
      </c>
    </row>
    <row r="166" ht="15" spans="1:6">
      <c r="A166" s="79">
        <v>45666</v>
      </c>
      <c r="B166" s="80" t="s">
        <v>19</v>
      </c>
      <c r="C166" s="80">
        <v>1535</v>
      </c>
      <c r="D166" s="80">
        <v>1555</v>
      </c>
      <c r="E166" s="80">
        <v>1545</v>
      </c>
      <c r="F166" s="80" t="s">
        <v>20</v>
      </c>
    </row>
    <row r="167" ht="15" spans="1:6">
      <c r="A167" s="79">
        <v>45665</v>
      </c>
      <c r="B167" s="80" t="s">
        <v>19</v>
      </c>
      <c r="C167" s="80">
        <v>1540</v>
      </c>
      <c r="D167" s="80">
        <v>1560</v>
      </c>
      <c r="E167" s="80">
        <v>1550</v>
      </c>
      <c r="F167" s="80" t="s">
        <v>20</v>
      </c>
    </row>
    <row r="168" ht="15" spans="1:6">
      <c r="A168" s="79">
        <v>45664</v>
      </c>
      <c r="B168" s="80" t="s">
        <v>19</v>
      </c>
      <c r="C168" s="80">
        <v>1550</v>
      </c>
      <c r="D168" s="80">
        <v>1570</v>
      </c>
      <c r="E168" s="80">
        <v>1560</v>
      </c>
      <c r="F168" s="80" t="s">
        <v>20</v>
      </c>
    </row>
    <row r="169" ht="15" spans="1:6">
      <c r="A169" s="79">
        <v>45663</v>
      </c>
      <c r="B169" s="80" t="s">
        <v>19</v>
      </c>
      <c r="C169" s="80">
        <v>1555</v>
      </c>
      <c r="D169" s="80">
        <v>1575</v>
      </c>
      <c r="E169" s="80">
        <v>1565</v>
      </c>
      <c r="F169" s="80" t="s">
        <v>20</v>
      </c>
    </row>
    <row r="170" ht="15" spans="1:6">
      <c r="A170" s="79">
        <v>45660</v>
      </c>
      <c r="B170" s="80" t="s">
        <v>19</v>
      </c>
      <c r="C170" s="80">
        <v>1555</v>
      </c>
      <c r="D170" s="80">
        <v>1575</v>
      </c>
      <c r="E170" s="80">
        <v>1565</v>
      </c>
      <c r="F170" s="80" t="s">
        <v>20</v>
      </c>
    </row>
    <row r="171" ht="15" spans="1:6">
      <c r="A171" s="79">
        <v>45659</v>
      </c>
      <c r="B171" s="80" t="s">
        <v>19</v>
      </c>
      <c r="C171" s="80">
        <v>1550</v>
      </c>
      <c r="D171" s="80">
        <v>1570</v>
      </c>
      <c r="E171" s="80">
        <v>1560</v>
      </c>
      <c r="F171" s="80" t="s">
        <v>20</v>
      </c>
    </row>
    <row r="172" ht="15" spans="1:6">
      <c r="A172" s="79">
        <v>45657</v>
      </c>
      <c r="B172" s="80" t="s">
        <v>19</v>
      </c>
      <c r="C172" s="80">
        <v>1550</v>
      </c>
      <c r="D172" s="80">
        <v>1570</v>
      </c>
      <c r="E172" s="80">
        <v>1560</v>
      </c>
      <c r="F172" s="80" t="s">
        <v>20</v>
      </c>
    </row>
    <row r="173" ht="15" spans="1:6">
      <c r="A173" s="79">
        <v>45656</v>
      </c>
      <c r="B173" s="80" t="s">
        <v>19</v>
      </c>
      <c r="C173" s="80">
        <v>1550</v>
      </c>
      <c r="D173" s="80">
        <v>1570</v>
      </c>
      <c r="E173" s="80">
        <v>1560</v>
      </c>
      <c r="F173" s="80" t="s">
        <v>20</v>
      </c>
    </row>
    <row r="174" ht="15" spans="1:6">
      <c r="A174" s="79">
        <v>45653</v>
      </c>
      <c r="B174" s="80" t="s">
        <v>19</v>
      </c>
      <c r="C174" s="80">
        <v>1550</v>
      </c>
      <c r="D174" s="80">
        <v>1570</v>
      </c>
      <c r="E174" s="80">
        <v>1560</v>
      </c>
      <c r="F174" s="80" t="s">
        <v>20</v>
      </c>
    </row>
    <row r="175" ht="15" spans="1:6">
      <c r="A175" s="79">
        <v>45652</v>
      </c>
      <c r="B175" s="80" t="s">
        <v>19</v>
      </c>
      <c r="C175" s="80">
        <v>1535</v>
      </c>
      <c r="D175" s="80">
        <v>1555</v>
      </c>
      <c r="E175" s="80">
        <v>1545</v>
      </c>
      <c r="F175" s="80" t="s">
        <v>20</v>
      </c>
    </row>
    <row r="176" ht="15" spans="1:6">
      <c r="A176" s="79">
        <v>45651</v>
      </c>
      <c r="B176" s="80" t="s">
        <v>19</v>
      </c>
      <c r="C176" s="80">
        <v>1525</v>
      </c>
      <c r="D176" s="80">
        <v>1545</v>
      </c>
      <c r="E176" s="80">
        <v>1535</v>
      </c>
      <c r="F176" s="80" t="s">
        <v>20</v>
      </c>
    </row>
    <row r="177" ht="15" spans="1:6">
      <c r="A177" s="79">
        <v>45650</v>
      </c>
      <c r="B177" s="80" t="s">
        <v>19</v>
      </c>
      <c r="C177" s="80">
        <v>1520</v>
      </c>
      <c r="D177" s="80">
        <v>1540</v>
      </c>
      <c r="E177" s="80">
        <v>1530</v>
      </c>
      <c r="F177" s="80" t="s">
        <v>20</v>
      </c>
    </row>
    <row r="178" ht="15" spans="1:6">
      <c r="A178" s="79">
        <v>45649</v>
      </c>
      <c r="B178" s="80" t="s">
        <v>19</v>
      </c>
      <c r="C178" s="80">
        <v>1515</v>
      </c>
      <c r="D178" s="80">
        <v>1535</v>
      </c>
      <c r="E178" s="80">
        <v>1525</v>
      </c>
      <c r="F178" s="80" t="s">
        <v>20</v>
      </c>
    </row>
    <row r="179" ht="15" spans="1:6">
      <c r="A179" s="79">
        <v>45646</v>
      </c>
      <c r="B179" s="80" t="s">
        <v>19</v>
      </c>
      <c r="C179" s="80">
        <v>1520</v>
      </c>
      <c r="D179" s="80">
        <v>1540</v>
      </c>
      <c r="E179" s="80">
        <v>1530</v>
      </c>
      <c r="F179" s="80" t="s">
        <v>20</v>
      </c>
    </row>
    <row r="180" ht="15" spans="1:6">
      <c r="A180" s="79">
        <v>45645</v>
      </c>
      <c r="B180" s="80" t="s">
        <v>19</v>
      </c>
      <c r="C180" s="80">
        <v>1525</v>
      </c>
      <c r="D180" s="80">
        <v>1545</v>
      </c>
      <c r="E180" s="80">
        <v>1535</v>
      </c>
      <c r="F180" s="80" t="s">
        <v>20</v>
      </c>
    </row>
    <row r="181" ht="15" spans="1:6">
      <c r="A181" s="79">
        <v>45644</v>
      </c>
      <c r="B181" s="80" t="s">
        <v>19</v>
      </c>
      <c r="C181" s="80">
        <v>1525</v>
      </c>
      <c r="D181" s="80">
        <v>1545</v>
      </c>
      <c r="E181" s="80">
        <v>1535</v>
      </c>
      <c r="F181" s="80" t="s">
        <v>20</v>
      </c>
    </row>
    <row r="182" ht="15" spans="1:6">
      <c r="A182" s="79">
        <v>45643</v>
      </c>
      <c r="B182" s="80" t="s">
        <v>19</v>
      </c>
      <c r="C182" s="80">
        <v>1535</v>
      </c>
      <c r="D182" s="80">
        <v>1555</v>
      </c>
      <c r="E182" s="80">
        <v>1545</v>
      </c>
      <c r="F182" s="80" t="s">
        <v>20</v>
      </c>
    </row>
    <row r="183" ht="15" spans="1:6">
      <c r="A183" s="79">
        <v>45642</v>
      </c>
      <c r="B183" s="80" t="s">
        <v>19</v>
      </c>
      <c r="C183" s="80">
        <v>1540</v>
      </c>
      <c r="D183" s="80">
        <v>1560</v>
      </c>
      <c r="E183" s="80">
        <v>1550</v>
      </c>
      <c r="F183" s="80" t="s">
        <v>20</v>
      </c>
    </row>
    <row r="184" ht="15" spans="1:6">
      <c r="A184" s="79">
        <v>45639</v>
      </c>
      <c r="B184" s="80" t="s">
        <v>19</v>
      </c>
      <c r="C184" s="80">
        <v>1545</v>
      </c>
      <c r="D184" s="80">
        <v>1565</v>
      </c>
      <c r="E184" s="80">
        <v>1555</v>
      </c>
      <c r="F184" s="80" t="s">
        <v>20</v>
      </c>
    </row>
    <row r="185" ht="15" spans="1:6">
      <c r="A185" s="79">
        <v>45638</v>
      </c>
      <c r="B185" s="80" t="s">
        <v>19</v>
      </c>
      <c r="C185" s="80">
        <v>1545</v>
      </c>
      <c r="D185" s="80">
        <v>1565</v>
      </c>
      <c r="E185" s="80">
        <v>1555</v>
      </c>
      <c r="F185" s="80" t="s">
        <v>20</v>
      </c>
    </row>
    <row r="186" ht="15" spans="1:6">
      <c r="A186" s="79">
        <v>45637</v>
      </c>
      <c r="B186" s="80" t="s">
        <v>19</v>
      </c>
      <c r="C186" s="80">
        <v>1545</v>
      </c>
      <c r="D186" s="80">
        <v>1565</v>
      </c>
      <c r="E186" s="80">
        <v>1555</v>
      </c>
      <c r="F186" s="80" t="s">
        <v>20</v>
      </c>
    </row>
    <row r="187" ht="15" spans="1:6">
      <c r="A187" s="79">
        <v>45636</v>
      </c>
      <c r="B187" s="80" t="s">
        <v>19</v>
      </c>
      <c r="C187" s="80">
        <v>1540</v>
      </c>
      <c r="D187" s="80">
        <v>1560</v>
      </c>
      <c r="E187" s="80">
        <v>1550</v>
      </c>
      <c r="F187" s="80" t="s">
        <v>20</v>
      </c>
    </row>
    <row r="188" ht="15" spans="1:6">
      <c r="A188" s="79">
        <v>45635</v>
      </c>
      <c r="B188" s="80" t="s">
        <v>19</v>
      </c>
      <c r="C188" s="80">
        <v>1530</v>
      </c>
      <c r="D188" s="80">
        <v>1550</v>
      </c>
      <c r="E188" s="80">
        <v>1540</v>
      </c>
      <c r="F188" s="80" t="s">
        <v>20</v>
      </c>
    </row>
    <row r="189" ht="15" spans="1:6">
      <c r="A189" s="79">
        <v>45632</v>
      </c>
      <c r="B189" s="80" t="s">
        <v>19</v>
      </c>
      <c r="C189" s="80">
        <v>1525</v>
      </c>
      <c r="D189" s="80">
        <v>1545</v>
      </c>
      <c r="E189" s="80">
        <v>1535</v>
      </c>
      <c r="F189" s="80" t="s">
        <v>20</v>
      </c>
    </row>
    <row r="190" ht="15" spans="1:6">
      <c r="A190" s="79">
        <v>45631</v>
      </c>
      <c r="B190" s="80" t="s">
        <v>19</v>
      </c>
      <c r="C190" s="80">
        <v>1520</v>
      </c>
      <c r="D190" s="80">
        <v>1540</v>
      </c>
      <c r="E190" s="80">
        <v>1530</v>
      </c>
      <c r="F190" s="80" t="s">
        <v>20</v>
      </c>
    </row>
    <row r="191" ht="15" spans="1:6">
      <c r="A191" s="79">
        <v>45630</v>
      </c>
      <c r="B191" s="80" t="s">
        <v>19</v>
      </c>
      <c r="C191" s="80">
        <v>1535</v>
      </c>
      <c r="D191" s="80">
        <v>1555</v>
      </c>
      <c r="E191" s="80">
        <v>1545</v>
      </c>
      <c r="F191" s="80" t="s">
        <v>20</v>
      </c>
    </row>
    <row r="192" ht="15" spans="1:6">
      <c r="A192" s="79">
        <v>45629</v>
      </c>
      <c r="B192" s="80" t="s">
        <v>19</v>
      </c>
      <c r="C192" s="80">
        <v>1545</v>
      </c>
      <c r="D192" s="80">
        <v>1565</v>
      </c>
      <c r="E192" s="80">
        <v>1555</v>
      </c>
      <c r="F192" s="80" t="s">
        <v>20</v>
      </c>
    </row>
    <row r="193" ht="15" spans="1:6">
      <c r="A193" s="79">
        <v>45628</v>
      </c>
      <c r="B193" s="80" t="s">
        <v>19</v>
      </c>
      <c r="C193" s="80">
        <v>1535</v>
      </c>
      <c r="D193" s="80">
        <v>1555</v>
      </c>
      <c r="E193" s="80">
        <v>1545</v>
      </c>
      <c r="F193" s="80" t="s">
        <v>20</v>
      </c>
    </row>
    <row r="194" ht="15" spans="1:6">
      <c r="A194" s="79">
        <v>45625</v>
      </c>
      <c r="B194" s="80" t="s">
        <v>19</v>
      </c>
      <c r="C194" s="80">
        <v>1515</v>
      </c>
      <c r="D194" s="80">
        <v>1535</v>
      </c>
      <c r="E194" s="80">
        <v>1525</v>
      </c>
      <c r="F194" s="80" t="s">
        <v>20</v>
      </c>
    </row>
    <row r="195" ht="15" spans="1:6">
      <c r="A195" s="79">
        <v>45624</v>
      </c>
      <c r="B195" s="80" t="s">
        <v>19</v>
      </c>
      <c r="C195" s="80">
        <v>1550</v>
      </c>
      <c r="D195" s="80">
        <v>1570</v>
      </c>
      <c r="E195" s="80">
        <v>1560</v>
      </c>
      <c r="F195" s="80" t="s">
        <v>20</v>
      </c>
    </row>
    <row r="196" ht="15" spans="1:6">
      <c r="A196" s="79">
        <v>45623</v>
      </c>
      <c r="B196" s="80" t="s">
        <v>19</v>
      </c>
      <c r="C196" s="80">
        <v>1555</v>
      </c>
      <c r="D196" s="80">
        <v>1575</v>
      </c>
      <c r="E196" s="80">
        <v>1565</v>
      </c>
      <c r="F196" s="80" t="s">
        <v>20</v>
      </c>
    </row>
    <row r="197" ht="15" spans="1:6">
      <c r="A197" s="79">
        <v>45622</v>
      </c>
      <c r="B197" s="80" t="s">
        <v>19</v>
      </c>
      <c r="C197" s="80">
        <v>1565</v>
      </c>
      <c r="D197" s="80">
        <v>1585</v>
      </c>
      <c r="E197" s="80">
        <v>1575</v>
      </c>
      <c r="F197" s="80" t="s">
        <v>20</v>
      </c>
    </row>
    <row r="198" ht="15" spans="1:6">
      <c r="A198" s="79">
        <v>45621</v>
      </c>
      <c r="B198" s="80" t="s">
        <v>19</v>
      </c>
      <c r="C198" s="80">
        <v>1565</v>
      </c>
      <c r="D198" s="80">
        <v>1585</v>
      </c>
      <c r="E198" s="80">
        <v>1575</v>
      </c>
      <c r="F198" s="80" t="s">
        <v>20</v>
      </c>
    </row>
    <row r="199" ht="15" spans="1:6">
      <c r="A199" s="79">
        <v>45618</v>
      </c>
      <c r="B199" s="80" t="s">
        <v>19</v>
      </c>
      <c r="C199" s="80">
        <v>1575</v>
      </c>
      <c r="D199" s="80">
        <v>1595</v>
      </c>
      <c r="E199" s="80">
        <v>1585</v>
      </c>
      <c r="F199" s="80" t="s">
        <v>20</v>
      </c>
    </row>
    <row r="200" ht="15" spans="1:6">
      <c r="A200" s="79">
        <v>45617</v>
      </c>
      <c r="B200" s="80" t="s">
        <v>19</v>
      </c>
      <c r="C200" s="80">
        <v>1555</v>
      </c>
      <c r="D200" s="80">
        <v>1575</v>
      </c>
      <c r="E200" s="80">
        <v>1565</v>
      </c>
      <c r="F200" s="80" t="s">
        <v>20</v>
      </c>
    </row>
    <row r="201" ht="15" spans="1:6">
      <c r="A201" s="79">
        <v>45616</v>
      </c>
      <c r="B201" s="80" t="s">
        <v>19</v>
      </c>
      <c r="C201" s="80">
        <v>1555</v>
      </c>
      <c r="D201" s="80">
        <v>1575</v>
      </c>
      <c r="E201" s="80">
        <v>1565</v>
      </c>
      <c r="F201" s="80" t="s">
        <v>20</v>
      </c>
    </row>
    <row r="202" ht="15" spans="1:6">
      <c r="A202" s="79">
        <v>45615</v>
      </c>
      <c r="B202" s="80" t="s">
        <v>19</v>
      </c>
      <c r="C202" s="80">
        <v>1525</v>
      </c>
      <c r="D202" s="80">
        <v>1545</v>
      </c>
      <c r="E202" s="80">
        <v>1535</v>
      </c>
      <c r="F202" s="80" t="s">
        <v>20</v>
      </c>
    </row>
    <row r="203" ht="15" spans="1:6">
      <c r="A203" s="79">
        <v>45614</v>
      </c>
      <c r="B203" s="80" t="s">
        <v>19</v>
      </c>
      <c r="C203" s="80">
        <v>1485</v>
      </c>
      <c r="D203" s="80">
        <v>1505</v>
      </c>
      <c r="E203" s="80">
        <v>1495</v>
      </c>
      <c r="F203" s="80" t="s">
        <v>20</v>
      </c>
    </row>
    <row r="204" ht="15" spans="1:6">
      <c r="A204" s="79">
        <v>45611</v>
      </c>
      <c r="B204" s="80" t="s">
        <v>19</v>
      </c>
      <c r="C204" s="80">
        <v>1470</v>
      </c>
      <c r="D204" s="80">
        <v>1490</v>
      </c>
      <c r="E204" s="80">
        <v>1480</v>
      </c>
      <c r="F204" s="80" t="s">
        <v>20</v>
      </c>
    </row>
    <row r="205" ht="15" spans="1:6">
      <c r="A205" s="79">
        <v>45610</v>
      </c>
      <c r="B205" s="80" t="s">
        <v>19</v>
      </c>
      <c r="C205" s="80">
        <v>1470</v>
      </c>
      <c r="D205" s="80">
        <v>1490</v>
      </c>
      <c r="E205" s="80">
        <v>1480</v>
      </c>
      <c r="F205" s="80" t="s">
        <v>20</v>
      </c>
    </row>
    <row r="206" ht="15" spans="1:6">
      <c r="A206" s="79">
        <v>45609</v>
      </c>
      <c r="B206" s="80" t="s">
        <v>19</v>
      </c>
      <c r="C206" s="80">
        <v>1470</v>
      </c>
      <c r="D206" s="80">
        <v>1490</v>
      </c>
      <c r="E206" s="80">
        <v>1480</v>
      </c>
      <c r="F206" s="80" t="s">
        <v>20</v>
      </c>
    </row>
    <row r="207" ht="15" spans="1:6">
      <c r="A207" s="79">
        <v>45608</v>
      </c>
      <c r="B207" s="80" t="s">
        <v>19</v>
      </c>
      <c r="C207" s="80">
        <v>1480</v>
      </c>
      <c r="D207" s="80">
        <v>1500</v>
      </c>
      <c r="E207" s="80">
        <v>1490</v>
      </c>
      <c r="F207" s="80" t="s">
        <v>20</v>
      </c>
    </row>
    <row r="208" ht="15" spans="1:6">
      <c r="A208" s="79">
        <v>45607</v>
      </c>
      <c r="B208" s="80" t="s">
        <v>19</v>
      </c>
      <c r="C208" s="80">
        <v>1460</v>
      </c>
      <c r="D208" s="80">
        <v>1480</v>
      </c>
      <c r="E208" s="80">
        <v>1470</v>
      </c>
      <c r="F208" s="80" t="s">
        <v>20</v>
      </c>
    </row>
    <row r="209" ht="15" spans="1:6">
      <c r="A209" s="79">
        <v>45604</v>
      </c>
      <c r="B209" s="80" t="s">
        <v>19</v>
      </c>
      <c r="C209" s="80">
        <v>1390</v>
      </c>
      <c r="D209" s="80">
        <v>1410</v>
      </c>
      <c r="E209" s="80">
        <v>1400</v>
      </c>
      <c r="F209" s="80" t="s">
        <v>20</v>
      </c>
    </row>
    <row r="210" ht="15" spans="1:6">
      <c r="A210" s="79">
        <v>45603</v>
      </c>
      <c r="B210" s="80" t="s">
        <v>19</v>
      </c>
      <c r="C210" s="80">
        <v>1360</v>
      </c>
      <c r="D210" s="80">
        <v>1380</v>
      </c>
      <c r="E210" s="80">
        <v>1370</v>
      </c>
      <c r="F210" s="80" t="s">
        <v>20</v>
      </c>
    </row>
    <row r="211" ht="15" spans="1:6">
      <c r="A211" s="79">
        <v>45602</v>
      </c>
      <c r="B211" s="80" t="s">
        <v>19</v>
      </c>
      <c r="C211" s="80">
        <v>1330</v>
      </c>
      <c r="D211" s="80">
        <v>1350</v>
      </c>
      <c r="E211" s="80">
        <v>1340</v>
      </c>
      <c r="F211" s="80" t="s">
        <v>20</v>
      </c>
    </row>
    <row r="212" ht="15" spans="1:6">
      <c r="A212" s="79">
        <v>45601</v>
      </c>
      <c r="B212" s="80" t="s">
        <v>19</v>
      </c>
      <c r="C212" s="80">
        <v>1320</v>
      </c>
      <c r="D212" s="80">
        <v>1340</v>
      </c>
      <c r="E212" s="80">
        <v>1330</v>
      </c>
      <c r="F212" s="80" t="s">
        <v>20</v>
      </c>
    </row>
    <row r="213" ht="15" spans="1:6">
      <c r="A213" s="79">
        <v>45600</v>
      </c>
      <c r="B213" s="80" t="s">
        <v>19</v>
      </c>
      <c r="C213" s="80">
        <v>1305</v>
      </c>
      <c r="D213" s="80">
        <v>1325</v>
      </c>
      <c r="E213" s="80">
        <v>1315</v>
      </c>
      <c r="F213" s="80" t="s">
        <v>20</v>
      </c>
    </row>
    <row r="214" ht="15" spans="1:6">
      <c r="A214" s="79">
        <v>45597</v>
      </c>
      <c r="B214" s="80" t="s">
        <v>19</v>
      </c>
      <c r="C214" s="80">
        <v>1295</v>
      </c>
      <c r="D214" s="80">
        <v>1315</v>
      </c>
      <c r="E214" s="80">
        <v>1305</v>
      </c>
      <c r="F214" s="80" t="s">
        <v>20</v>
      </c>
    </row>
    <row r="215" ht="15" spans="1:6">
      <c r="A215" s="79">
        <v>45596</v>
      </c>
      <c r="B215" s="80" t="s">
        <v>19</v>
      </c>
      <c r="C215" s="80">
        <v>1285</v>
      </c>
      <c r="D215" s="80">
        <v>1305</v>
      </c>
      <c r="E215" s="80">
        <v>1295</v>
      </c>
      <c r="F215" s="80" t="s">
        <v>20</v>
      </c>
    </row>
    <row r="216" ht="15" spans="1:6">
      <c r="A216" s="79">
        <v>45595</v>
      </c>
      <c r="B216" s="80" t="s">
        <v>19</v>
      </c>
      <c r="C216" s="80">
        <v>1280</v>
      </c>
      <c r="D216" s="80">
        <v>1300</v>
      </c>
      <c r="E216" s="80">
        <v>1290</v>
      </c>
      <c r="F216" s="80" t="s">
        <v>20</v>
      </c>
    </row>
    <row r="217" ht="15" spans="1:6">
      <c r="A217" s="79">
        <v>45594</v>
      </c>
      <c r="B217" s="80" t="s">
        <v>19</v>
      </c>
      <c r="C217" s="80">
        <v>1280</v>
      </c>
      <c r="D217" s="80">
        <v>1300</v>
      </c>
      <c r="E217" s="80">
        <v>1290</v>
      </c>
      <c r="F217" s="80" t="s">
        <v>20</v>
      </c>
    </row>
    <row r="218" ht="15" spans="1:6">
      <c r="A218" s="79">
        <v>45593</v>
      </c>
      <c r="B218" s="80" t="s">
        <v>19</v>
      </c>
      <c r="C218" s="80">
        <v>1280</v>
      </c>
      <c r="D218" s="80">
        <v>1300</v>
      </c>
      <c r="E218" s="80">
        <v>1290</v>
      </c>
      <c r="F218" s="80" t="s">
        <v>20</v>
      </c>
    </row>
    <row r="219" ht="15" spans="1:6">
      <c r="A219" s="79">
        <v>45590</v>
      </c>
      <c r="B219" s="80" t="s">
        <v>19</v>
      </c>
      <c r="C219" s="80">
        <v>1285</v>
      </c>
      <c r="D219" s="80">
        <v>1305</v>
      </c>
      <c r="E219" s="80">
        <v>1295</v>
      </c>
      <c r="F219" s="80" t="s">
        <v>20</v>
      </c>
    </row>
    <row r="220" ht="15" spans="1:6">
      <c r="A220" s="79">
        <v>45589</v>
      </c>
      <c r="B220" s="80" t="s">
        <v>19</v>
      </c>
      <c r="C220" s="80">
        <v>1290</v>
      </c>
      <c r="D220" s="80">
        <v>1310</v>
      </c>
      <c r="E220" s="80">
        <v>1300</v>
      </c>
      <c r="F220" s="80" t="s">
        <v>20</v>
      </c>
    </row>
    <row r="221" ht="15" spans="1:6">
      <c r="A221" s="79">
        <v>45588</v>
      </c>
      <c r="B221" s="80" t="s">
        <v>19</v>
      </c>
      <c r="C221" s="80">
        <v>1275</v>
      </c>
      <c r="D221" s="80">
        <v>1295</v>
      </c>
      <c r="E221" s="80">
        <v>1285</v>
      </c>
      <c r="F221" s="80" t="s">
        <v>20</v>
      </c>
    </row>
    <row r="222" ht="15" spans="1:6">
      <c r="A222" s="79">
        <v>45587</v>
      </c>
      <c r="B222" s="80" t="s">
        <v>19</v>
      </c>
      <c r="C222" s="80">
        <v>1265</v>
      </c>
      <c r="D222" s="80">
        <v>1285</v>
      </c>
      <c r="E222" s="80">
        <v>1275</v>
      </c>
      <c r="F222" s="80" t="s">
        <v>20</v>
      </c>
    </row>
    <row r="223" ht="15" spans="1:6">
      <c r="A223" s="79">
        <v>45586</v>
      </c>
      <c r="B223" s="80" t="s">
        <v>19</v>
      </c>
      <c r="C223" s="80">
        <v>1260</v>
      </c>
      <c r="D223" s="80">
        <v>1280</v>
      </c>
      <c r="E223" s="80">
        <v>1270</v>
      </c>
      <c r="F223" s="80" t="s">
        <v>20</v>
      </c>
    </row>
    <row r="224" ht="15" spans="1:6">
      <c r="A224" s="79">
        <v>45583</v>
      </c>
      <c r="B224" s="80" t="s">
        <v>19</v>
      </c>
      <c r="C224" s="80">
        <v>1255</v>
      </c>
      <c r="D224" s="80">
        <v>1275</v>
      </c>
      <c r="E224" s="80">
        <v>1265</v>
      </c>
      <c r="F224" s="80" t="s">
        <v>20</v>
      </c>
    </row>
    <row r="225" ht="15" spans="1:6">
      <c r="A225" s="79">
        <v>45582</v>
      </c>
      <c r="B225" s="80" t="s">
        <v>19</v>
      </c>
      <c r="C225" s="80">
        <v>1250</v>
      </c>
      <c r="D225" s="80">
        <v>1270</v>
      </c>
      <c r="E225" s="80">
        <v>1260</v>
      </c>
      <c r="F225" s="80" t="s">
        <v>20</v>
      </c>
    </row>
    <row r="226" ht="15" spans="1:6">
      <c r="A226" s="79">
        <v>45581</v>
      </c>
      <c r="B226" s="80" t="s">
        <v>19</v>
      </c>
      <c r="C226" s="80">
        <v>1245</v>
      </c>
      <c r="D226" s="80">
        <v>1265</v>
      </c>
      <c r="E226" s="80">
        <v>1255</v>
      </c>
      <c r="F226" s="80" t="s">
        <v>20</v>
      </c>
    </row>
    <row r="227" ht="15" spans="1:6">
      <c r="A227" s="79">
        <v>45580</v>
      </c>
      <c r="B227" s="80" t="s">
        <v>19</v>
      </c>
      <c r="C227" s="80">
        <v>1220</v>
      </c>
      <c r="D227" s="80">
        <v>1240</v>
      </c>
      <c r="E227" s="80">
        <v>1230</v>
      </c>
      <c r="F227" s="80" t="s">
        <v>20</v>
      </c>
    </row>
    <row r="228" ht="15" spans="1:6">
      <c r="A228" s="79">
        <v>45579</v>
      </c>
      <c r="B228" s="80" t="s">
        <v>19</v>
      </c>
      <c r="C228" s="80">
        <v>1255</v>
      </c>
      <c r="D228" s="80">
        <v>1275</v>
      </c>
      <c r="E228" s="80">
        <v>1265</v>
      </c>
      <c r="F228" s="80" t="s">
        <v>20</v>
      </c>
    </row>
    <row r="229" ht="15" spans="1:6">
      <c r="A229" s="79">
        <v>45577</v>
      </c>
      <c r="B229" s="80" t="s">
        <v>19</v>
      </c>
      <c r="C229" s="80">
        <v>1255</v>
      </c>
      <c r="D229" s="80">
        <v>1275</v>
      </c>
      <c r="E229" s="80">
        <v>1265</v>
      </c>
      <c r="F229" s="80" t="s">
        <v>20</v>
      </c>
    </row>
    <row r="230" ht="15" spans="1:6">
      <c r="A230" s="79">
        <v>45576</v>
      </c>
      <c r="B230" s="80" t="s">
        <v>19</v>
      </c>
      <c r="C230" s="80">
        <v>1240</v>
      </c>
      <c r="D230" s="80">
        <v>1260</v>
      </c>
      <c r="E230" s="80">
        <v>1250</v>
      </c>
      <c r="F230" s="80" t="s">
        <v>20</v>
      </c>
    </row>
    <row r="231" ht="15" spans="1:6">
      <c r="A231" s="79">
        <v>45575</v>
      </c>
      <c r="B231" s="80" t="s">
        <v>19</v>
      </c>
      <c r="C231" s="80">
        <v>1210</v>
      </c>
      <c r="D231" s="80">
        <v>1230</v>
      </c>
      <c r="E231" s="80">
        <v>1220</v>
      </c>
      <c r="F231" s="80" t="s">
        <v>20</v>
      </c>
    </row>
    <row r="232" ht="15" spans="1:6">
      <c r="A232" s="79">
        <v>45574</v>
      </c>
      <c r="B232" s="80" t="s">
        <v>19</v>
      </c>
      <c r="C232" s="80">
        <v>1180</v>
      </c>
      <c r="D232" s="80">
        <v>1200</v>
      </c>
      <c r="E232" s="80">
        <v>1190</v>
      </c>
      <c r="F232" s="80" t="s">
        <v>20</v>
      </c>
    </row>
    <row r="233" ht="15" spans="1:6">
      <c r="A233" s="79">
        <v>45573</v>
      </c>
      <c r="B233" s="80" t="s">
        <v>19</v>
      </c>
      <c r="C233" s="80">
        <v>1180</v>
      </c>
      <c r="D233" s="80">
        <v>1200</v>
      </c>
      <c r="E233" s="80">
        <v>1190</v>
      </c>
      <c r="F233" s="80" t="s">
        <v>20</v>
      </c>
    </row>
    <row r="234" ht="15" spans="1:6">
      <c r="A234" s="79">
        <v>45565</v>
      </c>
      <c r="B234" s="80" t="s">
        <v>19</v>
      </c>
      <c r="C234" s="80">
        <v>1140</v>
      </c>
      <c r="D234" s="80">
        <v>1160</v>
      </c>
      <c r="E234" s="80">
        <v>1150</v>
      </c>
      <c r="F234" s="80" t="s">
        <v>20</v>
      </c>
    </row>
    <row r="235" ht="15" spans="1:6">
      <c r="A235" s="79">
        <v>45564</v>
      </c>
      <c r="B235" s="80" t="s">
        <v>19</v>
      </c>
      <c r="C235" s="80">
        <v>1125</v>
      </c>
      <c r="D235" s="80">
        <v>1145</v>
      </c>
      <c r="E235" s="80">
        <v>1135</v>
      </c>
      <c r="F235" s="80" t="s">
        <v>20</v>
      </c>
    </row>
    <row r="236" ht="15" spans="1:6">
      <c r="A236" s="79">
        <v>45562</v>
      </c>
      <c r="B236" s="80" t="s">
        <v>19</v>
      </c>
      <c r="C236" s="80">
        <v>1125</v>
      </c>
      <c r="D236" s="80">
        <v>1145</v>
      </c>
      <c r="E236" s="80">
        <v>1135</v>
      </c>
      <c r="F236" s="80" t="s">
        <v>20</v>
      </c>
    </row>
    <row r="237" ht="15" spans="1:6">
      <c r="A237" s="79">
        <v>45561</v>
      </c>
      <c r="B237" s="80" t="s">
        <v>19</v>
      </c>
      <c r="C237" s="80">
        <v>1115</v>
      </c>
      <c r="D237" s="80">
        <v>1135</v>
      </c>
      <c r="E237" s="80">
        <v>1125</v>
      </c>
      <c r="F237" s="80" t="s">
        <v>20</v>
      </c>
    </row>
    <row r="238" ht="15" spans="1:6">
      <c r="A238" s="79">
        <v>45560</v>
      </c>
      <c r="B238" s="80" t="s">
        <v>19</v>
      </c>
      <c r="C238" s="80">
        <v>1115</v>
      </c>
      <c r="D238" s="80">
        <v>1135</v>
      </c>
      <c r="E238" s="80">
        <v>1125</v>
      </c>
      <c r="F238" s="80" t="s">
        <v>20</v>
      </c>
    </row>
    <row r="239" ht="15" spans="1:6">
      <c r="A239" s="79">
        <v>45559</v>
      </c>
      <c r="B239" s="80" t="s">
        <v>19</v>
      </c>
      <c r="C239" s="80">
        <v>1120</v>
      </c>
      <c r="D239" s="80">
        <v>1140</v>
      </c>
      <c r="E239" s="80">
        <v>1130</v>
      </c>
      <c r="F239" s="80" t="s">
        <v>20</v>
      </c>
    </row>
    <row r="240" ht="15" spans="1:6">
      <c r="A240" s="79">
        <v>45558</v>
      </c>
      <c r="B240" s="80" t="s">
        <v>19</v>
      </c>
      <c r="C240" s="80">
        <v>1135</v>
      </c>
      <c r="D240" s="80">
        <v>1155</v>
      </c>
      <c r="E240" s="80">
        <v>1145</v>
      </c>
      <c r="F240" s="80" t="s">
        <v>20</v>
      </c>
    </row>
    <row r="241" ht="15" spans="1:6">
      <c r="A241" s="79">
        <v>45555</v>
      </c>
      <c r="B241" s="80" t="s">
        <v>19</v>
      </c>
      <c r="C241" s="80">
        <v>1140</v>
      </c>
      <c r="D241" s="80">
        <v>1160</v>
      </c>
      <c r="E241" s="80">
        <v>1150</v>
      </c>
      <c r="F241" s="80" t="s">
        <v>20</v>
      </c>
    </row>
    <row r="242" ht="15" spans="1:6">
      <c r="A242" s="79">
        <v>45554</v>
      </c>
      <c r="B242" s="80" t="s">
        <v>19</v>
      </c>
      <c r="C242" s="80">
        <v>1145</v>
      </c>
      <c r="D242" s="80">
        <v>1165</v>
      </c>
      <c r="E242" s="80">
        <v>1155</v>
      </c>
      <c r="F242" s="80" t="s">
        <v>20</v>
      </c>
    </row>
    <row r="243" ht="15" spans="1:6">
      <c r="A243" s="79">
        <v>45553</v>
      </c>
      <c r="B243" s="80" t="s">
        <v>19</v>
      </c>
      <c r="C243" s="80">
        <v>1150</v>
      </c>
      <c r="D243" s="80">
        <v>1170</v>
      </c>
      <c r="E243" s="80">
        <v>1160</v>
      </c>
      <c r="F243" s="80" t="s">
        <v>20</v>
      </c>
    </row>
    <row r="244" ht="15" spans="1:6">
      <c r="A244" s="79">
        <v>45549</v>
      </c>
      <c r="B244" s="80" t="s">
        <v>19</v>
      </c>
      <c r="C244" s="80">
        <v>1155</v>
      </c>
      <c r="D244" s="80">
        <v>1175</v>
      </c>
      <c r="E244" s="80">
        <v>1165</v>
      </c>
      <c r="F244" s="80" t="s">
        <v>20</v>
      </c>
    </row>
    <row r="245" ht="15" spans="1:6">
      <c r="A245" s="79">
        <v>45548</v>
      </c>
      <c r="B245" s="80" t="s">
        <v>19</v>
      </c>
      <c r="C245" s="80">
        <v>1155</v>
      </c>
      <c r="D245" s="80">
        <v>1175</v>
      </c>
      <c r="E245" s="80">
        <v>1165</v>
      </c>
      <c r="F245" s="80" t="s">
        <v>20</v>
      </c>
    </row>
    <row r="246" ht="15" spans="1:6">
      <c r="A246" s="79">
        <v>45547</v>
      </c>
      <c r="B246" s="80" t="s">
        <v>19</v>
      </c>
      <c r="C246" s="80">
        <v>1150</v>
      </c>
      <c r="D246" s="80">
        <v>1170</v>
      </c>
      <c r="E246" s="80">
        <v>1160</v>
      </c>
      <c r="F246" s="80" t="s">
        <v>20</v>
      </c>
    </row>
    <row r="247" ht="15" spans="1:6">
      <c r="A247" s="79">
        <v>45546</v>
      </c>
      <c r="B247" s="80" t="s">
        <v>19</v>
      </c>
      <c r="C247" s="80">
        <v>1155</v>
      </c>
      <c r="D247" s="80">
        <v>1175</v>
      </c>
      <c r="E247" s="80">
        <v>1165</v>
      </c>
      <c r="F247" s="80" t="s">
        <v>20</v>
      </c>
    </row>
    <row r="248" ht="15" spans="1:6">
      <c r="A248" s="79">
        <v>45545</v>
      </c>
      <c r="B248" s="80" t="s">
        <v>19</v>
      </c>
      <c r="C248" s="80">
        <v>1160</v>
      </c>
      <c r="D248" s="80">
        <v>1180</v>
      </c>
      <c r="E248" s="80">
        <v>1170</v>
      </c>
      <c r="F248" s="80" t="s">
        <v>20</v>
      </c>
    </row>
    <row r="249" ht="15" spans="1:6">
      <c r="A249" s="79">
        <v>45544</v>
      </c>
      <c r="B249" s="80" t="s">
        <v>19</v>
      </c>
      <c r="C249" s="80">
        <v>1160</v>
      </c>
      <c r="D249" s="80">
        <v>1180</v>
      </c>
      <c r="E249" s="80">
        <v>1170</v>
      </c>
      <c r="F249" s="80" t="s">
        <v>20</v>
      </c>
    </row>
    <row r="250" ht="15" spans="1:6">
      <c r="A250" s="79">
        <v>45541</v>
      </c>
      <c r="B250" s="80" t="s">
        <v>19</v>
      </c>
      <c r="C250" s="80">
        <v>1160</v>
      </c>
      <c r="D250" s="80">
        <v>1180</v>
      </c>
      <c r="E250" s="80">
        <v>1170</v>
      </c>
      <c r="F250" s="80" t="s">
        <v>20</v>
      </c>
    </row>
    <row r="251" ht="15" spans="1:6">
      <c r="A251" s="79">
        <v>45540</v>
      </c>
      <c r="B251" s="80" t="s">
        <v>19</v>
      </c>
      <c r="C251" s="80">
        <v>1155</v>
      </c>
      <c r="D251" s="80">
        <v>1175</v>
      </c>
      <c r="E251" s="80">
        <v>1165</v>
      </c>
      <c r="F251" s="80" t="s">
        <v>20</v>
      </c>
    </row>
    <row r="252" ht="15" spans="1:6">
      <c r="A252" s="79">
        <v>45539</v>
      </c>
      <c r="B252" s="80" t="s">
        <v>19</v>
      </c>
      <c r="C252" s="80">
        <v>1160</v>
      </c>
      <c r="D252" s="80">
        <v>1180</v>
      </c>
      <c r="E252" s="80">
        <v>1170</v>
      </c>
      <c r="F252" s="80" t="s">
        <v>20</v>
      </c>
    </row>
    <row r="253" ht="15" spans="1:6">
      <c r="A253" s="79">
        <v>45538</v>
      </c>
      <c r="B253" s="80" t="s">
        <v>19</v>
      </c>
      <c r="C253" s="80">
        <v>1160</v>
      </c>
      <c r="D253" s="80">
        <v>1180</v>
      </c>
      <c r="E253" s="80">
        <v>1170</v>
      </c>
      <c r="F253" s="80" t="s">
        <v>20</v>
      </c>
    </row>
    <row r="254" ht="15" spans="1:6">
      <c r="A254" s="79">
        <v>45537</v>
      </c>
      <c r="B254" s="80" t="s">
        <v>19</v>
      </c>
      <c r="C254" s="80">
        <v>1165</v>
      </c>
      <c r="D254" s="80">
        <v>1185</v>
      </c>
      <c r="E254" s="80">
        <v>1175</v>
      </c>
      <c r="F254" s="80" t="s">
        <v>20</v>
      </c>
    </row>
    <row r="255" ht="15" spans="1:6">
      <c r="A255" s="79">
        <v>45534</v>
      </c>
      <c r="B255" s="80" t="s">
        <v>19</v>
      </c>
      <c r="C255" s="80">
        <v>1170</v>
      </c>
      <c r="D255" s="80">
        <v>1190</v>
      </c>
      <c r="E255" s="80">
        <v>1180</v>
      </c>
      <c r="F255" s="80" t="s">
        <v>20</v>
      </c>
    </row>
    <row r="256" ht="15" spans="1:6">
      <c r="A256" s="79">
        <v>45533</v>
      </c>
      <c r="B256" s="80" t="s">
        <v>19</v>
      </c>
      <c r="C256" s="80">
        <v>1170</v>
      </c>
      <c r="D256" s="80">
        <v>1190</v>
      </c>
      <c r="E256" s="80">
        <v>1180</v>
      </c>
      <c r="F256" s="80" t="s">
        <v>20</v>
      </c>
    </row>
    <row r="257" ht="15" spans="1:6">
      <c r="A257" s="79">
        <v>45532</v>
      </c>
      <c r="B257" s="80" t="s">
        <v>19</v>
      </c>
      <c r="C257" s="80">
        <v>1180</v>
      </c>
      <c r="D257" s="80">
        <v>1200</v>
      </c>
      <c r="E257" s="80">
        <v>1190</v>
      </c>
      <c r="F257" s="80" t="s">
        <v>20</v>
      </c>
    </row>
    <row r="258" ht="15" spans="1:6">
      <c r="A258" s="79">
        <v>45531</v>
      </c>
      <c r="B258" s="80" t="s">
        <v>19</v>
      </c>
      <c r="C258" s="80">
        <v>1175</v>
      </c>
      <c r="D258" s="80">
        <v>1195</v>
      </c>
      <c r="E258" s="80">
        <v>1185</v>
      </c>
      <c r="F258" s="80" t="s">
        <v>20</v>
      </c>
    </row>
    <row r="259" ht="15" spans="1:6">
      <c r="A259" s="79">
        <v>45530</v>
      </c>
      <c r="B259" s="80" t="s">
        <v>19</v>
      </c>
      <c r="C259" s="80">
        <v>1160</v>
      </c>
      <c r="D259" s="80">
        <v>1180</v>
      </c>
      <c r="E259" s="80">
        <v>1170</v>
      </c>
      <c r="F259" s="80" t="s">
        <v>20</v>
      </c>
    </row>
    <row r="260" ht="15" spans="1:6">
      <c r="A260" s="79">
        <v>45527</v>
      </c>
      <c r="B260" s="80" t="s">
        <v>19</v>
      </c>
      <c r="C260" s="80">
        <v>1155</v>
      </c>
      <c r="D260" s="80">
        <v>1175</v>
      </c>
      <c r="E260" s="80">
        <v>1165</v>
      </c>
      <c r="F260" s="80" t="s">
        <v>20</v>
      </c>
    </row>
    <row r="261" ht="15" spans="1:6">
      <c r="A261" s="79">
        <v>45526</v>
      </c>
      <c r="B261" s="80" t="s">
        <v>19</v>
      </c>
      <c r="C261" s="80">
        <v>1150</v>
      </c>
      <c r="D261" s="80">
        <v>1170</v>
      </c>
      <c r="E261" s="80">
        <v>1160</v>
      </c>
      <c r="F261" s="80" t="s">
        <v>20</v>
      </c>
    </row>
    <row r="262" ht="15" spans="1:6">
      <c r="A262" s="79">
        <v>45525</v>
      </c>
      <c r="B262" s="80" t="s">
        <v>19</v>
      </c>
      <c r="C262" s="80">
        <v>1145</v>
      </c>
      <c r="D262" s="80">
        <v>1165</v>
      </c>
      <c r="E262" s="80">
        <v>1155</v>
      </c>
      <c r="F262" s="80" t="s">
        <v>20</v>
      </c>
    </row>
    <row r="263" ht="15" spans="1:6">
      <c r="A263" s="79">
        <v>45524</v>
      </c>
      <c r="B263" s="80" t="s">
        <v>19</v>
      </c>
      <c r="C263" s="80">
        <v>1150</v>
      </c>
      <c r="D263" s="80">
        <v>1170</v>
      </c>
      <c r="E263" s="80">
        <v>1160</v>
      </c>
      <c r="F263" s="80" t="s">
        <v>20</v>
      </c>
    </row>
    <row r="264" ht="15" spans="1:6">
      <c r="A264" s="79">
        <v>45523</v>
      </c>
      <c r="B264" s="80" t="s">
        <v>19</v>
      </c>
      <c r="C264" s="80">
        <v>1150</v>
      </c>
      <c r="D264" s="80">
        <v>1170</v>
      </c>
      <c r="E264" s="80">
        <v>1160</v>
      </c>
      <c r="F264" s="80" t="s">
        <v>20</v>
      </c>
    </row>
    <row r="265" ht="15" spans="1:6">
      <c r="A265" s="79">
        <v>45520</v>
      </c>
      <c r="B265" s="80" t="s">
        <v>19</v>
      </c>
      <c r="C265" s="80">
        <v>1160</v>
      </c>
      <c r="D265" s="80">
        <v>1180</v>
      </c>
      <c r="E265" s="80">
        <v>1170</v>
      </c>
      <c r="F265" s="80" t="s">
        <v>20</v>
      </c>
    </row>
    <row r="266" ht="15" spans="1:6">
      <c r="A266" s="79">
        <v>45519</v>
      </c>
      <c r="B266" s="80" t="s">
        <v>19</v>
      </c>
      <c r="C266" s="80">
        <v>1160</v>
      </c>
      <c r="D266" s="80">
        <v>1180</v>
      </c>
      <c r="E266" s="80">
        <v>1170</v>
      </c>
      <c r="F266" s="80" t="s">
        <v>20</v>
      </c>
    </row>
    <row r="267" ht="15" spans="1:6">
      <c r="A267" s="79">
        <v>45518</v>
      </c>
      <c r="B267" s="80" t="s">
        <v>19</v>
      </c>
      <c r="C267" s="80">
        <v>1160</v>
      </c>
      <c r="D267" s="80">
        <v>1180</v>
      </c>
      <c r="E267" s="80">
        <v>1170</v>
      </c>
      <c r="F267" s="80" t="s">
        <v>20</v>
      </c>
    </row>
    <row r="268" ht="15" spans="1:6">
      <c r="A268" s="79">
        <v>45517</v>
      </c>
      <c r="B268" s="80" t="s">
        <v>19</v>
      </c>
      <c r="C268" s="80">
        <v>1160</v>
      </c>
      <c r="D268" s="80">
        <v>1180</v>
      </c>
      <c r="E268" s="80">
        <v>1170</v>
      </c>
      <c r="F268" s="80" t="s">
        <v>20</v>
      </c>
    </row>
    <row r="269" ht="15" spans="1:6">
      <c r="A269" s="79">
        <v>45516</v>
      </c>
      <c r="B269" s="80" t="s">
        <v>19</v>
      </c>
      <c r="C269" s="80">
        <v>1160</v>
      </c>
      <c r="D269" s="80">
        <v>1180</v>
      </c>
      <c r="E269" s="80">
        <v>1170</v>
      </c>
      <c r="F269" s="80" t="s">
        <v>20</v>
      </c>
    </row>
    <row r="270" ht="15" spans="1:6">
      <c r="A270" s="79">
        <v>45513</v>
      </c>
      <c r="B270" s="80" t="s">
        <v>19</v>
      </c>
      <c r="C270" s="80">
        <v>1170</v>
      </c>
      <c r="D270" s="80">
        <v>1190</v>
      </c>
      <c r="E270" s="80">
        <v>1180</v>
      </c>
      <c r="F270" s="80" t="s">
        <v>20</v>
      </c>
    </row>
    <row r="271" ht="15" spans="1:6">
      <c r="A271" s="79">
        <v>45512</v>
      </c>
      <c r="B271" s="80" t="s">
        <v>19</v>
      </c>
      <c r="C271" s="80">
        <v>1170</v>
      </c>
      <c r="D271" s="80">
        <v>1190</v>
      </c>
      <c r="E271" s="80">
        <v>1180</v>
      </c>
      <c r="F271" s="80" t="s">
        <v>20</v>
      </c>
    </row>
    <row r="272" ht="15" spans="1:6">
      <c r="A272" s="79">
        <v>45511</v>
      </c>
      <c r="B272" s="80" t="s">
        <v>19</v>
      </c>
      <c r="C272" s="80">
        <v>1170</v>
      </c>
      <c r="D272" s="80">
        <v>1190</v>
      </c>
      <c r="E272" s="80">
        <v>1180</v>
      </c>
      <c r="F272" s="80" t="s">
        <v>20</v>
      </c>
    </row>
    <row r="273" ht="15" spans="1:6">
      <c r="A273" s="79">
        <v>45510</v>
      </c>
      <c r="B273" s="80" t="s">
        <v>19</v>
      </c>
      <c r="C273" s="80">
        <v>1170</v>
      </c>
      <c r="D273" s="80">
        <v>1190</v>
      </c>
      <c r="E273" s="80">
        <v>1180</v>
      </c>
      <c r="F273" s="80" t="s">
        <v>20</v>
      </c>
    </row>
    <row r="274" ht="15" spans="1:6">
      <c r="A274" s="79">
        <v>45509</v>
      </c>
      <c r="B274" s="80" t="s">
        <v>19</v>
      </c>
      <c r="C274" s="80">
        <v>1180</v>
      </c>
      <c r="D274" s="80">
        <v>1200</v>
      </c>
      <c r="E274" s="80">
        <v>1190</v>
      </c>
      <c r="F274" s="80" t="s">
        <v>20</v>
      </c>
    </row>
    <row r="275" ht="15" spans="1:6">
      <c r="A275" s="79">
        <v>45506</v>
      </c>
      <c r="B275" s="80" t="s">
        <v>19</v>
      </c>
      <c r="C275" s="80">
        <v>1190</v>
      </c>
      <c r="D275" s="80">
        <v>1210</v>
      </c>
      <c r="E275" s="80">
        <v>1200</v>
      </c>
      <c r="F275" s="80" t="s">
        <v>20</v>
      </c>
    </row>
    <row r="276" ht="15" spans="1:6">
      <c r="A276" s="79">
        <v>45505</v>
      </c>
      <c r="B276" s="80" t="s">
        <v>19</v>
      </c>
      <c r="C276" s="80">
        <v>1190</v>
      </c>
      <c r="D276" s="80">
        <v>1210</v>
      </c>
      <c r="E276" s="80">
        <v>1200</v>
      </c>
      <c r="F276" s="80" t="s">
        <v>20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46"/>
  <sheetViews>
    <sheetView topLeftCell="A1194" workbookViewId="0">
      <selection activeCell="A1291" sqref="A1291"/>
    </sheetView>
  </sheetViews>
  <sheetFormatPr defaultColWidth="9" defaultRowHeight="14.25" outlineLevelCol="7"/>
  <cols>
    <col min="1" max="1" width="9.375" style="11"/>
  </cols>
  <sheetData>
    <row r="1" ht="15" spans="1:8">
      <c r="A1" s="12">
        <v>44561</v>
      </c>
      <c r="B1" s="13">
        <v>1101</v>
      </c>
      <c r="C1" s="14">
        <v>0</v>
      </c>
      <c r="D1" s="15"/>
      <c r="E1" s="16"/>
      <c r="F1" s="17"/>
      <c r="G1" s="17"/>
      <c r="H1" s="18"/>
    </row>
    <row r="2" ht="15" spans="1:8">
      <c r="A2" s="19">
        <v>44562</v>
      </c>
      <c r="B2" s="20">
        <v>1101</v>
      </c>
      <c r="C2" s="21">
        <v>0</v>
      </c>
      <c r="D2" s="22"/>
      <c r="E2" s="23"/>
      <c r="F2" s="24"/>
      <c r="G2" s="24"/>
      <c r="H2" s="25"/>
    </row>
    <row r="3" ht="15" spans="1:8">
      <c r="A3" s="19">
        <v>44563</v>
      </c>
      <c r="B3" s="26">
        <v>1101</v>
      </c>
      <c r="C3" s="27">
        <v>0</v>
      </c>
      <c r="D3" s="28"/>
      <c r="E3" s="23"/>
      <c r="F3" s="29"/>
      <c r="G3" s="29"/>
      <c r="H3" s="30"/>
    </row>
    <row r="4" ht="15" spans="1:8">
      <c r="A4" s="19">
        <v>44564</v>
      </c>
      <c r="B4" s="20">
        <v>1101</v>
      </c>
      <c r="C4" s="21">
        <v>0</v>
      </c>
      <c r="D4" s="22"/>
      <c r="E4" s="23"/>
      <c r="F4" s="24"/>
      <c r="G4" s="24"/>
      <c r="H4" s="25"/>
    </row>
    <row r="5" ht="15" spans="1:8">
      <c r="A5" s="19">
        <v>44565</v>
      </c>
      <c r="B5" s="26">
        <v>1100</v>
      </c>
      <c r="C5" s="28">
        <v>-0.0009</v>
      </c>
      <c r="D5" s="28"/>
      <c r="E5" s="23"/>
      <c r="F5" s="29"/>
      <c r="G5" s="29"/>
      <c r="H5" s="30"/>
    </row>
    <row r="6" ht="15" spans="1:8">
      <c r="A6" s="19">
        <v>44566</v>
      </c>
      <c r="B6" s="20">
        <v>1102</v>
      </c>
      <c r="C6" s="24">
        <v>0.0018</v>
      </c>
      <c r="D6" s="22"/>
      <c r="E6" s="23"/>
      <c r="F6" s="24"/>
      <c r="G6" s="24"/>
      <c r="H6" s="25"/>
    </row>
    <row r="7" ht="15" spans="1:8">
      <c r="A7" s="19">
        <v>44567</v>
      </c>
      <c r="B7" s="26">
        <v>1101</v>
      </c>
      <c r="C7" s="28">
        <v>-0.0009</v>
      </c>
      <c r="D7" s="28"/>
      <c r="E7" s="23"/>
      <c r="F7" s="29"/>
      <c r="G7" s="29"/>
      <c r="H7" s="30"/>
    </row>
    <row r="8" ht="15" spans="1:8">
      <c r="A8" s="19">
        <v>44568</v>
      </c>
      <c r="B8" s="20">
        <v>1102</v>
      </c>
      <c r="C8" s="24">
        <v>0.0009</v>
      </c>
      <c r="D8" s="22"/>
      <c r="E8" s="23"/>
      <c r="F8" s="24"/>
      <c r="G8" s="24"/>
      <c r="H8" s="25"/>
    </row>
    <row r="9" ht="15" spans="1:8">
      <c r="A9" s="19">
        <v>44569</v>
      </c>
      <c r="B9" s="26">
        <v>1102</v>
      </c>
      <c r="C9" s="27">
        <v>0</v>
      </c>
      <c r="D9" s="28"/>
      <c r="E9" s="23"/>
      <c r="F9" s="29"/>
      <c r="G9" s="29"/>
      <c r="H9" s="30"/>
    </row>
    <row r="10" ht="15" spans="1:8">
      <c r="A10" s="19">
        <v>44570</v>
      </c>
      <c r="B10" s="20">
        <v>1102</v>
      </c>
      <c r="C10" s="21">
        <v>0</v>
      </c>
      <c r="D10" s="22"/>
      <c r="E10" s="23"/>
      <c r="F10" s="24"/>
      <c r="G10" s="24"/>
      <c r="H10" s="25"/>
    </row>
    <row r="11" ht="15" spans="1:8">
      <c r="A11" s="19">
        <v>44571</v>
      </c>
      <c r="B11" s="26">
        <v>1104</v>
      </c>
      <c r="C11" s="29">
        <v>0.0018</v>
      </c>
      <c r="D11" s="28"/>
      <c r="E11" s="23"/>
      <c r="F11" s="29"/>
      <c r="G11" s="29"/>
      <c r="H11" s="30"/>
    </row>
    <row r="12" ht="15" spans="1:8">
      <c r="A12" s="19">
        <v>44572</v>
      </c>
      <c r="B12" s="20">
        <v>1108</v>
      </c>
      <c r="C12" s="24">
        <v>0.0036</v>
      </c>
      <c r="D12" s="22"/>
      <c r="E12" s="23"/>
      <c r="F12" s="24"/>
      <c r="G12" s="24"/>
      <c r="H12" s="25"/>
    </row>
    <row r="13" ht="15" spans="1:8">
      <c r="A13" s="19">
        <v>44573</v>
      </c>
      <c r="B13" s="26">
        <v>1110</v>
      </c>
      <c r="C13" s="29">
        <v>0.0018</v>
      </c>
      <c r="D13" s="28"/>
      <c r="E13" s="23"/>
      <c r="F13" s="29"/>
      <c r="G13" s="29"/>
      <c r="H13" s="30"/>
    </row>
    <row r="14" ht="15" spans="1:8">
      <c r="A14" s="31">
        <v>44574</v>
      </c>
      <c r="B14" s="32">
        <v>1112</v>
      </c>
      <c r="C14" s="23">
        <v>0.0018</v>
      </c>
      <c r="D14" s="33"/>
      <c r="E14" s="23"/>
      <c r="F14" s="23"/>
      <c r="G14" s="23"/>
      <c r="H14" s="34"/>
    </row>
    <row r="15" ht="15" spans="1:8">
      <c r="A15" s="35">
        <v>44575</v>
      </c>
      <c r="B15" s="36">
        <v>1112</v>
      </c>
      <c r="C15" s="37">
        <v>0</v>
      </c>
      <c r="D15" s="38"/>
      <c r="E15" s="39"/>
      <c r="F15" s="40"/>
      <c r="G15" s="40"/>
      <c r="H15" s="41"/>
    </row>
    <row r="16" ht="15" spans="1:8">
      <c r="A16" s="12">
        <v>44576</v>
      </c>
      <c r="B16" s="42">
        <v>1111</v>
      </c>
      <c r="C16" s="43">
        <v>-0.0009</v>
      </c>
      <c r="D16" s="43"/>
      <c r="E16" s="44"/>
      <c r="F16" s="44"/>
      <c r="G16" s="44"/>
      <c r="H16" s="45"/>
    </row>
    <row r="17" ht="15" spans="1:8">
      <c r="A17" s="19">
        <v>44577</v>
      </c>
      <c r="B17" s="26">
        <v>1111</v>
      </c>
      <c r="C17" s="27">
        <v>0</v>
      </c>
      <c r="D17" s="28"/>
      <c r="E17" s="29"/>
      <c r="F17" s="29"/>
      <c r="G17" s="29"/>
      <c r="H17" s="30"/>
    </row>
    <row r="18" ht="15" spans="1:8">
      <c r="A18" s="19">
        <v>44578</v>
      </c>
      <c r="B18" s="20">
        <v>1112</v>
      </c>
      <c r="C18" s="24">
        <v>0.0009</v>
      </c>
      <c r="D18" s="22"/>
      <c r="E18" s="24"/>
      <c r="F18" s="24"/>
      <c r="G18" s="24"/>
      <c r="H18" s="25"/>
    </row>
    <row r="19" ht="15" spans="1:8">
      <c r="A19" s="19">
        <v>44579</v>
      </c>
      <c r="B19" s="26">
        <v>1116</v>
      </c>
      <c r="C19" s="29">
        <v>0.0036</v>
      </c>
      <c r="D19" s="28"/>
      <c r="E19" s="29"/>
      <c r="F19" s="29"/>
      <c r="G19" s="29"/>
      <c r="H19" s="30"/>
    </row>
    <row r="20" ht="15" spans="1:8">
      <c r="A20" s="19">
        <v>44580</v>
      </c>
      <c r="B20" s="20">
        <v>1118</v>
      </c>
      <c r="C20" s="24">
        <v>0.0018</v>
      </c>
      <c r="D20" s="22"/>
      <c r="E20" s="24"/>
      <c r="F20" s="24"/>
      <c r="G20" s="24"/>
      <c r="H20" s="25"/>
    </row>
    <row r="21" ht="15" spans="1:8">
      <c r="A21" s="19">
        <v>44581</v>
      </c>
      <c r="B21" s="26">
        <v>1122</v>
      </c>
      <c r="C21" s="29">
        <v>0.0036</v>
      </c>
      <c r="D21" s="28"/>
      <c r="E21" s="29"/>
      <c r="F21" s="29"/>
      <c r="G21" s="29"/>
      <c r="H21" s="30"/>
    </row>
    <row r="22" ht="15" spans="1:8">
      <c r="A22" s="19">
        <v>44582</v>
      </c>
      <c r="B22" s="20">
        <v>1124</v>
      </c>
      <c r="C22" s="24">
        <v>0.0018</v>
      </c>
      <c r="D22" s="22"/>
      <c r="E22" s="24"/>
      <c r="F22" s="24"/>
      <c r="G22" s="24"/>
      <c r="H22" s="25"/>
    </row>
    <row r="23" ht="15" spans="1:8">
      <c r="A23" s="19">
        <v>44583</v>
      </c>
      <c r="B23" s="26">
        <v>1124</v>
      </c>
      <c r="C23" s="27">
        <v>0</v>
      </c>
      <c r="D23" s="28"/>
      <c r="E23" s="29"/>
      <c r="F23" s="29"/>
      <c r="G23" s="29"/>
      <c r="H23" s="30"/>
    </row>
    <row r="24" ht="15" spans="1:8">
      <c r="A24" s="19">
        <v>44584</v>
      </c>
      <c r="B24" s="20">
        <v>1124</v>
      </c>
      <c r="C24" s="21">
        <v>0</v>
      </c>
      <c r="D24" s="22"/>
      <c r="E24" s="24"/>
      <c r="F24" s="24"/>
      <c r="G24" s="24"/>
      <c r="H24" s="25"/>
    </row>
    <row r="25" ht="15" spans="1:8">
      <c r="A25" s="19">
        <v>44585</v>
      </c>
      <c r="B25" s="26">
        <v>1124</v>
      </c>
      <c r="C25" s="27">
        <v>0</v>
      </c>
      <c r="D25" s="28"/>
      <c r="E25" s="29"/>
      <c r="F25" s="29"/>
      <c r="G25" s="29"/>
      <c r="H25" s="30"/>
    </row>
    <row r="26" ht="15" spans="1:8">
      <c r="A26" s="19">
        <v>44586</v>
      </c>
      <c r="B26" s="20">
        <v>1123</v>
      </c>
      <c r="C26" s="22">
        <v>-0.0009</v>
      </c>
      <c r="D26" s="22"/>
      <c r="E26" s="24"/>
      <c r="F26" s="24"/>
      <c r="G26" s="24"/>
      <c r="H26" s="25"/>
    </row>
    <row r="27" ht="15" spans="1:8">
      <c r="A27" s="19">
        <v>44587</v>
      </c>
      <c r="B27" s="26">
        <v>1125</v>
      </c>
      <c r="C27" s="29">
        <v>0.0018</v>
      </c>
      <c r="D27" s="28"/>
      <c r="E27" s="29"/>
      <c r="F27" s="29"/>
      <c r="G27" s="29"/>
      <c r="H27" s="30"/>
    </row>
    <row r="28" ht="15" spans="1:8">
      <c r="A28" s="19">
        <v>44588</v>
      </c>
      <c r="B28" s="20">
        <v>1127</v>
      </c>
      <c r="C28" s="24">
        <v>0.0018</v>
      </c>
      <c r="D28" s="22"/>
      <c r="E28" s="24"/>
      <c r="F28" s="24"/>
      <c r="G28" s="24"/>
      <c r="H28" s="25"/>
    </row>
    <row r="29" ht="15" spans="1:8">
      <c r="A29" s="19">
        <v>44589</v>
      </c>
      <c r="B29" s="26">
        <v>1130</v>
      </c>
      <c r="C29" s="29">
        <v>0.0027</v>
      </c>
      <c r="D29" s="28"/>
      <c r="E29" s="29"/>
      <c r="F29" s="29"/>
      <c r="G29" s="29"/>
      <c r="H29" s="30"/>
    </row>
    <row r="30" ht="15" spans="1:8">
      <c r="A30" s="19">
        <v>44590</v>
      </c>
      <c r="B30" s="20">
        <v>1130</v>
      </c>
      <c r="C30" s="21">
        <v>0</v>
      </c>
      <c r="D30" s="22"/>
      <c r="E30" s="24"/>
      <c r="F30" s="24"/>
      <c r="G30" s="24"/>
      <c r="H30" s="25"/>
    </row>
    <row r="31" ht="15" spans="1:8">
      <c r="A31" s="19">
        <v>44591</v>
      </c>
      <c r="B31" s="26">
        <v>1130</v>
      </c>
      <c r="C31" s="27">
        <v>0</v>
      </c>
      <c r="D31" s="28"/>
      <c r="E31" s="29"/>
      <c r="F31" s="29"/>
      <c r="G31" s="29"/>
      <c r="H31" s="30"/>
    </row>
    <row r="32" ht="15" spans="1:8">
      <c r="A32" s="19">
        <v>44592</v>
      </c>
      <c r="B32" s="20">
        <v>1130</v>
      </c>
      <c r="C32" s="21">
        <v>0</v>
      </c>
      <c r="D32" s="22"/>
      <c r="E32" s="24"/>
      <c r="F32" s="24"/>
      <c r="G32" s="24"/>
      <c r="H32" s="25"/>
    </row>
    <row r="33" ht="15" spans="1:8">
      <c r="A33" s="19">
        <v>44593</v>
      </c>
      <c r="B33" s="26">
        <v>1131</v>
      </c>
      <c r="C33" s="29">
        <v>0.0009</v>
      </c>
      <c r="D33" s="28"/>
      <c r="E33" s="29"/>
      <c r="F33" s="29"/>
      <c r="G33" s="29"/>
      <c r="H33" s="30"/>
    </row>
    <row r="34" ht="15" spans="1:8">
      <c r="A34" s="19">
        <v>44594</v>
      </c>
      <c r="B34" s="20">
        <v>1131</v>
      </c>
      <c r="C34" s="21">
        <v>0</v>
      </c>
      <c r="D34" s="22"/>
      <c r="E34" s="24"/>
      <c r="F34" s="24"/>
      <c r="G34" s="24"/>
      <c r="H34" s="25"/>
    </row>
    <row r="35" ht="15" spans="1:8">
      <c r="A35" s="19">
        <v>44595</v>
      </c>
      <c r="B35" s="26">
        <v>1131</v>
      </c>
      <c r="C35" s="27">
        <v>0</v>
      </c>
      <c r="D35" s="28"/>
      <c r="E35" s="29"/>
      <c r="F35" s="29"/>
      <c r="G35" s="29"/>
      <c r="H35" s="30"/>
    </row>
    <row r="36" ht="15" spans="1:8">
      <c r="A36" s="19">
        <v>44596</v>
      </c>
      <c r="B36" s="20">
        <v>1131</v>
      </c>
      <c r="C36" s="21">
        <v>0</v>
      </c>
      <c r="D36" s="22"/>
      <c r="E36" s="24"/>
      <c r="F36" s="24"/>
      <c r="G36" s="24"/>
      <c r="H36" s="25"/>
    </row>
    <row r="37" ht="15" spans="1:8">
      <c r="A37" s="19">
        <v>44597</v>
      </c>
      <c r="B37" s="26">
        <v>1131</v>
      </c>
      <c r="C37" s="27">
        <v>0</v>
      </c>
      <c r="D37" s="28"/>
      <c r="E37" s="29"/>
      <c r="F37" s="29"/>
      <c r="G37" s="29"/>
      <c r="H37" s="30"/>
    </row>
    <row r="38" ht="15" spans="1:8">
      <c r="A38" s="19">
        <v>44598</v>
      </c>
      <c r="B38" s="20">
        <v>1131</v>
      </c>
      <c r="C38" s="21">
        <v>0</v>
      </c>
      <c r="D38" s="22"/>
      <c r="E38" s="24"/>
      <c r="F38" s="24"/>
      <c r="G38" s="24"/>
      <c r="H38" s="25"/>
    </row>
    <row r="39" ht="15" spans="1:8">
      <c r="A39" s="19">
        <v>44599</v>
      </c>
      <c r="B39" s="26">
        <v>1141</v>
      </c>
      <c r="C39" s="29">
        <v>0.0088</v>
      </c>
      <c r="D39" s="28"/>
      <c r="E39" s="29"/>
      <c r="F39" s="29"/>
      <c r="G39" s="29"/>
      <c r="H39" s="30"/>
    </row>
    <row r="40" ht="15" spans="1:8">
      <c r="A40" s="19">
        <v>44600</v>
      </c>
      <c r="B40" s="20">
        <v>1150</v>
      </c>
      <c r="C40" s="24">
        <v>0.0079</v>
      </c>
      <c r="D40" s="22"/>
      <c r="E40" s="24"/>
      <c r="F40" s="24"/>
      <c r="G40" s="24"/>
      <c r="H40" s="25"/>
    </row>
    <row r="41" ht="15" spans="1:8">
      <c r="A41" s="19">
        <v>44601</v>
      </c>
      <c r="B41" s="26">
        <v>1152</v>
      </c>
      <c r="C41" s="29">
        <v>0.0017</v>
      </c>
      <c r="D41" s="28"/>
      <c r="E41" s="29"/>
      <c r="F41" s="29"/>
      <c r="G41" s="29"/>
      <c r="H41" s="30"/>
    </row>
    <row r="42" ht="15" spans="1:8">
      <c r="A42" s="19">
        <v>44602</v>
      </c>
      <c r="B42" s="20">
        <v>1156</v>
      </c>
      <c r="C42" s="24">
        <v>0.0035</v>
      </c>
      <c r="D42" s="22"/>
      <c r="E42" s="24"/>
      <c r="F42" s="24"/>
      <c r="G42" s="24"/>
      <c r="H42" s="25"/>
    </row>
    <row r="43" ht="15" spans="1:8">
      <c r="A43" s="19">
        <v>44603</v>
      </c>
      <c r="B43" s="26">
        <v>1157</v>
      </c>
      <c r="C43" s="29">
        <v>0.0009</v>
      </c>
      <c r="D43" s="28"/>
      <c r="E43" s="29"/>
      <c r="F43" s="29"/>
      <c r="G43" s="29"/>
      <c r="H43" s="30"/>
    </row>
    <row r="44" ht="15" spans="1:8">
      <c r="A44" s="19">
        <v>44604</v>
      </c>
      <c r="B44" s="20">
        <v>1157</v>
      </c>
      <c r="C44" s="21">
        <v>0</v>
      </c>
      <c r="D44" s="22"/>
      <c r="E44" s="24"/>
      <c r="F44" s="24"/>
      <c r="G44" s="24"/>
      <c r="H44" s="25"/>
    </row>
    <row r="45" ht="15" spans="1:8">
      <c r="A45" s="19">
        <v>44605</v>
      </c>
      <c r="B45" s="26">
        <v>1157</v>
      </c>
      <c r="C45" s="27">
        <v>0</v>
      </c>
      <c r="D45" s="28"/>
      <c r="E45" s="29"/>
      <c r="F45" s="29"/>
      <c r="G45" s="29"/>
      <c r="H45" s="30"/>
    </row>
    <row r="46" ht="15" spans="1:8">
      <c r="A46" s="19">
        <v>44606</v>
      </c>
      <c r="B46" s="20">
        <v>1161</v>
      </c>
      <c r="C46" s="24">
        <v>0.0035</v>
      </c>
      <c r="D46" s="22"/>
      <c r="E46" s="24"/>
      <c r="F46" s="24"/>
      <c r="G46" s="24"/>
      <c r="H46" s="25"/>
    </row>
    <row r="47" ht="15" spans="1:8">
      <c r="A47" s="19">
        <v>44607</v>
      </c>
      <c r="B47" s="26">
        <v>1161</v>
      </c>
      <c r="C47" s="27">
        <v>0</v>
      </c>
      <c r="D47" s="28"/>
      <c r="E47" s="29"/>
      <c r="F47" s="29"/>
      <c r="G47" s="29"/>
      <c r="H47" s="30"/>
    </row>
    <row r="48" ht="15" spans="1:8">
      <c r="A48" s="19">
        <v>44608</v>
      </c>
      <c r="B48" s="20">
        <v>1159</v>
      </c>
      <c r="C48" s="22">
        <v>-0.0017</v>
      </c>
      <c r="D48" s="22"/>
      <c r="E48" s="24"/>
      <c r="F48" s="24"/>
      <c r="G48" s="24"/>
      <c r="H48" s="25"/>
    </row>
    <row r="49" ht="15" spans="1:8">
      <c r="A49" s="19">
        <v>44609</v>
      </c>
      <c r="B49" s="26">
        <v>1158</v>
      </c>
      <c r="C49" s="28">
        <v>-0.0009</v>
      </c>
      <c r="D49" s="28"/>
      <c r="E49" s="29"/>
      <c r="F49" s="29"/>
      <c r="G49" s="29"/>
      <c r="H49" s="30"/>
    </row>
    <row r="50" ht="15" spans="1:8">
      <c r="A50" s="19">
        <v>44610</v>
      </c>
      <c r="B50" s="20">
        <v>1156</v>
      </c>
      <c r="C50" s="22">
        <v>-0.0017</v>
      </c>
      <c r="D50" s="22"/>
      <c r="E50" s="24"/>
      <c r="F50" s="24"/>
      <c r="G50" s="24"/>
      <c r="H50" s="25"/>
    </row>
    <row r="51" ht="15" spans="1:8">
      <c r="A51" s="19">
        <v>44611</v>
      </c>
      <c r="B51" s="26">
        <v>1156</v>
      </c>
      <c r="C51" s="27">
        <v>0</v>
      </c>
      <c r="D51" s="28"/>
      <c r="E51" s="29"/>
      <c r="F51" s="29"/>
      <c r="G51" s="29"/>
      <c r="H51" s="30"/>
    </row>
    <row r="52" ht="15" spans="1:8">
      <c r="A52" s="19">
        <v>44612</v>
      </c>
      <c r="B52" s="20">
        <v>1156</v>
      </c>
      <c r="C52" s="21">
        <v>0</v>
      </c>
      <c r="D52" s="22"/>
      <c r="E52" s="24"/>
      <c r="F52" s="24"/>
      <c r="G52" s="24"/>
      <c r="H52" s="25"/>
    </row>
    <row r="53" ht="15" spans="1:8">
      <c r="A53" s="19">
        <v>44613</v>
      </c>
      <c r="B53" s="26">
        <v>1155</v>
      </c>
      <c r="C53" s="28">
        <v>-0.0009</v>
      </c>
      <c r="D53" s="28"/>
      <c r="E53" s="29"/>
      <c r="F53" s="29"/>
      <c r="G53" s="29"/>
      <c r="H53" s="30"/>
    </row>
    <row r="54" ht="15" spans="1:8">
      <c r="A54" s="19">
        <v>44614</v>
      </c>
      <c r="B54" s="20">
        <v>1160</v>
      </c>
      <c r="C54" s="24">
        <v>0.0043</v>
      </c>
      <c r="D54" s="21"/>
      <c r="E54" s="24"/>
      <c r="F54" s="24"/>
      <c r="G54" s="24"/>
      <c r="H54" s="25"/>
    </row>
    <row r="55" ht="15" spans="1:8">
      <c r="A55" s="19">
        <v>44615</v>
      </c>
      <c r="B55" s="26">
        <v>1160</v>
      </c>
      <c r="C55" s="27">
        <v>0</v>
      </c>
      <c r="D55" s="29"/>
      <c r="E55" s="29"/>
      <c r="F55" s="29"/>
      <c r="G55" s="29"/>
      <c r="H55" s="30"/>
    </row>
    <row r="56" ht="15" spans="1:8">
      <c r="A56" s="19">
        <v>44616</v>
      </c>
      <c r="B56" s="20">
        <v>1160</v>
      </c>
      <c r="C56" s="21">
        <v>0</v>
      </c>
      <c r="D56" s="24"/>
      <c r="E56" s="24"/>
      <c r="F56" s="24"/>
      <c r="G56" s="24"/>
      <c r="H56" s="25"/>
    </row>
    <row r="57" ht="15" spans="1:8">
      <c r="A57" s="19">
        <v>44617</v>
      </c>
      <c r="B57" s="26">
        <v>1165</v>
      </c>
      <c r="C57" s="29">
        <v>0.0043</v>
      </c>
      <c r="D57" s="29"/>
      <c r="E57" s="29"/>
      <c r="F57" s="29"/>
      <c r="G57" s="29"/>
      <c r="H57" s="30"/>
    </row>
    <row r="58" ht="15" spans="1:8">
      <c r="A58" s="19">
        <v>44618</v>
      </c>
      <c r="B58" s="20">
        <v>1165</v>
      </c>
      <c r="C58" s="21">
        <v>0</v>
      </c>
      <c r="D58" s="24"/>
      <c r="E58" s="24"/>
      <c r="F58" s="24"/>
      <c r="G58" s="24"/>
      <c r="H58" s="25"/>
    </row>
    <row r="59" ht="15" spans="1:8">
      <c r="A59" s="19">
        <v>44619</v>
      </c>
      <c r="B59" s="26">
        <v>1165</v>
      </c>
      <c r="C59" s="27">
        <v>0</v>
      </c>
      <c r="D59" s="29"/>
      <c r="E59" s="29"/>
      <c r="F59" s="29"/>
      <c r="G59" s="29"/>
      <c r="H59" s="30"/>
    </row>
    <row r="60" ht="15" spans="1:8">
      <c r="A60" s="19">
        <v>44620</v>
      </c>
      <c r="B60" s="20">
        <v>1164</v>
      </c>
      <c r="C60" s="22">
        <v>-0.0009</v>
      </c>
      <c r="D60" s="24"/>
      <c r="E60" s="24"/>
      <c r="F60" s="24"/>
      <c r="G60" s="24"/>
      <c r="H60" s="25"/>
    </row>
    <row r="61" ht="15" spans="1:8">
      <c r="A61" s="19">
        <v>44621</v>
      </c>
      <c r="B61" s="26">
        <v>1168</v>
      </c>
      <c r="C61" s="29">
        <v>0.0034</v>
      </c>
      <c r="D61" s="29"/>
      <c r="E61" s="29"/>
      <c r="F61" s="29"/>
      <c r="G61" s="29"/>
      <c r="H61" s="30"/>
    </row>
    <row r="62" ht="15" spans="1:8">
      <c r="A62" s="19">
        <v>44622</v>
      </c>
      <c r="B62" s="20">
        <v>1175</v>
      </c>
      <c r="C62" s="24">
        <v>0.006</v>
      </c>
      <c r="D62" s="24"/>
      <c r="E62" s="24"/>
      <c r="F62" s="24"/>
      <c r="G62" s="24"/>
      <c r="H62" s="25"/>
    </row>
    <row r="63" ht="15" spans="1:8">
      <c r="A63" s="19">
        <v>44623</v>
      </c>
      <c r="B63" s="26">
        <v>1183</v>
      </c>
      <c r="C63" s="29">
        <v>0.0068</v>
      </c>
      <c r="D63" s="29"/>
      <c r="E63" s="29"/>
      <c r="F63" s="29"/>
      <c r="G63" s="29"/>
      <c r="H63" s="30"/>
    </row>
    <row r="64" ht="15" spans="1:8">
      <c r="A64" s="19">
        <v>44624</v>
      </c>
      <c r="B64" s="20">
        <v>1187</v>
      </c>
      <c r="C64" s="24">
        <v>0.0034</v>
      </c>
      <c r="D64" s="24"/>
      <c r="E64" s="24"/>
      <c r="F64" s="24"/>
      <c r="G64" s="24"/>
      <c r="H64" s="25"/>
    </row>
    <row r="65" ht="15" spans="1:8">
      <c r="A65" s="19">
        <v>44625</v>
      </c>
      <c r="B65" s="26">
        <v>1189</v>
      </c>
      <c r="C65" s="29">
        <v>0.0017</v>
      </c>
      <c r="D65" s="29"/>
      <c r="E65" s="29"/>
      <c r="F65" s="29"/>
      <c r="G65" s="29"/>
      <c r="H65" s="30"/>
    </row>
    <row r="66" ht="15" spans="1:8">
      <c r="A66" s="19">
        <v>44626</v>
      </c>
      <c r="B66" s="20">
        <v>1189</v>
      </c>
      <c r="C66" s="21">
        <v>0</v>
      </c>
      <c r="D66" s="24"/>
      <c r="E66" s="24"/>
      <c r="F66" s="24"/>
      <c r="G66" s="24"/>
      <c r="H66" s="25"/>
    </row>
    <row r="67" ht="15" spans="1:8">
      <c r="A67" s="19">
        <v>44627</v>
      </c>
      <c r="B67" s="26">
        <v>1204</v>
      </c>
      <c r="C67" s="29">
        <v>0.0126</v>
      </c>
      <c r="D67" s="29"/>
      <c r="E67" s="29"/>
      <c r="F67" s="29"/>
      <c r="G67" s="29"/>
      <c r="H67" s="30"/>
    </row>
    <row r="68" ht="15" spans="1:8">
      <c r="A68" s="19">
        <v>44628</v>
      </c>
      <c r="B68" s="20">
        <v>1214</v>
      </c>
      <c r="C68" s="24">
        <v>0.0083</v>
      </c>
      <c r="D68" s="24"/>
      <c r="E68" s="24"/>
      <c r="F68" s="24"/>
      <c r="G68" s="24"/>
      <c r="H68" s="25"/>
    </row>
    <row r="69" ht="15" spans="1:8">
      <c r="A69" s="19">
        <v>44629</v>
      </c>
      <c r="B69" s="26">
        <v>1226</v>
      </c>
      <c r="C69" s="29">
        <v>0.0099</v>
      </c>
      <c r="D69" s="29"/>
      <c r="E69" s="29"/>
      <c r="F69" s="29"/>
      <c r="G69" s="29"/>
      <c r="H69" s="30"/>
    </row>
    <row r="70" ht="15" spans="1:8">
      <c r="A70" s="19">
        <v>44630</v>
      </c>
      <c r="B70" s="20">
        <v>1220</v>
      </c>
      <c r="C70" s="22">
        <v>-0.0049</v>
      </c>
      <c r="D70" s="24"/>
      <c r="E70" s="24"/>
      <c r="F70" s="24"/>
      <c r="G70" s="24"/>
      <c r="H70" s="25"/>
    </row>
    <row r="71" ht="15" spans="1:8">
      <c r="A71" s="19">
        <v>44631</v>
      </c>
      <c r="B71" s="26">
        <v>1219</v>
      </c>
      <c r="C71" s="28">
        <v>-0.0008</v>
      </c>
      <c r="D71" s="29"/>
      <c r="E71" s="29"/>
      <c r="F71" s="29"/>
      <c r="G71" s="29"/>
      <c r="H71" s="30"/>
    </row>
    <row r="72" ht="15" spans="1:8">
      <c r="A72" s="19">
        <v>44632</v>
      </c>
      <c r="B72" s="20">
        <v>1219</v>
      </c>
      <c r="C72" s="21">
        <v>0</v>
      </c>
      <c r="D72" s="24"/>
      <c r="E72" s="24"/>
      <c r="F72" s="24"/>
      <c r="G72" s="24"/>
      <c r="H72" s="25"/>
    </row>
    <row r="73" ht="15" spans="1:8">
      <c r="A73" s="19">
        <v>44633</v>
      </c>
      <c r="B73" s="26">
        <v>1219</v>
      </c>
      <c r="C73" s="27">
        <v>0</v>
      </c>
      <c r="D73" s="29"/>
      <c r="E73" s="29"/>
      <c r="F73" s="29"/>
      <c r="G73" s="29"/>
      <c r="H73" s="30"/>
    </row>
    <row r="74" ht="15" spans="1:8">
      <c r="A74" s="19">
        <v>44634</v>
      </c>
      <c r="B74" s="20">
        <v>1213</v>
      </c>
      <c r="C74" s="22">
        <v>-0.0049</v>
      </c>
      <c r="D74" s="24"/>
      <c r="E74" s="24"/>
      <c r="F74" s="24"/>
      <c r="G74" s="24"/>
      <c r="H74" s="25"/>
    </row>
    <row r="75" ht="15" spans="1:8">
      <c r="A75" s="19">
        <v>44635</v>
      </c>
      <c r="B75" s="26">
        <v>1210</v>
      </c>
      <c r="C75" s="28">
        <v>-0.0025</v>
      </c>
      <c r="D75" s="29"/>
      <c r="E75" s="29"/>
      <c r="F75" s="29"/>
      <c r="G75" s="29"/>
      <c r="H75" s="30"/>
    </row>
    <row r="76" ht="15" spans="1:8">
      <c r="A76" s="19">
        <v>44636</v>
      </c>
      <c r="B76" s="20">
        <v>1205</v>
      </c>
      <c r="C76" s="22">
        <v>-0.0041</v>
      </c>
      <c r="D76" s="24"/>
      <c r="E76" s="24"/>
      <c r="F76" s="24"/>
      <c r="G76" s="24"/>
      <c r="H76" s="25"/>
    </row>
    <row r="77" ht="15" spans="1:8">
      <c r="A77" s="19">
        <v>44637</v>
      </c>
      <c r="B77" s="26">
        <v>1204</v>
      </c>
      <c r="C77" s="28">
        <v>-0.0008</v>
      </c>
      <c r="D77" s="29"/>
      <c r="E77" s="29"/>
      <c r="F77" s="29"/>
      <c r="G77" s="29"/>
      <c r="H77" s="30"/>
    </row>
    <row r="78" ht="15" spans="1:8">
      <c r="A78" s="19">
        <v>44638</v>
      </c>
      <c r="B78" s="20">
        <v>1207</v>
      </c>
      <c r="C78" s="24">
        <v>0.0025</v>
      </c>
      <c r="D78" s="24"/>
      <c r="E78" s="24"/>
      <c r="F78" s="24"/>
      <c r="G78" s="24"/>
      <c r="H78" s="25"/>
    </row>
    <row r="79" ht="15" spans="1:8">
      <c r="A79" s="19">
        <v>44639</v>
      </c>
      <c r="B79" s="26">
        <v>1207</v>
      </c>
      <c r="C79" s="27">
        <v>0</v>
      </c>
      <c r="D79" s="29"/>
      <c r="E79" s="29"/>
      <c r="F79" s="29"/>
      <c r="G79" s="29"/>
      <c r="H79" s="30"/>
    </row>
    <row r="80" ht="15" spans="1:8">
      <c r="A80" s="19">
        <v>44640</v>
      </c>
      <c r="B80" s="20">
        <v>1207</v>
      </c>
      <c r="C80" s="21">
        <v>0</v>
      </c>
      <c r="D80" s="24"/>
      <c r="E80" s="24"/>
      <c r="F80" s="24"/>
      <c r="G80" s="24"/>
      <c r="H80" s="25"/>
    </row>
    <row r="81" ht="15" spans="1:8">
      <c r="A81" s="19">
        <v>44641</v>
      </c>
      <c r="B81" s="26">
        <v>1211</v>
      </c>
      <c r="C81" s="29">
        <v>0.0033</v>
      </c>
      <c r="D81" s="29"/>
      <c r="E81" s="29"/>
      <c r="F81" s="29"/>
      <c r="G81" s="29"/>
      <c r="H81" s="30"/>
    </row>
    <row r="82" ht="15" spans="1:8">
      <c r="A82" s="19">
        <v>44642</v>
      </c>
      <c r="B82" s="20">
        <v>1214</v>
      </c>
      <c r="C82" s="24">
        <v>0.0025</v>
      </c>
      <c r="D82" s="24"/>
      <c r="E82" s="22"/>
      <c r="F82" s="24"/>
      <c r="G82" s="24"/>
      <c r="H82" s="25"/>
    </row>
    <row r="83" ht="15" spans="1:8">
      <c r="A83" s="19">
        <v>44643</v>
      </c>
      <c r="B83" s="26">
        <v>1216</v>
      </c>
      <c r="C83" s="29">
        <v>0.0016</v>
      </c>
      <c r="D83" s="29"/>
      <c r="E83" s="28"/>
      <c r="F83" s="29"/>
      <c r="G83" s="29"/>
      <c r="H83" s="30"/>
    </row>
    <row r="84" ht="15" spans="1:8">
      <c r="A84" s="19">
        <v>44644</v>
      </c>
      <c r="B84" s="20">
        <v>1223</v>
      </c>
      <c r="C84" s="24">
        <v>0.0058</v>
      </c>
      <c r="D84" s="24"/>
      <c r="E84" s="22"/>
      <c r="F84" s="24"/>
      <c r="G84" s="24"/>
      <c r="H84" s="25"/>
    </row>
    <row r="85" ht="15" spans="1:8">
      <c r="A85" s="19">
        <v>44645</v>
      </c>
      <c r="B85" s="26">
        <v>1222</v>
      </c>
      <c r="C85" s="28">
        <v>-0.0008</v>
      </c>
      <c r="D85" s="29"/>
      <c r="E85" s="28"/>
      <c r="F85" s="29"/>
      <c r="G85" s="29"/>
      <c r="H85" s="30"/>
    </row>
    <row r="86" ht="15" spans="1:8">
      <c r="A86" s="19">
        <v>44646</v>
      </c>
      <c r="B86" s="20">
        <v>1222</v>
      </c>
      <c r="C86" s="21">
        <v>0</v>
      </c>
      <c r="D86" s="24"/>
      <c r="E86" s="22"/>
      <c r="F86" s="24"/>
      <c r="G86" s="24"/>
      <c r="H86" s="25"/>
    </row>
    <row r="87" ht="15" spans="1:8">
      <c r="A87" s="19">
        <v>44647</v>
      </c>
      <c r="B87" s="26">
        <v>1222</v>
      </c>
      <c r="C87" s="27">
        <v>0</v>
      </c>
      <c r="D87" s="29"/>
      <c r="E87" s="28"/>
      <c r="F87" s="29"/>
      <c r="G87" s="29"/>
      <c r="H87" s="30"/>
    </row>
    <row r="88" ht="15" spans="1:8">
      <c r="A88" s="19">
        <v>44648</v>
      </c>
      <c r="B88" s="20">
        <v>1216</v>
      </c>
      <c r="C88" s="22">
        <v>-0.0049</v>
      </c>
      <c r="D88" s="24"/>
      <c r="E88" s="22"/>
      <c r="F88" s="24"/>
      <c r="G88" s="24"/>
      <c r="H88" s="25"/>
    </row>
    <row r="89" ht="15" spans="1:8">
      <c r="A89" s="19">
        <v>44649</v>
      </c>
      <c r="B89" s="26">
        <v>1215</v>
      </c>
      <c r="C89" s="28">
        <v>-0.0008</v>
      </c>
      <c r="D89" s="29"/>
      <c r="E89" s="28"/>
      <c r="F89" s="29"/>
      <c r="G89" s="29"/>
      <c r="H89" s="30"/>
    </row>
    <row r="90" ht="15" spans="1:8">
      <c r="A90" s="19">
        <v>44650</v>
      </c>
      <c r="B90" s="20">
        <v>1213</v>
      </c>
      <c r="C90" s="22">
        <v>-0.0016</v>
      </c>
      <c r="D90" s="24"/>
      <c r="E90" s="22"/>
      <c r="F90" s="24"/>
      <c r="G90" s="24"/>
      <c r="H90" s="25"/>
    </row>
    <row r="91" ht="15" spans="1:8">
      <c r="A91" s="19">
        <v>44651</v>
      </c>
      <c r="B91" s="26">
        <v>1213</v>
      </c>
      <c r="C91" s="27">
        <v>0</v>
      </c>
      <c r="D91" s="29"/>
      <c r="E91" s="28"/>
      <c r="F91" s="29"/>
      <c r="G91" s="29"/>
      <c r="H91" s="30"/>
    </row>
    <row r="92" ht="15" spans="1:8">
      <c r="A92" s="19">
        <v>44652</v>
      </c>
      <c r="B92" s="20">
        <v>1212</v>
      </c>
      <c r="C92" s="22">
        <v>-0.0008</v>
      </c>
      <c r="D92" s="24"/>
      <c r="E92" s="22"/>
      <c r="F92" s="24"/>
      <c r="G92" s="24"/>
      <c r="H92" s="25"/>
    </row>
    <row r="93" ht="15" spans="1:8">
      <c r="A93" s="19">
        <v>44653</v>
      </c>
      <c r="B93" s="26">
        <v>1212</v>
      </c>
      <c r="C93" s="27">
        <v>0</v>
      </c>
      <c r="D93" s="29"/>
      <c r="E93" s="28"/>
      <c r="F93" s="29"/>
      <c r="G93" s="29"/>
      <c r="H93" s="30"/>
    </row>
    <row r="94" ht="15" spans="1:8">
      <c r="A94" s="19">
        <v>44654</v>
      </c>
      <c r="B94" s="20">
        <v>1212</v>
      </c>
      <c r="C94" s="21">
        <v>0</v>
      </c>
      <c r="D94" s="24"/>
      <c r="E94" s="22"/>
      <c r="F94" s="24"/>
      <c r="G94" s="24"/>
      <c r="H94" s="25"/>
    </row>
    <row r="95" ht="15" spans="1:8">
      <c r="A95" s="19">
        <v>44655</v>
      </c>
      <c r="B95" s="26">
        <v>1212</v>
      </c>
      <c r="C95" s="27">
        <v>0</v>
      </c>
      <c r="D95" s="29"/>
      <c r="E95" s="28"/>
      <c r="F95" s="29"/>
      <c r="G95" s="29"/>
      <c r="H95" s="30"/>
    </row>
    <row r="96" ht="15" spans="1:8">
      <c r="A96" s="19">
        <v>44656</v>
      </c>
      <c r="B96" s="20">
        <v>1212</v>
      </c>
      <c r="C96" s="21">
        <v>0</v>
      </c>
      <c r="D96" s="24"/>
      <c r="E96" s="22"/>
      <c r="F96" s="24"/>
      <c r="G96" s="24"/>
      <c r="H96" s="25"/>
    </row>
    <row r="97" ht="15" spans="1:8">
      <c r="A97" s="19">
        <v>44657</v>
      </c>
      <c r="B97" s="26">
        <v>1214</v>
      </c>
      <c r="C97" s="29">
        <v>0.0017</v>
      </c>
      <c r="D97" s="29"/>
      <c r="E97" s="28"/>
      <c r="F97" s="29"/>
      <c r="G97" s="29"/>
      <c r="H97" s="30"/>
    </row>
    <row r="98" ht="15" spans="1:8">
      <c r="A98" s="19">
        <v>44658</v>
      </c>
      <c r="B98" s="20">
        <v>1213</v>
      </c>
      <c r="C98" s="22">
        <v>-0.0008</v>
      </c>
      <c r="D98" s="24"/>
      <c r="E98" s="22"/>
      <c r="F98" s="24"/>
      <c r="G98" s="24"/>
      <c r="H98" s="25"/>
    </row>
    <row r="99" ht="15" spans="1:8">
      <c r="A99" s="19">
        <v>44659</v>
      </c>
      <c r="B99" s="26">
        <v>1210</v>
      </c>
      <c r="C99" s="28">
        <v>-0.0025</v>
      </c>
      <c r="D99" s="29"/>
      <c r="E99" s="28"/>
      <c r="F99" s="29"/>
      <c r="G99" s="29"/>
      <c r="H99" s="30"/>
    </row>
    <row r="100" ht="15" spans="1:8">
      <c r="A100" s="19">
        <v>44660</v>
      </c>
      <c r="B100" s="20">
        <v>1210</v>
      </c>
      <c r="C100" s="21">
        <v>0</v>
      </c>
      <c r="D100" s="24"/>
      <c r="E100" s="22"/>
      <c r="F100" s="24"/>
      <c r="G100" s="24"/>
      <c r="H100" s="25"/>
    </row>
    <row r="101" ht="15" spans="1:8">
      <c r="A101" s="19">
        <v>44661</v>
      </c>
      <c r="B101" s="26">
        <v>1210</v>
      </c>
      <c r="C101" s="27">
        <v>0</v>
      </c>
      <c r="D101" s="29"/>
      <c r="E101" s="28"/>
      <c r="F101" s="29"/>
      <c r="G101" s="29"/>
      <c r="H101" s="30"/>
    </row>
    <row r="102" ht="15" spans="1:8">
      <c r="A102" s="19">
        <v>44662</v>
      </c>
      <c r="B102" s="20">
        <v>1208</v>
      </c>
      <c r="C102" s="22">
        <v>-0.0017</v>
      </c>
      <c r="D102" s="24"/>
      <c r="E102" s="22"/>
      <c r="F102" s="24"/>
      <c r="G102" s="24"/>
      <c r="H102" s="25"/>
    </row>
    <row r="103" ht="15" spans="1:8">
      <c r="A103" s="19">
        <v>44663</v>
      </c>
      <c r="B103" s="26">
        <v>1206</v>
      </c>
      <c r="C103" s="28">
        <v>-0.0017</v>
      </c>
      <c r="D103" s="29"/>
      <c r="E103" s="28"/>
      <c r="F103" s="29"/>
      <c r="G103" s="29"/>
      <c r="H103" s="30"/>
    </row>
    <row r="104" ht="15" spans="1:8">
      <c r="A104" s="19">
        <v>44664</v>
      </c>
      <c r="B104" s="20">
        <v>1207</v>
      </c>
      <c r="C104" s="24">
        <v>0.0008</v>
      </c>
      <c r="D104" s="24"/>
      <c r="E104" s="22"/>
      <c r="F104" s="24"/>
      <c r="G104" s="24"/>
      <c r="H104" s="25"/>
    </row>
    <row r="105" ht="15" spans="1:8">
      <c r="A105" s="19">
        <v>44665</v>
      </c>
      <c r="B105" s="26">
        <v>1207</v>
      </c>
      <c r="C105" s="27">
        <v>0</v>
      </c>
      <c r="D105" s="29"/>
      <c r="E105" s="28"/>
      <c r="F105" s="29"/>
      <c r="G105" s="29"/>
      <c r="H105" s="30"/>
    </row>
    <row r="106" ht="15" spans="1:8">
      <c r="A106" s="19">
        <v>44666</v>
      </c>
      <c r="B106" s="20">
        <v>1209</v>
      </c>
      <c r="C106" s="24">
        <v>0.0017</v>
      </c>
      <c r="D106" s="24"/>
      <c r="E106" s="22"/>
      <c r="F106" s="24"/>
      <c r="G106" s="24"/>
      <c r="H106" s="25"/>
    </row>
    <row r="107" ht="15" spans="1:8">
      <c r="A107" s="19">
        <v>44667</v>
      </c>
      <c r="B107" s="26">
        <v>1209</v>
      </c>
      <c r="C107" s="27">
        <v>0</v>
      </c>
      <c r="D107" s="29"/>
      <c r="E107" s="28"/>
      <c r="F107" s="29"/>
      <c r="G107" s="29"/>
      <c r="H107" s="30"/>
    </row>
    <row r="108" ht="15" spans="1:8">
      <c r="A108" s="19">
        <v>44668</v>
      </c>
      <c r="B108" s="20">
        <v>1209</v>
      </c>
      <c r="C108" s="21">
        <v>0</v>
      </c>
      <c r="D108" s="24"/>
      <c r="E108" s="22"/>
      <c r="F108" s="24"/>
      <c r="G108" s="24"/>
      <c r="H108" s="25"/>
    </row>
    <row r="109" ht="15" spans="1:8">
      <c r="A109" s="19">
        <v>44669</v>
      </c>
      <c r="B109" s="26">
        <v>1209</v>
      </c>
      <c r="C109" s="27">
        <v>0</v>
      </c>
      <c r="D109" s="29"/>
      <c r="E109" s="28"/>
      <c r="F109" s="29"/>
      <c r="G109" s="29"/>
      <c r="H109" s="30"/>
    </row>
    <row r="110" ht="15" spans="1:8">
      <c r="A110" s="19">
        <v>44670</v>
      </c>
      <c r="B110" s="20">
        <v>1212</v>
      </c>
      <c r="C110" s="24">
        <v>0.0025</v>
      </c>
      <c r="D110" s="24"/>
      <c r="E110" s="22"/>
      <c r="F110" s="24"/>
      <c r="G110" s="24"/>
      <c r="H110" s="25"/>
    </row>
    <row r="111" ht="15" spans="1:8">
      <c r="A111" s="19">
        <v>44671</v>
      </c>
      <c r="B111" s="26">
        <v>1210</v>
      </c>
      <c r="C111" s="28">
        <v>-0.0017</v>
      </c>
      <c r="D111" s="29"/>
      <c r="E111" s="28"/>
      <c r="F111" s="29"/>
      <c r="G111" s="29"/>
      <c r="H111" s="30"/>
    </row>
    <row r="112" ht="15" spans="1:8">
      <c r="A112" s="19">
        <v>44672</v>
      </c>
      <c r="B112" s="20">
        <v>1211</v>
      </c>
      <c r="C112" s="24">
        <v>0.0008</v>
      </c>
      <c r="D112" s="24"/>
      <c r="E112" s="22"/>
      <c r="F112" s="24"/>
      <c r="G112" s="24"/>
      <c r="H112" s="25"/>
    </row>
    <row r="113" ht="15" spans="1:8">
      <c r="A113" s="19">
        <v>44673</v>
      </c>
      <c r="B113" s="26">
        <v>1212</v>
      </c>
      <c r="C113" s="29">
        <v>0.0008</v>
      </c>
      <c r="D113" s="29"/>
      <c r="E113" s="28"/>
      <c r="F113" s="29"/>
      <c r="G113" s="29"/>
      <c r="H113" s="30"/>
    </row>
    <row r="114" ht="15" spans="1:8">
      <c r="A114" s="19">
        <v>44674</v>
      </c>
      <c r="B114" s="20">
        <v>1212</v>
      </c>
      <c r="C114" s="21">
        <v>0</v>
      </c>
      <c r="D114" s="24"/>
      <c r="E114" s="22"/>
      <c r="F114" s="24"/>
      <c r="G114" s="24"/>
      <c r="H114" s="25"/>
    </row>
    <row r="115" ht="15" spans="1:8">
      <c r="A115" s="35">
        <v>44675</v>
      </c>
      <c r="B115" s="36">
        <v>1211</v>
      </c>
      <c r="C115" s="38">
        <v>-0.0008</v>
      </c>
      <c r="D115" s="40"/>
      <c r="E115" s="38"/>
      <c r="F115" s="40"/>
      <c r="G115" s="40"/>
      <c r="H115" s="41"/>
    </row>
    <row r="116" ht="15" spans="1:8">
      <c r="A116" s="12">
        <v>44676</v>
      </c>
      <c r="B116" s="42">
        <v>1206</v>
      </c>
      <c r="C116" s="43">
        <v>-0.0041</v>
      </c>
      <c r="D116" s="44"/>
      <c r="E116" s="43"/>
      <c r="F116" s="16"/>
      <c r="G116" s="44"/>
      <c r="H116" s="45"/>
    </row>
    <row r="117" ht="15" spans="1:8">
      <c r="A117" s="19">
        <v>44677</v>
      </c>
      <c r="B117" s="26">
        <v>1203</v>
      </c>
      <c r="C117" s="28">
        <v>-0.0025</v>
      </c>
      <c r="D117" s="29"/>
      <c r="E117" s="28"/>
      <c r="F117" s="23"/>
      <c r="G117" s="29"/>
      <c r="H117" s="30"/>
    </row>
    <row r="118" ht="15" spans="1:8">
      <c r="A118" s="19">
        <v>44678</v>
      </c>
      <c r="B118" s="20">
        <v>1201</v>
      </c>
      <c r="C118" s="22">
        <v>-0.0017</v>
      </c>
      <c r="D118" s="24"/>
      <c r="E118" s="22"/>
      <c r="F118" s="23"/>
      <c r="G118" s="24"/>
      <c r="H118" s="25"/>
    </row>
    <row r="119" ht="15" spans="1:8">
      <c r="A119" s="19">
        <v>44679</v>
      </c>
      <c r="B119" s="26">
        <v>1202</v>
      </c>
      <c r="C119" s="29">
        <v>0.0008</v>
      </c>
      <c r="D119" s="29"/>
      <c r="E119" s="28"/>
      <c r="F119" s="23"/>
      <c r="G119" s="29"/>
      <c r="H119" s="30"/>
    </row>
    <row r="120" ht="15" spans="1:8">
      <c r="A120" s="19">
        <v>44680</v>
      </c>
      <c r="B120" s="20">
        <v>1205</v>
      </c>
      <c r="C120" s="24">
        <v>0.0025</v>
      </c>
      <c r="D120" s="24"/>
      <c r="E120" s="22"/>
      <c r="F120" s="23"/>
      <c r="G120" s="24"/>
      <c r="H120" s="25"/>
    </row>
    <row r="121" ht="15" spans="1:8">
      <c r="A121" s="19">
        <v>44681</v>
      </c>
      <c r="B121" s="26">
        <v>1205</v>
      </c>
      <c r="C121" s="27">
        <v>0</v>
      </c>
      <c r="D121" s="29"/>
      <c r="E121" s="28"/>
      <c r="F121" s="23"/>
      <c r="G121" s="29"/>
      <c r="H121" s="30"/>
    </row>
    <row r="122" ht="15" spans="1:8">
      <c r="A122" s="19">
        <v>44682</v>
      </c>
      <c r="B122" s="20">
        <v>1205</v>
      </c>
      <c r="C122" s="21">
        <v>0</v>
      </c>
      <c r="D122" s="24"/>
      <c r="E122" s="22"/>
      <c r="F122" s="23"/>
      <c r="G122" s="24"/>
      <c r="H122" s="25"/>
    </row>
    <row r="123" ht="15" spans="1:8">
      <c r="A123" s="19">
        <v>44683</v>
      </c>
      <c r="B123" s="26">
        <v>1205</v>
      </c>
      <c r="C123" s="27">
        <v>0</v>
      </c>
      <c r="D123" s="29"/>
      <c r="E123" s="28"/>
      <c r="F123" s="23"/>
      <c r="G123" s="29"/>
      <c r="H123" s="30"/>
    </row>
    <row r="124" ht="15" spans="1:8">
      <c r="A124" s="19">
        <v>44684</v>
      </c>
      <c r="B124" s="20">
        <v>1205</v>
      </c>
      <c r="C124" s="21">
        <v>0</v>
      </c>
      <c r="D124" s="24"/>
      <c r="E124" s="22"/>
      <c r="F124" s="23"/>
      <c r="G124" s="24"/>
      <c r="H124" s="25"/>
    </row>
    <row r="125" ht="15" spans="1:8">
      <c r="A125" s="19">
        <v>44685</v>
      </c>
      <c r="B125" s="26">
        <v>1205</v>
      </c>
      <c r="C125" s="27">
        <v>0</v>
      </c>
      <c r="D125" s="29"/>
      <c r="E125" s="28"/>
      <c r="F125" s="23"/>
      <c r="G125" s="29"/>
      <c r="H125" s="30"/>
    </row>
    <row r="126" ht="15" spans="1:8">
      <c r="A126" s="19">
        <v>44686</v>
      </c>
      <c r="B126" s="20">
        <v>1207</v>
      </c>
      <c r="C126" s="24">
        <v>0.0017</v>
      </c>
      <c r="D126" s="24"/>
      <c r="E126" s="22"/>
      <c r="F126" s="23"/>
      <c r="G126" s="24"/>
      <c r="H126" s="25"/>
    </row>
    <row r="127" ht="15" spans="1:8">
      <c r="A127" s="19">
        <v>44687</v>
      </c>
      <c r="B127" s="26">
        <v>1208</v>
      </c>
      <c r="C127" s="29">
        <v>0.0008</v>
      </c>
      <c r="D127" s="29"/>
      <c r="E127" s="28"/>
      <c r="F127" s="23"/>
      <c r="G127" s="29"/>
      <c r="H127" s="30"/>
    </row>
    <row r="128" ht="15" spans="1:8">
      <c r="A128" s="19">
        <v>44688</v>
      </c>
      <c r="B128" s="20">
        <v>1208</v>
      </c>
      <c r="C128" s="21">
        <v>0</v>
      </c>
      <c r="D128" s="24"/>
      <c r="E128" s="22"/>
      <c r="F128" s="23"/>
      <c r="G128" s="24"/>
      <c r="H128" s="25"/>
    </row>
    <row r="129" ht="15" spans="1:8">
      <c r="A129" s="19">
        <v>44689</v>
      </c>
      <c r="B129" s="26">
        <v>1209</v>
      </c>
      <c r="C129" s="29">
        <v>0.0008</v>
      </c>
      <c r="D129" s="29"/>
      <c r="E129" s="28"/>
      <c r="F129" s="23"/>
      <c r="G129" s="29"/>
      <c r="H129" s="30"/>
    </row>
    <row r="130" ht="15" spans="1:8">
      <c r="A130" s="19">
        <v>44690</v>
      </c>
      <c r="B130" s="20">
        <v>1206</v>
      </c>
      <c r="C130" s="22">
        <v>-0.0025</v>
      </c>
      <c r="D130" s="24"/>
      <c r="E130" s="22"/>
      <c r="F130" s="23"/>
      <c r="G130" s="24"/>
      <c r="H130" s="25"/>
    </row>
    <row r="131" ht="15" spans="1:8">
      <c r="A131" s="19">
        <v>44691</v>
      </c>
      <c r="B131" s="26">
        <v>1202</v>
      </c>
      <c r="C131" s="28">
        <v>-0.0033</v>
      </c>
      <c r="D131" s="29"/>
      <c r="E131" s="29"/>
      <c r="F131" s="23"/>
      <c r="G131" s="29"/>
      <c r="H131" s="30"/>
    </row>
    <row r="132" ht="15" spans="1:8">
      <c r="A132" s="19">
        <v>44692</v>
      </c>
      <c r="B132" s="20">
        <v>1200</v>
      </c>
      <c r="C132" s="22">
        <v>-0.0017</v>
      </c>
      <c r="D132" s="24"/>
      <c r="E132" s="24"/>
      <c r="F132" s="23"/>
      <c r="G132" s="24"/>
      <c r="H132" s="25"/>
    </row>
    <row r="133" ht="15" spans="1:8">
      <c r="A133" s="19">
        <v>44693</v>
      </c>
      <c r="B133" s="26">
        <v>1201</v>
      </c>
      <c r="C133" s="29">
        <v>0.0008</v>
      </c>
      <c r="D133" s="29"/>
      <c r="E133" s="29"/>
      <c r="F133" s="23"/>
      <c r="G133" s="29"/>
      <c r="H133" s="30"/>
    </row>
    <row r="134" ht="15" spans="1:8">
      <c r="A134" s="19">
        <v>44694</v>
      </c>
      <c r="B134" s="20">
        <v>1201</v>
      </c>
      <c r="C134" s="21">
        <v>0</v>
      </c>
      <c r="D134" s="24"/>
      <c r="E134" s="24"/>
      <c r="F134" s="23"/>
      <c r="G134" s="24"/>
      <c r="H134" s="25"/>
    </row>
    <row r="135" ht="15" spans="1:8">
      <c r="A135" s="31">
        <v>44695</v>
      </c>
      <c r="B135" s="32">
        <v>1201</v>
      </c>
      <c r="C135" s="46">
        <v>0</v>
      </c>
      <c r="D135" s="23"/>
      <c r="E135" s="23"/>
      <c r="F135" s="23"/>
      <c r="G135" s="23"/>
      <c r="H135" s="34"/>
    </row>
    <row r="136" ht="15" spans="1:8">
      <c r="A136" s="19">
        <v>44696</v>
      </c>
      <c r="B136" s="20">
        <v>1200</v>
      </c>
      <c r="C136" s="22">
        <v>-0.0008</v>
      </c>
      <c r="D136" s="24"/>
      <c r="E136" s="24"/>
      <c r="F136" s="23"/>
      <c r="G136" s="24"/>
      <c r="H136" s="25"/>
    </row>
    <row r="137" ht="15" spans="1:8">
      <c r="A137" s="19">
        <v>44697</v>
      </c>
      <c r="B137" s="26">
        <v>1200</v>
      </c>
      <c r="C137" s="27">
        <v>0</v>
      </c>
      <c r="D137" s="29"/>
      <c r="E137" s="29"/>
      <c r="F137" s="23"/>
      <c r="G137" s="29"/>
      <c r="H137" s="30"/>
    </row>
    <row r="138" ht="15" spans="1:8">
      <c r="A138" s="19">
        <v>44698</v>
      </c>
      <c r="B138" s="20">
        <v>1201</v>
      </c>
      <c r="C138" s="24">
        <v>0.0008</v>
      </c>
      <c r="D138" s="24"/>
      <c r="E138" s="24"/>
      <c r="F138" s="23"/>
      <c r="G138" s="24"/>
      <c r="H138" s="25"/>
    </row>
    <row r="139" ht="15" spans="1:8">
      <c r="A139" s="19">
        <v>44699</v>
      </c>
      <c r="B139" s="26">
        <v>1201</v>
      </c>
      <c r="C139" s="27">
        <v>0</v>
      </c>
      <c r="D139" s="29"/>
      <c r="E139" s="29"/>
      <c r="F139" s="23"/>
      <c r="G139" s="29"/>
      <c r="H139" s="30"/>
    </row>
    <row r="140" ht="15" spans="1:8">
      <c r="A140" s="19">
        <v>44700</v>
      </c>
      <c r="B140" s="20">
        <v>1199</v>
      </c>
      <c r="C140" s="22">
        <v>-0.0017</v>
      </c>
      <c r="D140" s="24"/>
      <c r="E140" s="24"/>
      <c r="F140" s="23"/>
      <c r="G140" s="24"/>
      <c r="H140" s="25"/>
    </row>
    <row r="141" ht="15" spans="1:8">
      <c r="A141" s="19">
        <v>44701</v>
      </c>
      <c r="B141" s="26">
        <v>1199</v>
      </c>
      <c r="C141" s="27">
        <v>0</v>
      </c>
      <c r="D141" s="29"/>
      <c r="E141" s="29"/>
      <c r="F141" s="23"/>
      <c r="G141" s="29"/>
      <c r="H141" s="30"/>
    </row>
    <row r="142" ht="15" spans="1:8">
      <c r="A142" s="19">
        <v>44702</v>
      </c>
      <c r="B142" s="20">
        <v>1199</v>
      </c>
      <c r="C142" s="21">
        <v>0</v>
      </c>
      <c r="D142" s="24"/>
      <c r="E142" s="24"/>
      <c r="F142" s="23"/>
      <c r="G142" s="24"/>
      <c r="H142" s="25"/>
    </row>
    <row r="143" ht="15" spans="1:8">
      <c r="A143" s="19">
        <v>44703</v>
      </c>
      <c r="B143" s="26">
        <v>1199</v>
      </c>
      <c r="C143" s="27">
        <v>0</v>
      </c>
      <c r="D143" s="29"/>
      <c r="E143" s="29"/>
      <c r="F143" s="23"/>
      <c r="G143" s="29"/>
      <c r="H143" s="30"/>
    </row>
    <row r="144" ht="15" spans="1:8">
      <c r="A144" s="19">
        <v>44704</v>
      </c>
      <c r="B144" s="20">
        <v>1200</v>
      </c>
      <c r="C144" s="24">
        <v>0.0008</v>
      </c>
      <c r="D144" s="24"/>
      <c r="E144" s="24"/>
      <c r="F144" s="23"/>
      <c r="G144" s="24"/>
      <c r="H144" s="25"/>
    </row>
    <row r="145" ht="15" spans="1:8">
      <c r="A145" s="19">
        <v>44705</v>
      </c>
      <c r="B145" s="26">
        <v>1201</v>
      </c>
      <c r="C145" s="29">
        <v>0.0008</v>
      </c>
      <c r="D145" s="29"/>
      <c r="E145" s="29"/>
      <c r="F145" s="23"/>
      <c r="G145" s="29"/>
      <c r="H145" s="30"/>
    </row>
    <row r="146" ht="15" spans="1:8">
      <c r="A146" s="19">
        <v>44706</v>
      </c>
      <c r="B146" s="20">
        <v>1198</v>
      </c>
      <c r="C146" s="22">
        <v>-0.0025</v>
      </c>
      <c r="D146" s="24"/>
      <c r="E146" s="24"/>
      <c r="F146" s="23"/>
      <c r="G146" s="24"/>
      <c r="H146" s="25"/>
    </row>
    <row r="147" ht="15" spans="1:8">
      <c r="A147" s="19">
        <v>44707</v>
      </c>
      <c r="B147" s="26">
        <v>1195</v>
      </c>
      <c r="C147" s="28">
        <v>-0.0025</v>
      </c>
      <c r="D147" s="29"/>
      <c r="E147" s="29"/>
      <c r="F147" s="23"/>
      <c r="G147" s="29"/>
      <c r="H147" s="30"/>
    </row>
    <row r="148" ht="15" spans="1:8">
      <c r="A148" s="19">
        <v>44708</v>
      </c>
      <c r="B148" s="20">
        <v>1196</v>
      </c>
      <c r="C148" s="24">
        <v>0.0008</v>
      </c>
      <c r="D148" s="24"/>
      <c r="E148" s="24"/>
      <c r="F148" s="23"/>
      <c r="G148" s="24"/>
      <c r="H148" s="25"/>
    </row>
    <row r="149" ht="15" spans="1:8">
      <c r="A149" s="19">
        <v>44709</v>
      </c>
      <c r="B149" s="26">
        <v>1196</v>
      </c>
      <c r="C149" s="27">
        <v>0</v>
      </c>
      <c r="D149" s="29"/>
      <c r="E149" s="29"/>
      <c r="F149" s="23"/>
      <c r="G149" s="29"/>
      <c r="H149" s="30"/>
    </row>
    <row r="150" ht="15" spans="1:8">
      <c r="A150" s="19">
        <v>44710</v>
      </c>
      <c r="B150" s="20">
        <v>1196</v>
      </c>
      <c r="C150" s="21">
        <v>0</v>
      </c>
      <c r="D150" s="24"/>
      <c r="E150" s="24"/>
      <c r="F150" s="23"/>
      <c r="G150" s="24"/>
      <c r="H150" s="25"/>
    </row>
    <row r="151" ht="15" spans="1:8">
      <c r="A151" s="19">
        <v>44711</v>
      </c>
      <c r="B151" s="26">
        <v>1197</v>
      </c>
      <c r="C151" s="29">
        <v>0.0008</v>
      </c>
      <c r="D151" s="29"/>
      <c r="E151" s="29"/>
      <c r="F151" s="23"/>
      <c r="G151" s="29"/>
      <c r="H151" s="30"/>
    </row>
    <row r="152" ht="15" spans="1:8">
      <c r="A152" s="19">
        <v>44712</v>
      </c>
      <c r="B152" s="20">
        <v>1198</v>
      </c>
      <c r="C152" s="24">
        <v>0.0008</v>
      </c>
      <c r="D152" s="24"/>
      <c r="E152" s="24"/>
      <c r="F152" s="23"/>
      <c r="G152" s="24"/>
      <c r="H152" s="25"/>
    </row>
    <row r="153" ht="15" spans="1:8">
      <c r="A153" s="19">
        <v>44713</v>
      </c>
      <c r="B153" s="26">
        <v>1198</v>
      </c>
      <c r="C153" s="27">
        <v>0</v>
      </c>
      <c r="D153" s="29"/>
      <c r="E153" s="29"/>
      <c r="F153" s="23"/>
      <c r="G153" s="29"/>
      <c r="H153" s="30"/>
    </row>
    <row r="154" ht="15" spans="1:8">
      <c r="A154" s="19">
        <v>44714</v>
      </c>
      <c r="B154" s="20">
        <v>1198</v>
      </c>
      <c r="C154" s="21">
        <v>0</v>
      </c>
      <c r="D154" s="24"/>
      <c r="E154" s="24"/>
      <c r="F154" s="23"/>
      <c r="G154" s="24"/>
      <c r="H154" s="25"/>
    </row>
    <row r="155" ht="15" spans="1:8">
      <c r="A155" s="19">
        <v>44715</v>
      </c>
      <c r="B155" s="26">
        <v>1199</v>
      </c>
      <c r="C155" s="29">
        <v>0.0008</v>
      </c>
      <c r="D155" s="29"/>
      <c r="E155" s="29"/>
      <c r="F155" s="23"/>
      <c r="G155" s="29"/>
      <c r="H155" s="30"/>
    </row>
    <row r="156" ht="15" spans="1:8">
      <c r="A156" s="19">
        <v>44716</v>
      </c>
      <c r="B156" s="20">
        <v>1199</v>
      </c>
      <c r="C156" s="21">
        <v>0</v>
      </c>
      <c r="D156" s="24"/>
      <c r="E156" s="24"/>
      <c r="F156" s="23"/>
      <c r="G156" s="24"/>
      <c r="H156" s="25"/>
    </row>
    <row r="157" ht="15" spans="1:8">
      <c r="A157" s="19">
        <v>44717</v>
      </c>
      <c r="B157" s="26">
        <v>1199</v>
      </c>
      <c r="C157" s="27">
        <v>0</v>
      </c>
      <c r="D157" s="29"/>
      <c r="E157" s="29"/>
      <c r="F157" s="23"/>
      <c r="G157" s="29"/>
      <c r="H157" s="30"/>
    </row>
    <row r="158" ht="15" spans="1:8">
      <c r="A158" s="19">
        <v>44718</v>
      </c>
      <c r="B158" s="20">
        <v>1203</v>
      </c>
      <c r="C158" s="24">
        <v>0.0033</v>
      </c>
      <c r="D158" s="24"/>
      <c r="E158" s="24"/>
      <c r="F158" s="23"/>
      <c r="G158" s="24"/>
      <c r="H158" s="25"/>
    </row>
    <row r="159" ht="15" spans="1:8">
      <c r="A159" s="19">
        <v>44719</v>
      </c>
      <c r="B159" s="26">
        <v>1204</v>
      </c>
      <c r="C159" s="29">
        <v>0.0008</v>
      </c>
      <c r="D159" s="27"/>
      <c r="E159" s="29"/>
      <c r="F159" s="23"/>
      <c r="G159" s="29"/>
      <c r="H159" s="30"/>
    </row>
    <row r="160" ht="15" spans="1:8">
      <c r="A160" s="19">
        <v>44720</v>
      </c>
      <c r="B160" s="20">
        <v>1205</v>
      </c>
      <c r="C160" s="24">
        <v>0.0008</v>
      </c>
      <c r="D160" s="22"/>
      <c r="E160" s="24"/>
      <c r="F160" s="23"/>
      <c r="G160" s="24"/>
      <c r="H160" s="25"/>
    </row>
    <row r="161" ht="15" spans="1:8">
      <c r="A161" s="19">
        <v>44721</v>
      </c>
      <c r="B161" s="26">
        <v>1208</v>
      </c>
      <c r="C161" s="29">
        <v>0.0025</v>
      </c>
      <c r="D161" s="28"/>
      <c r="E161" s="29"/>
      <c r="F161" s="23"/>
      <c r="G161" s="29"/>
      <c r="H161" s="30"/>
    </row>
    <row r="162" ht="15" spans="1:8">
      <c r="A162" s="19">
        <v>44722</v>
      </c>
      <c r="B162" s="20">
        <v>1211</v>
      </c>
      <c r="C162" s="24">
        <v>0.0025</v>
      </c>
      <c r="D162" s="22"/>
      <c r="E162" s="24"/>
      <c r="F162" s="23"/>
      <c r="G162" s="24"/>
      <c r="H162" s="25"/>
    </row>
    <row r="163" ht="15" spans="1:8">
      <c r="A163" s="19">
        <v>44723</v>
      </c>
      <c r="B163" s="26">
        <v>1210</v>
      </c>
      <c r="C163" s="28">
        <v>-0.0008</v>
      </c>
      <c r="D163" s="28"/>
      <c r="E163" s="29"/>
      <c r="F163" s="23"/>
      <c r="G163" s="29"/>
      <c r="H163" s="30"/>
    </row>
    <row r="164" ht="15" spans="1:8">
      <c r="A164" s="19">
        <v>44724</v>
      </c>
      <c r="B164" s="20">
        <v>1210</v>
      </c>
      <c r="C164" s="21">
        <v>0</v>
      </c>
      <c r="D164" s="22"/>
      <c r="E164" s="24"/>
      <c r="F164" s="23"/>
      <c r="G164" s="24"/>
      <c r="H164" s="25"/>
    </row>
    <row r="165" ht="15" spans="1:8">
      <c r="A165" s="19">
        <v>44725</v>
      </c>
      <c r="B165" s="26">
        <v>1207</v>
      </c>
      <c r="C165" s="28">
        <v>-0.0025</v>
      </c>
      <c r="D165" s="28"/>
      <c r="E165" s="29"/>
      <c r="F165" s="23"/>
      <c r="G165" s="29"/>
      <c r="H165" s="30"/>
    </row>
    <row r="166" ht="15" spans="1:8">
      <c r="A166" s="19">
        <v>44726</v>
      </c>
      <c r="B166" s="20">
        <v>1204</v>
      </c>
      <c r="C166" s="22">
        <v>-0.0025</v>
      </c>
      <c r="D166" s="22"/>
      <c r="E166" s="24"/>
      <c r="F166" s="23"/>
      <c r="G166" s="24"/>
      <c r="H166" s="25"/>
    </row>
    <row r="167" ht="15" spans="1:8">
      <c r="A167" s="19">
        <v>44727</v>
      </c>
      <c r="B167" s="26">
        <v>1201</v>
      </c>
      <c r="C167" s="28">
        <v>-0.0025</v>
      </c>
      <c r="D167" s="28"/>
      <c r="E167" s="29"/>
      <c r="F167" s="23"/>
      <c r="G167" s="29"/>
      <c r="H167" s="30"/>
    </row>
    <row r="168" ht="15" spans="1:8">
      <c r="A168" s="19">
        <v>44728</v>
      </c>
      <c r="B168" s="20">
        <v>1200</v>
      </c>
      <c r="C168" s="22">
        <v>-0.0008</v>
      </c>
      <c r="D168" s="22"/>
      <c r="E168" s="24"/>
      <c r="F168" s="23"/>
      <c r="G168" s="24"/>
      <c r="H168" s="25"/>
    </row>
    <row r="169" ht="15" spans="1:8">
      <c r="A169" s="19">
        <v>44729</v>
      </c>
      <c r="B169" s="26">
        <v>1195</v>
      </c>
      <c r="C169" s="28">
        <v>-0.0042</v>
      </c>
      <c r="D169" s="28"/>
      <c r="E169" s="29"/>
      <c r="F169" s="23"/>
      <c r="G169" s="29"/>
      <c r="H169" s="30"/>
    </row>
    <row r="170" ht="15" spans="1:8">
      <c r="A170" s="19">
        <v>44730</v>
      </c>
      <c r="B170" s="20">
        <v>1195</v>
      </c>
      <c r="C170" s="21">
        <v>0</v>
      </c>
      <c r="D170" s="22"/>
      <c r="E170" s="24"/>
      <c r="F170" s="23"/>
      <c r="G170" s="24"/>
      <c r="H170" s="25"/>
    </row>
    <row r="171" ht="15" spans="1:8">
      <c r="A171" s="19">
        <v>44731</v>
      </c>
      <c r="B171" s="26">
        <v>1196</v>
      </c>
      <c r="C171" s="29">
        <v>0.0008</v>
      </c>
      <c r="D171" s="28"/>
      <c r="E171" s="29"/>
      <c r="F171" s="23"/>
      <c r="G171" s="29"/>
      <c r="H171" s="30"/>
    </row>
    <row r="172" ht="15" spans="1:8">
      <c r="A172" s="19">
        <v>44732</v>
      </c>
      <c r="B172" s="20">
        <v>1186</v>
      </c>
      <c r="C172" s="22">
        <v>-0.0084</v>
      </c>
      <c r="D172" s="22"/>
      <c r="E172" s="24"/>
      <c r="F172" s="23"/>
      <c r="G172" s="24"/>
      <c r="H172" s="25"/>
    </row>
    <row r="173" ht="15" spans="1:8">
      <c r="A173" s="19">
        <v>44733</v>
      </c>
      <c r="B173" s="26">
        <v>1178</v>
      </c>
      <c r="C173" s="28">
        <v>-0.0067</v>
      </c>
      <c r="D173" s="28"/>
      <c r="E173" s="29"/>
      <c r="F173" s="23"/>
      <c r="G173" s="29"/>
      <c r="H173" s="30"/>
    </row>
    <row r="174" ht="15" spans="1:8">
      <c r="A174" s="19">
        <v>44734</v>
      </c>
      <c r="B174" s="20">
        <v>1174</v>
      </c>
      <c r="C174" s="22">
        <v>-0.0034</v>
      </c>
      <c r="D174" s="22"/>
      <c r="E174" s="24"/>
      <c r="F174" s="23"/>
      <c r="G174" s="24"/>
      <c r="H174" s="25"/>
    </row>
    <row r="175" ht="15" spans="1:8">
      <c r="A175" s="19">
        <v>44735</v>
      </c>
      <c r="B175" s="26">
        <v>1168</v>
      </c>
      <c r="C175" s="28">
        <v>-0.0051</v>
      </c>
      <c r="D175" s="28"/>
      <c r="E175" s="29"/>
      <c r="F175" s="23"/>
      <c r="G175" s="29"/>
      <c r="H175" s="30"/>
    </row>
    <row r="176" ht="15" spans="1:8">
      <c r="A176" s="19">
        <v>44736</v>
      </c>
      <c r="B176" s="20">
        <v>1159</v>
      </c>
      <c r="C176" s="22">
        <v>-0.0077</v>
      </c>
      <c r="D176" s="22"/>
      <c r="E176" s="24"/>
      <c r="F176" s="23"/>
      <c r="G176" s="24"/>
      <c r="H176" s="25"/>
    </row>
    <row r="177" ht="15" spans="1:8">
      <c r="A177" s="19">
        <v>44737</v>
      </c>
      <c r="B177" s="26">
        <v>1159</v>
      </c>
      <c r="C177" s="27">
        <v>0</v>
      </c>
      <c r="D177" s="28"/>
      <c r="E177" s="29"/>
      <c r="F177" s="23"/>
      <c r="G177" s="29"/>
      <c r="H177" s="30"/>
    </row>
    <row r="178" ht="15" spans="1:8">
      <c r="A178" s="19">
        <v>44738</v>
      </c>
      <c r="B178" s="20">
        <v>1159</v>
      </c>
      <c r="C178" s="21">
        <v>0</v>
      </c>
      <c r="D178" s="22"/>
      <c r="E178" s="24"/>
      <c r="F178" s="23"/>
      <c r="G178" s="24"/>
      <c r="H178" s="25"/>
    </row>
    <row r="179" ht="15" spans="1:8">
      <c r="A179" s="19">
        <v>44739</v>
      </c>
      <c r="B179" s="26">
        <v>1155</v>
      </c>
      <c r="C179" s="28">
        <v>-0.0035</v>
      </c>
      <c r="D179" s="28"/>
      <c r="E179" s="29"/>
      <c r="F179" s="23"/>
      <c r="G179" s="29"/>
      <c r="H179" s="30"/>
    </row>
    <row r="180" ht="15" spans="1:8">
      <c r="A180" s="19">
        <v>44740</v>
      </c>
      <c r="B180" s="20">
        <v>1153</v>
      </c>
      <c r="C180" s="22">
        <v>-0.0017</v>
      </c>
      <c r="D180" s="22"/>
      <c r="E180" s="24"/>
      <c r="F180" s="23"/>
      <c r="G180" s="24"/>
      <c r="H180" s="25"/>
    </row>
    <row r="181" ht="15" spans="1:8">
      <c r="A181" s="19">
        <v>44741</v>
      </c>
      <c r="B181" s="26">
        <v>1152</v>
      </c>
      <c r="C181" s="28">
        <v>-0.0009</v>
      </c>
      <c r="D181" s="28"/>
      <c r="E181" s="29"/>
      <c r="F181" s="23"/>
      <c r="G181" s="29"/>
      <c r="H181" s="30"/>
    </row>
    <row r="182" ht="15" spans="1:8">
      <c r="A182" s="19">
        <v>44746</v>
      </c>
      <c r="B182" s="20">
        <v>1135</v>
      </c>
      <c r="C182" s="22">
        <v>-0.0148</v>
      </c>
      <c r="D182" s="22"/>
      <c r="E182" s="24"/>
      <c r="F182" s="23"/>
      <c r="G182" s="24"/>
      <c r="H182" s="25"/>
    </row>
    <row r="183" ht="15" spans="1:8">
      <c r="A183" s="19">
        <v>44747</v>
      </c>
      <c r="B183" s="26">
        <v>1133</v>
      </c>
      <c r="C183" s="28">
        <v>-0.0018</v>
      </c>
      <c r="D183" s="28"/>
      <c r="E183" s="29"/>
      <c r="F183" s="23"/>
      <c r="G183" s="29"/>
      <c r="H183" s="30"/>
    </row>
    <row r="184" ht="15" spans="1:8">
      <c r="A184" s="19">
        <v>44748</v>
      </c>
      <c r="B184" s="20">
        <v>1125</v>
      </c>
      <c r="C184" s="22">
        <v>-0.0071</v>
      </c>
      <c r="D184" s="22"/>
      <c r="E184" s="24"/>
      <c r="F184" s="23"/>
      <c r="G184" s="24"/>
      <c r="H184" s="25"/>
    </row>
    <row r="185" ht="15" spans="1:8">
      <c r="A185" s="19">
        <v>44749</v>
      </c>
      <c r="B185" s="26">
        <v>1121</v>
      </c>
      <c r="C185" s="28">
        <v>-0.0036</v>
      </c>
      <c r="D185" s="28"/>
      <c r="E185" s="29"/>
      <c r="F185" s="23"/>
      <c r="G185" s="29"/>
      <c r="H185" s="30"/>
    </row>
    <row r="186" ht="15" spans="1:8">
      <c r="A186" s="19">
        <v>44750</v>
      </c>
      <c r="B186" s="20">
        <v>1118</v>
      </c>
      <c r="C186" s="22">
        <v>-0.0027</v>
      </c>
      <c r="D186" s="22"/>
      <c r="E186" s="24"/>
      <c r="F186" s="23"/>
      <c r="G186" s="24"/>
      <c r="H186" s="25"/>
    </row>
    <row r="187" ht="15" spans="1:8">
      <c r="A187" s="19">
        <v>44751</v>
      </c>
      <c r="B187" s="26">
        <v>1118</v>
      </c>
      <c r="C187" s="27">
        <v>0</v>
      </c>
      <c r="D187" s="28"/>
      <c r="E187" s="29"/>
      <c r="F187" s="23"/>
      <c r="G187" s="29"/>
      <c r="H187" s="30"/>
    </row>
    <row r="188" ht="15" spans="1:8">
      <c r="A188" s="19">
        <v>44752</v>
      </c>
      <c r="B188" s="20">
        <v>1118</v>
      </c>
      <c r="C188" s="21">
        <v>0</v>
      </c>
      <c r="D188" s="22"/>
      <c r="E188" s="24"/>
      <c r="F188" s="23"/>
      <c r="G188" s="24"/>
      <c r="H188" s="25"/>
    </row>
    <row r="189" ht="15" spans="1:8">
      <c r="A189" s="19">
        <v>44753</v>
      </c>
      <c r="B189" s="26">
        <v>1110</v>
      </c>
      <c r="C189" s="28">
        <v>-0.0072</v>
      </c>
      <c r="D189" s="28"/>
      <c r="E189" s="29"/>
      <c r="F189" s="23"/>
      <c r="G189" s="29"/>
      <c r="H189" s="30"/>
    </row>
    <row r="190" ht="15" spans="1:8">
      <c r="A190" s="19">
        <v>44754</v>
      </c>
      <c r="B190" s="20">
        <v>1105</v>
      </c>
      <c r="C190" s="22">
        <v>-0.0045</v>
      </c>
      <c r="D190" s="22"/>
      <c r="E190" s="22"/>
      <c r="F190" s="23"/>
      <c r="G190" s="24"/>
      <c r="H190" s="25"/>
    </row>
    <row r="191" ht="15" spans="1:8">
      <c r="A191" s="19">
        <v>44755</v>
      </c>
      <c r="B191" s="26">
        <v>1095</v>
      </c>
      <c r="C191" s="28">
        <v>-0.009</v>
      </c>
      <c r="D191" s="28"/>
      <c r="E191" s="28"/>
      <c r="F191" s="23"/>
      <c r="G191" s="29"/>
      <c r="H191" s="30"/>
    </row>
    <row r="192" ht="15" spans="1:8">
      <c r="A192" s="19">
        <v>44756</v>
      </c>
      <c r="B192" s="20">
        <v>1086</v>
      </c>
      <c r="C192" s="22">
        <v>-0.0082</v>
      </c>
      <c r="D192" s="22"/>
      <c r="E192" s="22"/>
      <c r="F192" s="23"/>
      <c r="G192" s="24"/>
      <c r="H192" s="25"/>
    </row>
    <row r="193" ht="15" spans="1:8">
      <c r="A193" s="19">
        <v>44757</v>
      </c>
      <c r="B193" s="26">
        <v>1077</v>
      </c>
      <c r="C193" s="28">
        <v>-0.0083</v>
      </c>
      <c r="D193" s="28"/>
      <c r="E193" s="28"/>
      <c r="F193" s="23"/>
      <c r="G193" s="29"/>
      <c r="H193" s="30"/>
    </row>
    <row r="194" ht="15" spans="1:8">
      <c r="A194" s="19">
        <v>44758</v>
      </c>
      <c r="B194" s="20">
        <v>1076</v>
      </c>
      <c r="C194" s="22">
        <v>-0.0009</v>
      </c>
      <c r="D194" s="22"/>
      <c r="E194" s="22"/>
      <c r="F194" s="23"/>
      <c r="G194" s="24"/>
      <c r="H194" s="25"/>
    </row>
    <row r="195" ht="15" spans="1:8">
      <c r="A195" s="19">
        <v>44759</v>
      </c>
      <c r="B195" s="26">
        <v>1076</v>
      </c>
      <c r="C195" s="27">
        <v>0</v>
      </c>
      <c r="D195" s="28"/>
      <c r="E195" s="28"/>
      <c r="F195" s="23"/>
      <c r="G195" s="29"/>
      <c r="H195" s="30"/>
    </row>
    <row r="196" ht="15" spans="1:8">
      <c r="A196" s="19">
        <v>44760</v>
      </c>
      <c r="B196" s="20">
        <v>1073</v>
      </c>
      <c r="C196" s="22">
        <v>-0.0028</v>
      </c>
      <c r="D196" s="22"/>
      <c r="E196" s="22"/>
      <c r="F196" s="23"/>
      <c r="G196" s="24"/>
      <c r="H196" s="25"/>
    </row>
    <row r="197" ht="15" spans="1:8">
      <c r="A197" s="19">
        <v>44761</v>
      </c>
      <c r="B197" s="26">
        <v>1071</v>
      </c>
      <c r="C197" s="28">
        <v>-0.0019</v>
      </c>
      <c r="D197" s="28"/>
      <c r="E197" s="28"/>
      <c r="F197" s="33"/>
      <c r="G197" s="29"/>
      <c r="H197" s="30"/>
    </row>
    <row r="198" ht="15" spans="1:8">
      <c r="A198" s="19">
        <v>44762</v>
      </c>
      <c r="B198" s="20">
        <v>1070</v>
      </c>
      <c r="C198" s="22">
        <v>-0.0009</v>
      </c>
      <c r="D198" s="22"/>
      <c r="E198" s="22"/>
      <c r="F198" s="33"/>
      <c r="G198" s="24"/>
      <c r="H198" s="25"/>
    </row>
    <row r="199" ht="15" spans="1:8">
      <c r="A199" s="19">
        <v>44763</v>
      </c>
      <c r="B199" s="26">
        <v>1069</v>
      </c>
      <c r="C199" s="28">
        <v>-0.0009</v>
      </c>
      <c r="D199" s="28"/>
      <c r="E199" s="28"/>
      <c r="F199" s="33"/>
      <c r="G199" s="29"/>
      <c r="H199" s="30"/>
    </row>
    <row r="200" ht="15" spans="1:8">
      <c r="A200" s="19">
        <v>44764</v>
      </c>
      <c r="B200" s="20">
        <v>1063</v>
      </c>
      <c r="C200" s="22">
        <v>-0.0056</v>
      </c>
      <c r="D200" s="22"/>
      <c r="E200" s="22"/>
      <c r="F200" s="33"/>
      <c r="G200" s="24"/>
      <c r="H200" s="25"/>
    </row>
    <row r="201" ht="15" spans="1:8">
      <c r="A201" s="19">
        <v>44765</v>
      </c>
      <c r="B201" s="26">
        <v>1063</v>
      </c>
      <c r="C201" s="27">
        <v>0</v>
      </c>
      <c r="D201" s="28"/>
      <c r="E201" s="28"/>
      <c r="F201" s="33"/>
      <c r="G201" s="29"/>
      <c r="H201" s="30"/>
    </row>
    <row r="202" ht="15" spans="1:8">
      <c r="A202" s="19">
        <v>44766</v>
      </c>
      <c r="B202" s="20">
        <v>1063</v>
      </c>
      <c r="C202" s="21">
        <v>0</v>
      </c>
      <c r="D202" s="22"/>
      <c r="E202" s="22"/>
      <c r="F202" s="33"/>
      <c r="G202" s="24"/>
      <c r="H202" s="25"/>
    </row>
    <row r="203" ht="15" spans="1:8">
      <c r="A203" s="19">
        <v>44767</v>
      </c>
      <c r="B203" s="26">
        <v>1060</v>
      </c>
      <c r="C203" s="28">
        <v>-0.0028</v>
      </c>
      <c r="D203" s="28"/>
      <c r="E203" s="28"/>
      <c r="F203" s="33"/>
      <c r="G203" s="29"/>
      <c r="H203" s="30"/>
    </row>
    <row r="204" ht="15" spans="1:8">
      <c r="A204" s="19">
        <v>44768</v>
      </c>
      <c r="B204" s="20">
        <v>1058</v>
      </c>
      <c r="C204" s="22">
        <v>-0.0019</v>
      </c>
      <c r="D204" s="22"/>
      <c r="E204" s="22"/>
      <c r="F204" s="33"/>
      <c r="G204" s="24"/>
      <c r="H204" s="25"/>
    </row>
    <row r="205" ht="15" spans="1:8">
      <c r="A205" s="19">
        <v>44769</v>
      </c>
      <c r="B205" s="26">
        <v>1053</v>
      </c>
      <c r="C205" s="28">
        <v>-0.0047</v>
      </c>
      <c r="D205" s="28"/>
      <c r="E205" s="28"/>
      <c r="F205" s="33"/>
      <c r="G205" s="29"/>
      <c r="H205" s="30"/>
    </row>
    <row r="206" ht="15" spans="1:8">
      <c r="A206" s="19">
        <v>44770</v>
      </c>
      <c r="B206" s="20">
        <v>1051</v>
      </c>
      <c r="C206" s="22">
        <v>-0.0019</v>
      </c>
      <c r="D206" s="22"/>
      <c r="E206" s="22"/>
      <c r="F206" s="33"/>
      <c r="G206" s="24"/>
      <c r="H206" s="25"/>
    </row>
    <row r="207" ht="15" spans="1:8">
      <c r="A207" s="19">
        <v>44771</v>
      </c>
      <c r="B207" s="26">
        <v>1050</v>
      </c>
      <c r="C207" s="28">
        <v>-0.001</v>
      </c>
      <c r="D207" s="28"/>
      <c r="E207" s="28"/>
      <c r="F207" s="33"/>
      <c r="G207" s="29"/>
      <c r="H207" s="30"/>
    </row>
    <row r="208" ht="15" spans="1:8">
      <c r="A208" s="19">
        <v>44772</v>
      </c>
      <c r="B208" s="20">
        <v>1050</v>
      </c>
      <c r="C208" s="21">
        <v>0</v>
      </c>
      <c r="D208" s="22"/>
      <c r="E208" s="22"/>
      <c r="F208" s="33"/>
      <c r="G208" s="24"/>
      <c r="H208" s="25"/>
    </row>
    <row r="209" ht="15" spans="1:8">
      <c r="A209" s="19">
        <v>44773</v>
      </c>
      <c r="B209" s="26">
        <v>1050</v>
      </c>
      <c r="C209" s="27">
        <v>0</v>
      </c>
      <c r="D209" s="28"/>
      <c r="E209" s="28"/>
      <c r="F209" s="33"/>
      <c r="G209" s="29"/>
      <c r="H209" s="30"/>
    </row>
    <row r="210" ht="15" spans="1:8">
      <c r="A210" s="19">
        <v>44774</v>
      </c>
      <c r="B210" s="20">
        <v>1049</v>
      </c>
      <c r="C210" s="22">
        <v>-0.001</v>
      </c>
      <c r="D210" s="22"/>
      <c r="E210" s="22"/>
      <c r="F210" s="33"/>
      <c r="G210" s="24"/>
      <c r="H210" s="25"/>
    </row>
    <row r="211" ht="15" spans="1:8">
      <c r="A211" s="19">
        <v>44775</v>
      </c>
      <c r="B211" s="26">
        <v>1047</v>
      </c>
      <c r="C211" s="28">
        <v>-0.0019</v>
      </c>
      <c r="D211" s="28"/>
      <c r="E211" s="28"/>
      <c r="F211" s="33"/>
      <c r="G211" s="29"/>
      <c r="H211" s="30"/>
    </row>
    <row r="212" ht="15" spans="1:8">
      <c r="A212" s="19">
        <v>44776</v>
      </c>
      <c r="B212" s="20">
        <v>1045</v>
      </c>
      <c r="C212" s="22">
        <v>-0.0019</v>
      </c>
      <c r="D212" s="22"/>
      <c r="E212" s="22"/>
      <c r="F212" s="33"/>
      <c r="G212" s="24"/>
      <c r="H212" s="25"/>
    </row>
    <row r="213" ht="15" spans="1:8">
      <c r="A213" s="19">
        <v>44777</v>
      </c>
      <c r="B213" s="26">
        <v>1042</v>
      </c>
      <c r="C213" s="28">
        <v>-0.0029</v>
      </c>
      <c r="D213" s="28"/>
      <c r="E213" s="28"/>
      <c r="F213" s="33"/>
      <c r="G213" s="29"/>
      <c r="H213" s="30"/>
    </row>
    <row r="214" ht="15" spans="1:8">
      <c r="A214" s="19">
        <v>44778</v>
      </c>
      <c r="B214" s="20">
        <v>1040</v>
      </c>
      <c r="C214" s="22">
        <v>-0.0019</v>
      </c>
      <c r="D214" s="22"/>
      <c r="E214" s="22"/>
      <c r="F214" s="33"/>
      <c r="G214" s="24"/>
      <c r="H214" s="25"/>
    </row>
    <row r="215" ht="15" spans="1:8">
      <c r="A215" s="35">
        <v>44779</v>
      </c>
      <c r="B215" s="36">
        <v>1040</v>
      </c>
      <c r="C215" s="37">
        <v>0</v>
      </c>
      <c r="D215" s="38"/>
      <c r="E215" s="38"/>
      <c r="F215" s="47"/>
      <c r="G215" s="40"/>
      <c r="H215" s="41"/>
    </row>
    <row r="216" ht="15" spans="1:8">
      <c r="A216" s="12">
        <v>44780</v>
      </c>
      <c r="B216" s="42">
        <v>1040</v>
      </c>
      <c r="C216" s="48">
        <v>0</v>
      </c>
      <c r="D216" s="43"/>
      <c r="E216" s="43"/>
      <c r="F216" s="49"/>
      <c r="G216" s="44"/>
      <c r="H216" s="45"/>
    </row>
    <row r="217" ht="15" spans="1:8">
      <c r="A217" s="19">
        <v>44781</v>
      </c>
      <c r="B217" s="26">
        <v>1036</v>
      </c>
      <c r="C217" s="28">
        <v>-0.0038</v>
      </c>
      <c r="D217" s="28"/>
      <c r="E217" s="28"/>
      <c r="F217" s="33"/>
      <c r="G217" s="29"/>
      <c r="H217" s="30"/>
    </row>
    <row r="218" ht="15" spans="1:8">
      <c r="A218" s="19">
        <v>44782</v>
      </c>
      <c r="B218" s="20">
        <v>1037</v>
      </c>
      <c r="C218" s="24">
        <v>0.001</v>
      </c>
      <c r="D218" s="22"/>
      <c r="E218" s="22"/>
      <c r="F218" s="33"/>
      <c r="G218" s="24"/>
      <c r="H218" s="25"/>
    </row>
    <row r="219" ht="15" spans="1:8">
      <c r="A219" s="19">
        <v>44783</v>
      </c>
      <c r="B219" s="26">
        <v>1036</v>
      </c>
      <c r="C219" s="28">
        <v>-0.001</v>
      </c>
      <c r="D219" s="28"/>
      <c r="E219" s="28"/>
      <c r="F219" s="33"/>
      <c r="G219" s="29"/>
      <c r="H219" s="30"/>
    </row>
    <row r="220" ht="15" spans="1:8">
      <c r="A220" s="19">
        <v>44784</v>
      </c>
      <c r="B220" s="20">
        <v>1037</v>
      </c>
      <c r="C220" s="24">
        <v>0.001</v>
      </c>
      <c r="D220" s="22"/>
      <c r="E220" s="22"/>
      <c r="F220" s="33"/>
      <c r="G220" s="24"/>
      <c r="H220" s="25"/>
    </row>
    <row r="221" ht="15" spans="1:8">
      <c r="A221" s="19">
        <v>44785</v>
      </c>
      <c r="B221" s="26">
        <v>1038</v>
      </c>
      <c r="C221" s="29">
        <v>0.001</v>
      </c>
      <c r="D221" s="28"/>
      <c r="E221" s="28"/>
      <c r="F221" s="33"/>
      <c r="G221" s="29"/>
      <c r="H221" s="30"/>
    </row>
    <row r="222" ht="15" spans="1:8">
      <c r="A222" s="19">
        <v>44786</v>
      </c>
      <c r="B222" s="20">
        <v>1038</v>
      </c>
      <c r="C222" s="21">
        <v>0</v>
      </c>
      <c r="D222" s="22"/>
      <c r="E222" s="22"/>
      <c r="F222" s="33"/>
      <c r="G222" s="24"/>
      <c r="H222" s="25"/>
    </row>
    <row r="223" ht="15" spans="1:8">
      <c r="A223" s="19">
        <v>44787</v>
      </c>
      <c r="B223" s="26">
        <v>1038</v>
      </c>
      <c r="C223" s="27">
        <v>0</v>
      </c>
      <c r="D223" s="28"/>
      <c r="E223" s="28"/>
      <c r="F223" s="33"/>
      <c r="G223" s="29"/>
      <c r="H223" s="30"/>
    </row>
    <row r="224" ht="15" spans="1:8">
      <c r="A224" s="19">
        <v>44788</v>
      </c>
      <c r="B224" s="20">
        <v>1037</v>
      </c>
      <c r="C224" s="22">
        <v>-0.001</v>
      </c>
      <c r="D224" s="22"/>
      <c r="E224" s="22"/>
      <c r="F224" s="33"/>
      <c r="G224" s="24"/>
      <c r="H224" s="25"/>
    </row>
    <row r="225" ht="15" spans="1:8">
      <c r="A225" s="19">
        <v>44789</v>
      </c>
      <c r="B225" s="26">
        <v>1036</v>
      </c>
      <c r="C225" s="28">
        <v>-0.001</v>
      </c>
      <c r="D225" s="28"/>
      <c r="E225" s="28"/>
      <c r="F225" s="33"/>
      <c r="G225" s="29"/>
      <c r="H225" s="30"/>
    </row>
    <row r="226" ht="15" spans="1:8">
      <c r="A226" s="19">
        <v>44790</v>
      </c>
      <c r="B226" s="20">
        <v>1035</v>
      </c>
      <c r="C226" s="22">
        <v>-0.001</v>
      </c>
      <c r="D226" s="22"/>
      <c r="E226" s="22"/>
      <c r="F226" s="33"/>
      <c r="G226" s="24"/>
      <c r="H226" s="25"/>
    </row>
    <row r="227" ht="15" spans="1:8">
      <c r="A227" s="19">
        <v>44791</v>
      </c>
      <c r="B227" s="26">
        <v>1037</v>
      </c>
      <c r="C227" s="29">
        <v>0.0019</v>
      </c>
      <c r="D227" s="28"/>
      <c r="E227" s="28"/>
      <c r="F227" s="33"/>
      <c r="G227" s="29"/>
      <c r="H227" s="30"/>
    </row>
    <row r="228" ht="15" spans="1:8">
      <c r="A228" s="19">
        <v>44792</v>
      </c>
      <c r="B228" s="20">
        <v>1034</v>
      </c>
      <c r="C228" s="22">
        <v>-0.0029</v>
      </c>
      <c r="D228" s="22"/>
      <c r="E228" s="22"/>
      <c r="F228" s="33"/>
      <c r="G228" s="24"/>
      <c r="H228" s="25"/>
    </row>
    <row r="229" ht="15" spans="1:8">
      <c r="A229" s="19">
        <v>44793</v>
      </c>
      <c r="B229" s="26">
        <v>1034</v>
      </c>
      <c r="C229" s="27">
        <v>0</v>
      </c>
      <c r="D229" s="28"/>
      <c r="E229" s="28"/>
      <c r="F229" s="33"/>
      <c r="G229" s="29"/>
      <c r="H229" s="30"/>
    </row>
    <row r="230" ht="15" spans="1:8">
      <c r="A230" s="19">
        <v>44794</v>
      </c>
      <c r="B230" s="20">
        <v>1034</v>
      </c>
      <c r="C230" s="21">
        <v>0</v>
      </c>
      <c r="D230" s="22"/>
      <c r="E230" s="22"/>
      <c r="F230" s="33"/>
      <c r="G230" s="24"/>
      <c r="H230" s="25"/>
    </row>
    <row r="231" ht="15" spans="1:8">
      <c r="A231" s="19">
        <v>44795</v>
      </c>
      <c r="B231" s="26">
        <v>1034</v>
      </c>
      <c r="C231" s="27">
        <v>0</v>
      </c>
      <c r="D231" s="28"/>
      <c r="E231" s="28"/>
      <c r="F231" s="33"/>
      <c r="G231" s="29"/>
      <c r="H231" s="30"/>
    </row>
    <row r="232" ht="15" spans="1:8">
      <c r="A232" s="31">
        <v>44796</v>
      </c>
      <c r="B232" s="32">
        <v>1035</v>
      </c>
      <c r="C232" s="23">
        <v>0.001</v>
      </c>
      <c r="D232" s="33"/>
      <c r="E232" s="33"/>
      <c r="F232" s="33"/>
      <c r="G232" s="23"/>
      <c r="H232" s="34"/>
    </row>
    <row r="233" ht="15" spans="1:8">
      <c r="A233" s="19">
        <v>44797</v>
      </c>
      <c r="B233" s="26">
        <v>1036</v>
      </c>
      <c r="C233" s="29">
        <v>0.001</v>
      </c>
      <c r="D233" s="28"/>
      <c r="E233" s="28"/>
      <c r="F233" s="33"/>
      <c r="G233" s="29"/>
      <c r="H233" s="30"/>
    </row>
    <row r="234" ht="15" spans="1:8">
      <c r="A234" s="19">
        <v>44798</v>
      </c>
      <c r="B234" s="20">
        <v>1037</v>
      </c>
      <c r="C234" s="24">
        <v>0.001</v>
      </c>
      <c r="D234" s="22"/>
      <c r="E234" s="22"/>
      <c r="F234" s="33"/>
      <c r="G234" s="24"/>
      <c r="H234" s="25"/>
    </row>
    <row r="235" ht="15" spans="1:8">
      <c r="A235" s="19">
        <v>44799</v>
      </c>
      <c r="B235" s="26">
        <v>1037</v>
      </c>
      <c r="C235" s="27">
        <v>0</v>
      </c>
      <c r="D235" s="28"/>
      <c r="E235" s="28"/>
      <c r="F235" s="33"/>
      <c r="G235" s="29"/>
      <c r="H235" s="30"/>
    </row>
    <row r="236" ht="15" spans="1:8">
      <c r="A236" s="19">
        <v>44800</v>
      </c>
      <c r="B236" s="20">
        <v>1037</v>
      </c>
      <c r="C236" s="21">
        <v>0</v>
      </c>
      <c r="D236" s="22"/>
      <c r="E236" s="22"/>
      <c r="F236" s="33"/>
      <c r="G236" s="24"/>
      <c r="H236" s="25"/>
    </row>
    <row r="237" ht="15" spans="1:8">
      <c r="A237" s="19">
        <v>44801</v>
      </c>
      <c r="B237" s="26">
        <v>1037</v>
      </c>
      <c r="C237" s="27">
        <v>0</v>
      </c>
      <c r="D237" s="28"/>
      <c r="E237" s="28"/>
      <c r="F237" s="33"/>
      <c r="G237" s="29"/>
      <c r="H237" s="30"/>
    </row>
    <row r="238" ht="15" spans="1:8">
      <c r="A238" s="19">
        <v>44802</v>
      </c>
      <c r="B238" s="20">
        <v>1035</v>
      </c>
      <c r="C238" s="22">
        <v>-0.0019</v>
      </c>
      <c r="D238" s="22"/>
      <c r="E238" s="22"/>
      <c r="F238" s="33"/>
      <c r="G238" s="24"/>
      <c r="H238" s="25"/>
    </row>
    <row r="239" ht="15" spans="1:8">
      <c r="A239" s="19">
        <v>44803</v>
      </c>
      <c r="B239" s="26">
        <v>1035</v>
      </c>
      <c r="C239" s="27">
        <v>0</v>
      </c>
      <c r="D239" s="28"/>
      <c r="E239" s="28"/>
      <c r="F239" s="33"/>
      <c r="G239" s="29"/>
      <c r="H239" s="30"/>
    </row>
    <row r="240" ht="15" spans="1:8">
      <c r="A240" s="19">
        <v>44804</v>
      </c>
      <c r="B240" s="20">
        <v>1034</v>
      </c>
      <c r="C240" s="22">
        <v>-0.001</v>
      </c>
      <c r="D240" s="22"/>
      <c r="E240" s="22"/>
      <c r="F240" s="33"/>
      <c r="G240" s="24"/>
      <c r="H240" s="25"/>
    </row>
    <row r="241" ht="15" spans="1:8">
      <c r="A241" s="19">
        <v>44805</v>
      </c>
      <c r="B241" s="26">
        <v>1030</v>
      </c>
      <c r="C241" s="28">
        <v>-0.0039</v>
      </c>
      <c r="D241" s="28"/>
      <c r="E241" s="28"/>
      <c r="F241" s="33"/>
      <c r="G241" s="29"/>
      <c r="H241" s="30"/>
    </row>
    <row r="242" ht="15" spans="1:8">
      <c r="A242" s="19">
        <v>44806</v>
      </c>
      <c r="B242" s="20">
        <v>1027</v>
      </c>
      <c r="C242" s="22">
        <v>-0.0029</v>
      </c>
      <c r="D242" s="22"/>
      <c r="E242" s="22"/>
      <c r="F242" s="33"/>
      <c r="G242" s="24"/>
      <c r="H242" s="25"/>
    </row>
    <row r="243" ht="15" spans="1:8">
      <c r="A243" s="19">
        <v>44807</v>
      </c>
      <c r="B243" s="26">
        <v>1027</v>
      </c>
      <c r="C243" s="27">
        <v>0</v>
      </c>
      <c r="D243" s="28"/>
      <c r="E243" s="28"/>
      <c r="F243" s="33"/>
      <c r="G243" s="29"/>
      <c r="H243" s="30"/>
    </row>
    <row r="244" ht="15" spans="1:8">
      <c r="A244" s="19">
        <v>44808</v>
      </c>
      <c r="B244" s="20">
        <v>1027</v>
      </c>
      <c r="C244" s="21">
        <v>0</v>
      </c>
      <c r="D244" s="22"/>
      <c r="E244" s="22"/>
      <c r="F244" s="33"/>
      <c r="G244" s="24"/>
      <c r="H244" s="25"/>
    </row>
    <row r="245" ht="15" spans="1:8">
      <c r="A245" s="19">
        <v>44809</v>
      </c>
      <c r="B245" s="26">
        <v>1031</v>
      </c>
      <c r="C245" s="29">
        <v>0.0039</v>
      </c>
      <c r="D245" s="28"/>
      <c r="E245" s="28"/>
      <c r="F245" s="33"/>
      <c r="G245" s="29"/>
      <c r="H245" s="30"/>
    </row>
    <row r="246" ht="15" spans="1:8">
      <c r="A246" s="19">
        <v>44810</v>
      </c>
      <c r="B246" s="20">
        <v>1035</v>
      </c>
      <c r="C246" s="24">
        <v>0.0039</v>
      </c>
      <c r="D246" s="22"/>
      <c r="E246" s="22"/>
      <c r="F246" s="33"/>
      <c r="G246" s="24"/>
      <c r="H246" s="25"/>
    </row>
    <row r="247" ht="15" spans="1:8">
      <c r="A247" s="19">
        <v>44811</v>
      </c>
      <c r="B247" s="26">
        <v>1036</v>
      </c>
      <c r="C247" s="29">
        <v>0.001</v>
      </c>
      <c r="D247" s="28"/>
      <c r="E247" s="28"/>
      <c r="F247" s="33"/>
      <c r="G247" s="29"/>
      <c r="H247" s="30"/>
    </row>
    <row r="248" ht="15" spans="1:8">
      <c r="A248" s="19">
        <v>44812</v>
      </c>
      <c r="B248" s="20">
        <v>1037</v>
      </c>
      <c r="C248" s="24">
        <v>0.001</v>
      </c>
      <c r="D248" s="22"/>
      <c r="E248" s="22"/>
      <c r="F248" s="33"/>
      <c r="G248" s="24"/>
      <c r="H248" s="25"/>
    </row>
    <row r="249" ht="15" spans="1:8">
      <c r="A249" s="19">
        <v>44813</v>
      </c>
      <c r="B249" s="26">
        <v>1039</v>
      </c>
      <c r="C249" s="29">
        <v>0.0019</v>
      </c>
      <c r="D249" s="28"/>
      <c r="E249" s="28"/>
      <c r="F249" s="33"/>
      <c r="G249" s="29"/>
      <c r="H249" s="30"/>
    </row>
    <row r="250" ht="15" spans="1:8">
      <c r="A250" s="19">
        <v>44814</v>
      </c>
      <c r="B250" s="20">
        <v>1039</v>
      </c>
      <c r="C250" s="21">
        <v>0</v>
      </c>
      <c r="D250" s="22"/>
      <c r="E250" s="22"/>
      <c r="F250" s="33"/>
      <c r="G250" s="24"/>
      <c r="H250" s="25"/>
    </row>
    <row r="251" ht="15" spans="1:8">
      <c r="A251" s="19">
        <v>44815</v>
      </c>
      <c r="B251" s="26">
        <v>1039</v>
      </c>
      <c r="C251" s="27">
        <v>0</v>
      </c>
      <c r="D251" s="28"/>
      <c r="E251" s="28"/>
      <c r="F251" s="33"/>
      <c r="G251" s="29"/>
      <c r="H251" s="30"/>
    </row>
    <row r="252" ht="15" spans="1:8">
      <c r="A252" s="19">
        <v>44816</v>
      </c>
      <c r="B252" s="20">
        <v>1039</v>
      </c>
      <c r="C252" s="21">
        <v>0</v>
      </c>
      <c r="D252" s="22"/>
      <c r="E252" s="22"/>
      <c r="F252" s="33"/>
      <c r="G252" s="24"/>
      <c r="H252" s="25"/>
    </row>
    <row r="253" ht="15" spans="1:8">
      <c r="A253" s="19">
        <v>44817</v>
      </c>
      <c r="B253" s="26">
        <v>1045</v>
      </c>
      <c r="C253" s="29">
        <v>0.0058</v>
      </c>
      <c r="D253" s="28"/>
      <c r="E253" s="28"/>
      <c r="F253" s="33"/>
      <c r="G253" s="29"/>
      <c r="H253" s="30"/>
    </row>
    <row r="254" ht="15" spans="1:8">
      <c r="A254" s="19">
        <v>44818</v>
      </c>
      <c r="B254" s="20">
        <v>1045</v>
      </c>
      <c r="C254" s="21">
        <v>0</v>
      </c>
      <c r="D254" s="22"/>
      <c r="E254" s="22"/>
      <c r="F254" s="33"/>
      <c r="G254" s="24"/>
      <c r="H254" s="25"/>
    </row>
    <row r="255" ht="15" spans="1:8">
      <c r="A255" s="19">
        <v>44819</v>
      </c>
      <c r="B255" s="26">
        <v>1047</v>
      </c>
      <c r="C255" s="29">
        <v>0.0019</v>
      </c>
      <c r="D255" s="28"/>
      <c r="E255" s="28"/>
      <c r="F255" s="33"/>
      <c r="G255" s="29"/>
      <c r="H255" s="30"/>
    </row>
    <row r="256" ht="15" spans="1:8">
      <c r="A256" s="19">
        <v>44820</v>
      </c>
      <c r="B256" s="20">
        <v>1047</v>
      </c>
      <c r="C256" s="21">
        <v>0</v>
      </c>
      <c r="D256" s="22"/>
      <c r="E256" s="22"/>
      <c r="F256" s="33"/>
      <c r="G256" s="24"/>
      <c r="H256" s="25"/>
    </row>
    <row r="257" ht="15" spans="1:8">
      <c r="A257" s="19">
        <v>44821</v>
      </c>
      <c r="B257" s="26">
        <v>1046</v>
      </c>
      <c r="C257" s="28">
        <v>-0.001</v>
      </c>
      <c r="D257" s="28"/>
      <c r="E257" s="28"/>
      <c r="F257" s="33"/>
      <c r="G257" s="29"/>
      <c r="H257" s="30"/>
    </row>
    <row r="258" ht="15" spans="1:8">
      <c r="A258" s="19">
        <v>44822</v>
      </c>
      <c r="B258" s="20">
        <v>1046</v>
      </c>
      <c r="C258" s="21">
        <v>0</v>
      </c>
      <c r="D258" s="22"/>
      <c r="E258" s="22"/>
      <c r="F258" s="33"/>
      <c r="G258" s="24"/>
      <c r="H258" s="25"/>
    </row>
    <row r="259" ht="15" spans="1:8">
      <c r="A259" s="19">
        <v>44823</v>
      </c>
      <c r="B259" s="26">
        <v>1048</v>
      </c>
      <c r="C259" s="29">
        <v>0.0019</v>
      </c>
      <c r="D259" s="28"/>
      <c r="E259" s="28"/>
      <c r="F259" s="33"/>
      <c r="G259" s="29"/>
      <c r="H259" s="30"/>
    </row>
    <row r="260" ht="15" spans="1:8">
      <c r="A260" s="19">
        <v>44824</v>
      </c>
      <c r="B260" s="20">
        <v>1049</v>
      </c>
      <c r="C260" s="24">
        <v>0.001</v>
      </c>
      <c r="D260" s="22"/>
      <c r="E260" s="22"/>
      <c r="F260" s="33"/>
      <c r="G260" s="24"/>
      <c r="H260" s="25"/>
    </row>
    <row r="261" ht="15" spans="1:8">
      <c r="A261" s="19">
        <v>44825</v>
      </c>
      <c r="B261" s="26">
        <v>1050</v>
      </c>
      <c r="C261" s="29">
        <v>0.001</v>
      </c>
      <c r="D261" s="28"/>
      <c r="E261" s="28"/>
      <c r="F261" s="33"/>
      <c r="G261" s="29"/>
      <c r="H261" s="30"/>
    </row>
    <row r="262" ht="15" spans="1:8">
      <c r="A262" s="19">
        <v>44826</v>
      </c>
      <c r="B262" s="20">
        <v>1053</v>
      </c>
      <c r="C262" s="24">
        <v>0.0029</v>
      </c>
      <c r="D262" s="22"/>
      <c r="E262" s="22"/>
      <c r="F262" s="33"/>
      <c r="G262" s="24"/>
      <c r="H262" s="25"/>
    </row>
    <row r="263" ht="15" spans="1:8">
      <c r="A263" s="19">
        <v>44827</v>
      </c>
      <c r="B263" s="26">
        <v>1054</v>
      </c>
      <c r="C263" s="29">
        <v>0.0009</v>
      </c>
      <c r="D263" s="28"/>
      <c r="E263" s="28"/>
      <c r="F263" s="33"/>
      <c r="G263" s="29"/>
      <c r="H263" s="30"/>
    </row>
    <row r="264" ht="15" spans="1:8">
      <c r="A264" s="19">
        <v>44828</v>
      </c>
      <c r="B264" s="20">
        <v>1054</v>
      </c>
      <c r="C264" s="21">
        <v>0</v>
      </c>
      <c r="D264" s="22"/>
      <c r="E264" s="22"/>
      <c r="F264" s="33"/>
      <c r="G264" s="24"/>
      <c r="H264" s="25"/>
    </row>
    <row r="265" ht="15" spans="1:8">
      <c r="A265" s="19">
        <v>44829</v>
      </c>
      <c r="B265" s="26">
        <v>1054</v>
      </c>
      <c r="C265" s="27">
        <v>0</v>
      </c>
      <c r="D265" s="28"/>
      <c r="E265" s="28"/>
      <c r="F265" s="33"/>
      <c r="G265" s="29"/>
      <c r="H265" s="30"/>
    </row>
    <row r="266" ht="15" spans="1:8">
      <c r="A266" s="19">
        <v>44830</v>
      </c>
      <c r="B266" s="20">
        <v>1053</v>
      </c>
      <c r="C266" s="22">
        <v>-0.0009</v>
      </c>
      <c r="D266" s="22"/>
      <c r="E266" s="22"/>
      <c r="F266" s="33"/>
      <c r="G266" s="24"/>
      <c r="H266" s="25"/>
    </row>
    <row r="267" ht="15" spans="1:8">
      <c r="A267" s="19">
        <v>44831</v>
      </c>
      <c r="B267" s="26">
        <v>1054</v>
      </c>
      <c r="C267" s="29">
        <v>0.0009</v>
      </c>
      <c r="D267" s="28"/>
      <c r="E267" s="28"/>
      <c r="F267" s="33"/>
      <c r="G267" s="29"/>
      <c r="H267" s="30"/>
    </row>
    <row r="268" ht="15" spans="1:8">
      <c r="A268" s="19">
        <v>44832</v>
      </c>
      <c r="B268" s="20">
        <v>1054</v>
      </c>
      <c r="C268" s="21">
        <v>0</v>
      </c>
      <c r="D268" s="22"/>
      <c r="E268" s="22"/>
      <c r="F268" s="33"/>
      <c r="G268" s="24"/>
      <c r="H268" s="25"/>
    </row>
    <row r="269" ht="15" spans="1:8">
      <c r="A269" s="19">
        <v>44833</v>
      </c>
      <c r="B269" s="26">
        <v>1057</v>
      </c>
      <c r="C269" s="29">
        <v>0.0028</v>
      </c>
      <c r="D269" s="28"/>
      <c r="E269" s="28"/>
      <c r="F269" s="33"/>
      <c r="G269" s="29"/>
      <c r="H269" s="30"/>
    </row>
    <row r="270" ht="15" spans="1:8">
      <c r="A270" s="19">
        <v>44834</v>
      </c>
      <c r="B270" s="20">
        <v>1058</v>
      </c>
      <c r="C270" s="24">
        <v>0.0009</v>
      </c>
      <c r="D270" s="22"/>
      <c r="E270" s="22"/>
      <c r="F270" s="33"/>
      <c r="G270" s="24"/>
      <c r="H270" s="25"/>
    </row>
    <row r="271" ht="15" spans="1:8">
      <c r="A271" s="19">
        <v>44835</v>
      </c>
      <c r="B271" s="26">
        <v>1058</v>
      </c>
      <c r="C271" s="27">
        <v>0</v>
      </c>
      <c r="D271" s="28"/>
      <c r="E271" s="28"/>
      <c r="F271" s="33"/>
      <c r="G271" s="29"/>
      <c r="H271" s="30"/>
    </row>
    <row r="272" ht="15" spans="1:8">
      <c r="A272" s="19">
        <v>44836</v>
      </c>
      <c r="B272" s="20">
        <v>1058</v>
      </c>
      <c r="C272" s="21">
        <v>0</v>
      </c>
      <c r="D272" s="22"/>
      <c r="E272" s="22"/>
      <c r="F272" s="33"/>
      <c r="G272" s="24"/>
      <c r="H272" s="25"/>
    </row>
    <row r="273" ht="15" spans="1:8">
      <c r="A273" s="19">
        <v>44837</v>
      </c>
      <c r="B273" s="26">
        <v>1058</v>
      </c>
      <c r="C273" s="27">
        <v>0</v>
      </c>
      <c r="D273" s="28"/>
      <c r="E273" s="28"/>
      <c r="F273" s="33"/>
      <c r="G273" s="29"/>
      <c r="H273" s="30"/>
    </row>
    <row r="274" ht="15" spans="1:8">
      <c r="A274" s="19">
        <v>44838</v>
      </c>
      <c r="B274" s="20">
        <v>1058</v>
      </c>
      <c r="C274" s="21">
        <v>0</v>
      </c>
      <c r="D274" s="22"/>
      <c r="E274" s="22"/>
      <c r="F274" s="33"/>
      <c r="G274" s="24"/>
      <c r="H274" s="25"/>
    </row>
    <row r="275" ht="15" spans="1:8">
      <c r="A275" s="19">
        <v>44839</v>
      </c>
      <c r="B275" s="26">
        <v>1058</v>
      </c>
      <c r="C275" s="27">
        <v>0</v>
      </c>
      <c r="D275" s="28"/>
      <c r="E275" s="28"/>
      <c r="F275" s="33"/>
      <c r="G275" s="29"/>
      <c r="H275" s="30"/>
    </row>
    <row r="276" ht="15" spans="1:8">
      <c r="A276" s="19">
        <v>44840</v>
      </c>
      <c r="B276" s="20">
        <v>1058</v>
      </c>
      <c r="C276" s="21">
        <v>0</v>
      </c>
      <c r="D276" s="22"/>
      <c r="E276" s="22"/>
      <c r="F276" s="33"/>
      <c r="G276" s="24"/>
      <c r="H276" s="25"/>
    </row>
    <row r="277" ht="15" spans="1:8">
      <c r="A277" s="19">
        <v>44841</v>
      </c>
      <c r="B277" s="26">
        <v>1058</v>
      </c>
      <c r="C277" s="27">
        <v>0</v>
      </c>
      <c r="D277" s="28"/>
      <c r="E277" s="28"/>
      <c r="F277" s="33"/>
      <c r="G277" s="29"/>
      <c r="H277" s="30"/>
    </row>
    <row r="278" ht="15" spans="1:8">
      <c r="A278" s="19">
        <v>44842</v>
      </c>
      <c r="B278" s="20">
        <v>1064</v>
      </c>
      <c r="C278" s="24">
        <v>0.0057</v>
      </c>
      <c r="D278" s="22"/>
      <c r="E278" s="22"/>
      <c r="F278" s="33"/>
      <c r="G278" s="24"/>
      <c r="H278" s="25"/>
    </row>
    <row r="279" ht="15" spans="1:8">
      <c r="A279" s="19">
        <v>44843</v>
      </c>
      <c r="B279" s="26">
        <v>1069</v>
      </c>
      <c r="C279" s="29">
        <v>0.0047</v>
      </c>
      <c r="D279" s="28"/>
      <c r="E279" s="28"/>
      <c r="F279" s="33"/>
      <c r="G279" s="29"/>
      <c r="H279" s="30"/>
    </row>
    <row r="280" ht="15" spans="1:8">
      <c r="A280" s="19">
        <v>44844</v>
      </c>
      <c r="B280" s="20">
        <v>1074</v>
      </c>
      <c r="C280" s="24">
        <v>0.0047</v>
      </c>
      <c r="D280" s="22"/>
      <c r="E280" s="22"/>
      <c r="F280" s="33"/>
      <c r="G280" s="24"/>
      <c r="H280" s="25"/>
    </row>
    <row r="281" ht="15" spans="1:8">
      <c r="A281" s="19">
        <v>44845</v>
      </c>
      <c r="B281" s="26">
        <v>1075</v>
      </c>
      <c r="C281" s="29">
        <v>0.0009</v>
      </c>
      <c r="D281" s="28"/>
      <c r="E281" s="28"/>
      <c r="F281" s="33"/>
      <c r="G281" s="29"/>
      <c r="H281" s="30"/>
    </row>
    <row r="282" ht="15" spans="1:8">
      <c r="A282" s="19">
        <v>44846</v>
      </c>
      <c r="B282" s="20">
        <v>1073</v>
      </c>
      <c r="C282" s="22">
        <v>-0.0019</v>
      </c>
      <c r="D282" s="22"/>
      <c r="E282" s="22"/>
      <c r="F282" s="33"/>
      <c r="G282" s="24"/>
      <c r="H282" s="25"/>
    </row>
    <row r="283" ht="15" spans="1:8">
      <c r="A283" s="19">
        <v>44847</v>
      </c>
      <c r="B283" s="26">
        <v>1073</v>
      </c>
      <c r="C283" s="27">
        <v>0</v>
      </c>
      <c r="D283" s="28"/>
      <c r="E283" s="28"/>
      <c r="F283" s="33"/>
      <c r="G283" s="29"/>
      <c r="H283" s="30"/>
    </row>
    <row r="284" ht="15" spans="1:8">
      <c r="A284" s="19">
        <v>44848</v>
      </c>
      <c r="B284" s="20">
        <v>1074</v>
      </c>
      <c r="C284" s="24">
        <v>0.0009</v>
      </c>
      <c r="D284" s="22"/>
      <c r="E284" s="22"/>
      <c r="F284" s="33"/>
      <c r="G284" s="24"/>
      <c r="H284" s="25"/>
    </row>
    <row r="285" ht="15" spans="1:8">
      <c r="A285" s="19">
        <v>44849</v>
      </c>
      <c r="B285" s="26">
        <v>1074</v>
      </c>
      <c r="C285" s="27">
        <v>0</v>
      </c>
      <c r="D285" s="28"/>
      <c r="E285" s="28"/>
      <c r="F285" s="33"/>
      <c r="G285" s="29"/>
      <c r="H285" s="30"/>
    </row>
    <row r="286" ht="15" spans="1:8">
      <c r="A286" s="19">
        <v>44850</v>
      </c>
      <c r="B286" s="20">
        <v>1074</v>
      </c>
      <c r="C286" s="21">
        <v>0</v>
      </c>
      <c r="D286" s="22"/>
      <c r="E286" s="22"/>
      <c r="F286" s="33"/>
      <c r="G286" s="24"/>
      <c r="H286" s="25"/>
    </row>
    <row r="287" ht="15" spans="1:8">
      <c r="A287" s="19">
        <v>44851</v>
      </c>
      <c r="B287" s="26">
        <v>1072</v>
      </c>
      <c r="C287" s="28">
        <v>-0.0019</v>
      </c>
      <c r="D287" s="28"/>
      <c r="E287" s="28"/>
      <c r="F287" s="33"/>
      <c r="G287" s="29"/>
      <c r="H287" s="30"/>
    </row>
    <row r="288" ht="15" spans="1:8">
      <c r="A288" s="19">
        <v>44852</v>
      </c>
      <c r="B288" s="20">
        <v>1070</v>
      </c>
      <c r="C288" s="22">
        <v>-0.0019</v>
      </c>
      <c r="D288" s="22"/>
      <c r="E288" s="22"/>
      <c r="F288" s="33"/>
      <c r="G288" s="24"/>
      <c r="H288" s="25"/>
    </row>
    <row r="289" ht="15" spans="1:8">
      <c r="A289" s="19">
        <v>44853</v>
      </c>
      <c r="B289" s="26">
        <v>1070</v>
      </c>
      <c r="C289" s="27">
        <v>0</v>
      </c>
      <c r="D289" s="28"/>
      <c r="E289" s="28"/>
      <c r="F289" s="33"/>
      <c r="G289" s="29"/>
      <c r="H289" s="30"/>
    </row>
    <row r="290" ht="15" spans="1:8">
      <c r="A290" s="19">
        <v>44854</v>
      </c>
      <c r="B290" s="20">
        <v>1069</v>
      </c>
      <c r="C290" s="22">
        <v>-0.0009</v>
      </c>
      <c r="D290" s="22"/>
      <c r="E290" s="22"/>
      <c r="F290" s="33"/>
      <c r="G290" s="24"/>
      <c r="H290" s="25"/>
    </row>
    <row r="291" ht="15" spans="1:8">
      <c r="A291" s="19">
        <v>44855</v>
      </c>
      <c r="B291" s="26">
        <v>1069</v>
      </c>
      <c r="C291" s="27">
        <v>0</v>
      </c>
      <c r="D291" s="27"/>
      <c r="E291" s="28"/>
      <c r="F291" s="33"/>
      <c r="G291" s="29"/>
      <c r="H291" s="30"/>
    </row>
    <row r="292" ht="15" spans="1:8">
      <c r="A292" s="19">
        <v>44856</v>
      </c>
      <c r="B292" s="20">
        <v>1069</v>
      </c>
      <c r="C292" s="21">
        <v>0</v>
      </c>
      <c r="D292" s="24"/>
      <c r="E292" s="22"/>
      <c r="F292" s="33"/>
      <c r="G292" s="24"/>
      <c r="H292" s="25"/>
    </row>
    <row r="293" ht="15" spans="1:8">
      <c r="A293" s="19">
        <v>44857</v>
      </c>
      <c r="B293" s="26">
        <v>1069</v>
      </c>
      <c r="C293" s="27">
        <v>0</v>
      </c>
      <c r="D293" s="29"/>
      <c r="E293" s="28"/>
      <c r="F293" s="33"/>
      <c r="G293" s="29"/>
      <c r="H293" s="30"/>
    </row>
    <row r="294" ht="15" spans="1:8">
      <c r="A294" s="19">
        <v>44858</v>
      </c>
      <c r="B294" s="20">
        <v>1067</v>
      </c>
      <c r="C294" s="22">
        <v>-0.0019</v>
      </c>
      <c r="D294" s="24"/>
      <c r="E294" s="22"/>
      <c r="F294" s="33"/>
      <c r="G294" s="24"/>
      <c r="H294" s="25"/>
    </row>
    <row r="295" ht="15" spans="1:8">
      <c r="A295" s="19">
        <v>44859</v>
      </c>
      <c r="B295" s="26">
        <v>1064</v>
      </c>
      <c r="C295" s="28">
        <v>-0.0028</v>
      </c>
      <c r="D295" s="29"/>
      <c r="E295" s="28"/>
      <c r="F295" s="33"/>
      <c r="G295" s="29"/>
      <c r="H295" s="30"/>
    </row>
    <row r="296" ht="15" spans="1:8">
      <c r="A296" s="19">
        <v>44860</v>
      </c>
      <c r="B296" s="20">
        <v>1063</v>
      </c>
      <c r="C296" s="22">
        <v>-0.0009</v>
      </c>
      <c r="D296" s="24"/>
      <c r="E296" s="22"/>
      <c r="F296" s="33"/>
      <c r="G296" s="24"/>
      <c r="H296" s="25"/>
    </row>
    <row r="297" ht="15" spans="1:8">
      <c r="A297" s="19">
        <v>44861</v>
      </c>
      <c r="B297" s="26">
        <v>1061</v>
      </c>
      <c r="C297" s="28">
        <v>-0.0019</v>
      </c>
      <c r="D297" s="29"/>
      <c r="E297" s="28"/>
      <c r="F297" s="33"/>
      <c r="G297" s="29"/>
      <c r="H297" s="30"/>
    </row>
    <row r="298" ht="15" spans="1:8">
      <c r="A298" s="19">
        <v>44862</v>
      </c>
      <c r="B298" s="20">
        <v>1057</v>
      </c>
      <c r="C298" s="22">
        <v>-0.0038</v>
      </c>
      <c r="D298" s="24"/>
      <c r="E298" s="22"/>
      <c r="F298" s="33"/>
      <c r="G298" s="24"/>
      <c r="H298" s="25"/>
    </row>
    <row r="299" ht="15" spans="1:8">
      <c r="A299" s="19">
        <v>44863</v>
      </c>
      <c r="B299" s="26">
        <v>1057</v>
      </c>
      <c r="C299" s="27">
        <v>0</v>
      </c>
      <c r="D299" s="29"/>
      <c r="E299" s="28"/>
      <c r="F299" s="33"/>
      <c r="G299" s="29"/>
      <c r="H299" s="30"/>
    </row>
    <row r="300" ht="15" spans="1:8">
      <c r="A300" s="19">
        <v>44864</v>
      </c>
      <c r="B300" s="20">
        <v>1057</v>
      </c>
      <c r="C300" s="21">
        <v>0</v>
      </c>
      <c r="D300" s="24"/>
      <c r="E300" s="22"/>
      <c r="F300" s="33"/>
      <c r="G300" s="24"/>
      <c r="H300" s="25"/>
    </row>
    <row r="301" ht="15" spans="1:8">
      <c r="A301" s="19">
        <v>44865</v>
      </c>
      <c r="B301" s="26">
        <v>1051</v>
      </c>
      <c r="C301" s="28">
        <v>-0.0057</v>
      </c>
      <c r="D301" s="29"/>
      <c r="E301" s="28"/>
      <c r="F301" s="33"/>
      <c r="G301" s="29"/>
      <c r="H301" s="30"/>
    </row>
    <row r="302" ht="15" spans="1:8">
      <c r="A302" s="19">
        <v>44866</v>
      </c>
      <c r="B302" s="20">
        <v>1049</v>
      </c>
      <c r="C302" s="22">
        <v>-0.0019</v>
      </c>
      <c r="D302" s="21"/>
      <c r="E302" s="22"/>
      <c r="F302" s="33"/>
      <c r="G302" s="24"/>
      <c r="H302" s="25"/>
    </row>
    <row r="303" ht="15" spans="1:8">
      <c r="A303" s="19">
        <v>44867</v>
      </c>
      <c r="B303" s="26">
        <v>1048</v>
      </c>
      <c r="C303" s="28">
        <v>-0.001</v>
      </c>
      <c r="D303" s="29"/>
      <c r="E303" s="28"/>
      <c r="F303" s="33"/>
      <c r="G303" s="29"/>
      <c r="H303" s="30"/>
    </row>
    <row r="304" ht="15" spans="1:8">
      <c r="A304" s="19">
        <v>44868</v>
      </c>
      <c r="B304" s="20">
        <v>1047</v>
      </c>
      <c r="C304" s="22">
        <v>-0.001</v>
      </c>
      <c r="D304" s="24"/>
      <c r="E304" s="22"/>
      <c r="F304" s="33"/>
      <c r="G304" s="24"/>
      <c r="H304" s="25"/>
    </row>
    <row r="305" ht="15" spans="1:8">
      <c r="A305" s="19">
        <v>44869</v>
      </c>
      <c r="B305" s="26">
        <v>1045</v>
      </c>
      <c r="C305" s="28">
        <v>-0.0019</v>
      </c>
      <c r="D305" s="29"/>
      <c r="E305" s="28"/>
      <c r="F305" s="33"/>
      <c r="G305" s="29"/>
      <c r="H305" s="30"/>
    </row>
    <row r="306" ht="15" spans="1:8">
      <c r="A306" s="19">
        <v>44870</v>
      </c>
      <c r="B306" s="20">
        <v>1045</v>
      </c>
      <c r="C306" s="21">
        <v>0</v>
      </c>
      <c r="D306" s="24"/>
      <c r="E306" s="22"/>
      <c r="F306" s="33"/>
      <c r="G306" s="24"/>
      <c r="H306" s="25"/>
    </row>
    <row r="307" ht="15" spans="1:8">
      <c r="A307" s="19">
        <v>44871</v>
      </c>
      <c r="B307" s="26">
        <v>1045</v>
      </c>
      <c r="C307" s="27">
        <v>0</v>
      </c>
      <c r="D307" s="29"/>
      <c r="E307" s="28"/>
      <c r="F307" s="33"/>
      <c r="G307" s="29"/>
      <c r="H307" s="30"/>
    </row>
    <row r="308" ht="15" spans="1:8">
      <c r="A308" s="19">
        <v>44872</v>
      </c>
      <c r="B308" s="20">
        <v>1044</v>
      </c>
      <c r="C308" s="22">
        <v>-0.001</v>
      </c>
      <c r="D308" s="24"/>
      <c r="E308" s="22"/>
      <c r="F308" s="33"/>
      <c r="G308" s="24"/>
      <c r="H308" s="25"/>
    </row>
    <row r="309" ht="15" spans="1:8">
      <c r="A309" s="19">
        <v>44873</v>
      </c>
      <c r="B309" s="26">
        <v>1041</v>
      </c>
      <c r="C309" s="28">
        <v>-0.0029</v>
      </c>
      <c r="D309" s="29"/>
      <c r="E309" s="28"/>
      <c r="F309" s="33"/>
      <c r="G309" s="29"/>
      <c r="H309" s="30"/>
    </row>
    <row r="310" ht="15" spans="1:8">
      <c r="A310" s="19">
        <v>44874</v>
      </c>
      <c r="B310" s="20">
        <v>1040</v>
      </c>
      <c r="C310" s="22">
        <v>-0.001</v>
      </c>
      <c r="D310" s="24"/>
      <c r="E310" s="22"/>
      <c r="F310" s="33"/>
      <c r="G310" s="24"/>
      <c r="H310" s="25"/>
    </row>
    <row r="311" ht="15" spans="1:8">
      <c r="A311" s="19">
        <v>44875</v>
      </c>
      <c r="B311" s="26">
        <v>1039</v>
      </c>
      <c r="C311" s="28">
        <v>-0.001</v>
      </c>
      <c r="D311" s="29"/>
      <c r="E311" s="28"/>
      <c r="F311" s="33"/>
      <c r="G311" s="29"/>
      <c r="H311" s="30"/>
    </row>
    <row r="312" ht="15" spans="1:8">
      <c r="A312" s="19">
        <v>44876</v>
      </c>
      <c r="B312" s="20">
        <v>1037</v>
      </c>
      <c r="C312" s="22">
        <v>-0.0019</v>
      </c>
      <c r="D312" s="21"/>
      <c r="E312" s="22"/>
      <c r="F312" s="33"/>
      <c r="G312" s="24"/>
      <c r="H312" s="25"/>
    </row>
    <row r="313" ht="15" spans="1:8">
      <c r="A313" s="19">
        <v>44877</v>
      </c>
      <c r="B313" s="26">
        <v>1037</v>
      </c>
      <c r="C313" s="27">
        <v>0</v>
      </c>
      <c r="D313" s="28"/>
      <c r="E313" s="28"/>
      <c r="F313" s="33"/>
      <c r="G313" s="29"/>
      <c r="H313" s="30"/>
    </row>
    <row r="314" ht="15" spans="1:8">
      <c r="A314" s="19">
        <v>44878</v>
      </c>
      <c r="B314" s="20">
        <v>1037</v>
      </c>
      <c r="C314" s="21">
        <v>0</v>
      </c>
      <c r="D314" s="22"/>
      <c r="E314" s="22"/>
      <c r="F314" s="33"/>
      <c r="G314" s="24"/>
      <c r="H314" s="25"/>
    </row>
    <row r="315" ht="15" spans="1:8">
      <c r="A315" s="35">
        <v>44879</v>
      </c>
      <c r="B315" s="36">
        <v>1034</v>
      </c>
      <c r="C315" s="38">
        <v>-0.0029</v>
      </c>
      <c r="D315" s="38"/>
      <c r="E315" s="38"/>
      <c r="F315" s="47"/>
      <c r="G315" s="40"/>
      <c r="H315" s="41"/>
    </row>
    <row r="316" ht="15" spans="1:8">
      <c r="A316" s="12">
        <v>44880</v>
      </c>
      <c r="B316" s="42">
        <v>1035</v>
      </c>
      <c r="C316" s="44">
        <v>0.001</v>
      </c>
      <c r="D316" s="43"/>
      <c r="E316" s="49"/>
      <c r="F316" s="43"/>
      <c r="G316" s="44"/>
      <c r="H316" s="45"/>
    </row>
    <row r="317" ht="15" spans="1:8">
      <c r="A317" s="19">
        <v>44881</v>
      </c>
      <c r="B317" s="26">
        <v>1035</v>
      </c>
      <c r="C317" s="27">
        <v>0</v>
      </c>
      <c r="D317" s="28"/>
      <c r="E317" s="33"/>
      <c r="F317" s="28"/>
      <c r="G317" s="29"/>
      <c r="H317" s="30"/>
    </row>
    <row r="318" ht="15" spans="1:8">
      <c r="A318" s="19">
        <v>44882</v>
      </c>
      <c r="B318" s="20">
        <v>1032</v>
      </c>
      <c r="C318" s="22">
        <v>-0.0029</v>
      </c>
      <c r="D318" s="22"/>
      <c r="E318" s="33"/>
      <c r="F318" s="22"/>
      <c r="G318" s="24"/>
      <c r="H318" s="25"/>
    </row>
    <row r="319" ht="15" spans="1:8">
      <c r="A319" s="19">
        <v>44883</v>
      </c>
      <c r="B319" s="26">
        <v>1032</v>
      </c>
      <c r="C319" s="27">
        <v>0</v>
      </c>
      <c r="D319" s="28"/>
      <c r="E319" s="33"/>
      <c r="F319" s="28"/>
      <c r="G319" s="29"/>
      <c r="H319" s="30"/>
    </row>
    <row r="320" ht="15" spans="1:8">
      <c r="A320" s="19">
        <v>44884</v>
      </c>
      <c r="B320" s="20">
        <v>1031</v>
      </c>
      <c r="C320" s="22">
        <v>-0.001</v>
      </c>
      <c r="D320" s="22"/>
      <c r="E320" s="33"/>
      <c r="F320" s="22"/>
      <c r="G320" s="24"/>
      <c r="H320" s="25"/>
    </row>
    <row r="321" ht="15" spans="1:8">
      <c r="A321" s="19">
        <v>44885</v>
      </c>
      <c r="B321" s="26">
        <v>1031</v>
      </c>
      <c r="C321" s="27">
        <v>0</v>
      </c>
      <c r="D321" s="28"/>
      <c r="E321" s="33"/>
      <c r="F321" s="28"/>
      <c r="G321" s="29"/>
      <c r="H321" s="30"/>
    </row>
    <row r="322" ht="15" spans="1:8">
      <c r="A322" s="19">
        <v>44886</v>
      </c>
      <c r="B322" s="20">
        <v>1028</v>
      </c>
      <c r="C322" s="22">
        <v>-0.0029</v>
      </c>
      <c r="D322" s="22"/>
      <c r="E322" s="33"/>
      <c r="F322" s="22"/>
      <c r="G322" s="24"/>
      <c r="H322" s="25"/>
    </row>
    <row r="323" ht="15" spans="1:8">
      <c r="A323" s="19">
        <v>44887</v>
      </c>
      <c r="B323" s="26">
        <v>1025</v>
      </c>
      <c r="C323" s="28">
        <v>-0.0029</v>
      </c>
      <c r="D323" s="28"/>
      <c r="E323" s="33"/>
      <c r="F323" s="28"/>
      <c r="G323" s="29"/>
      <c r="H323" s="30"/>
    </row>
    <row r="324" ht="15" spans="1:8">
      <c r="A324" s="19">
        <v>44888</v>
      </c>
      <c r="B324" s="20">
        <v>1025</v>
      </c>
      <c r="C324" s="21">
        <v>0</v>
      </c>
      <c r="D324" s="22"/>
      <c r="E324" s="33"/>
      <c r="F324" s="22"/>
      <c r="G324" s="24"/>
      <c r="H324" s="25"/>
    </row>
    <row r="325" ht="15" spans="1:8">
      <c r="A325" s="19">
        <v>44889</v>
      </c>
      <c r="B325" s="26">
        <v>1026</v>
      </c>
      <c r="C325" s="29">
        <v>0.001</v>
      </c>
      <c r="D325" s="28"/>
      <c r="E325" s="33"/>
      <c r="F325" s="28"/>
      <c r="G325" s="29"/>
      <c r="H325" s="30"/>
    </row>
    <row r="326" ht="15" spans="1:8">
      <c r="A326" s="19">
        <v>44890</v>
      </c>
      <c r="B326" s="20">
        <v>1026</v>
      </c>
      <c r="C326" s="21">
        <v>0</v>
      </c>
      <c r="D326" s="22"/>
      <c r="E326" s="33"/>
      <c r="F326" s="22"/>
      <c r="G326" s="24"/>
      <c r="H326" s="25"/>
    </row>
    <row r="327" ht="15" spans="1:8">
      <c r="A327" s="19">
        <v>44891</v>
      </c>
      <c r="B327" s="26">
        <v>1026</v>
      </c>
      <c r="C327" s="27">
        <v>0</v>
      </c>
      <c r="D327" s="28"/>
      <c r="E327" s="33"/>
      <c r="F327" s="28"/>
      <c r="G327" s="29"/>
      <c r="H327" s="30"/>
    </row>
    <row r="328" ht="15" spans="1:8">
      <c r="A328" s="19">
        <v>44892</v>
      </c>
      <c r="B328" s="20">
        <v>1026</v>
      </c>
      <c r="C328" s="21">
        <v>0</v>
      </c>
      <c r="D328" s="22"/>
      <c r="E328" s="33"/>
      <c r="F328" s="22"/>
      <c r="G328" s="24"/>
      <c r="H328" s="25"/>
    </row>
    <row r="329" ht="15" spans="1:8">
      <c r="A329" s="19">
        <v>44893</v>
      </c>
      <c r="B329" s="26">
        <v>1022</v>
      </c>
      <c r="C329" s="28">
        <v>-0.0039</v>
      </c>
      <c r="D329" s="28"/>
      <c r="E329" s="33"/>
      <c r="F329" s="28"/>
      <c r="G329" s="29"/>
      <c r="H329" s="30"/>
    </row>
    <row r="330" ht="15" spans="1:8">
      <c r="A330" s="19">
        <v>44894</v>
      </c>
      <c r="B330" s="20">
        <v>1021</v>
      </c>
      <c r="C330" s="22">
        <v>-0.001</v>
      </c>
      <c r="D330" s="22"/>
      <c r="E330" s="33"/>
      <c r="F330" s="22"/>
      <c r="G330" s="24"/>
      <c r="H330" s="25"/>
    </row>
    <row r="331" ht="15" spans="1:8">
      <c r="A331" s="31">
        <v>44895</v>
      </c>
      <c r="B331" s="32">
        <v>1020</v>
      </c>
      <c r="C331" s="33">
        <v>-0.001</v>
      </c>
      <c r="D331" s="33"/>
      <c r="E331" s="33"/>
      <c r="F331" s="33"/>
      <c r="G331" s="23"/>
      <c r="H331" s="34"/>
    </row>
    <row r="332" ht="15" spans="1:8">
      <c r="A332" s="19">
        <v>44896</v>
      </c>
      <c r="B332" s="20">
        <v>1020</v>
      </c>
      <c r="C332" s="21">
        <v>0</v>
      </c>
      <c r="D332" s="22"/>
      <c r="E332" s="33"/>
      <c r="F332" s="22"/>
      <c r="G332" s="24"/>
      <c r="H332" s="25"/>
    </row>
    <row r="333" ht="15" spans="1:8">
      <c r="A333" s="19">
        <v>44897</v>
      </c>
      <c r="B333" s="26">
        <v>1021</v>
      </c>
      <c r="C333" s="29">
        <v>0.001</v>
      </c>
      <c r="D333" s="28"/>
      <c r="E333" s="33"/>
      <c r="F333" s="28"/>
      <c r="G333" s="29"/>
      <c r="H333" s="30"/>
    </row>
    <row r="334" ht="15" spans="1:8">
      <c r="A334" s="19">
        <v>44898</v>
      </c>
      <c r="B334" s="20">
        <v>1021</v>
      </c>
      <c r="C334" s="21">
        <v>0</v>
      </c>
      <c r="D334" s="22"/>
      <c r="E334" s="33"/>
      <c r="F334" s="22"/>
      <c r="G334" s="24"/>
      <c r="H334" s="25"/>
    </row>
    <row r="335" ht="15" spans="1:8">
      <c r="A335" s="19">
        <v>44899</v>
      </c>
      <c r="B335" s="26">
        <v>1021</v>
      </c>
      <c r="C335" s="27">
        <v>0</v>
      </c>
      <c r="D335" s="28"/>
      <c r="E335" s="33"/>
      <c r="F335" s="28"/>
      <c r="G335" s="29"/>
      <c r="H335" s="30"/>
    </row>
    <row r="336" ht="15" spans="1:8">
      <c r="A336" s="19">
        <v>44900</v>
      </c>
      <c r="B336" s="20">
        <v>1022</v>
      </c>
      <c r="C336" s="24">
        <v>0.001</v>
      </c>
      <c r="D336" s="22"/>
      <c r="E336" s="33"/>
      <c r="F336" s="22"/>
      <c r="G336" s="24"/>
      <c r="H336" s="25"/>
    </row>
    <row r="337" ht="15" spans="1:8">
      <c r="A337" s="19">
        <v>44901</v>
      </c>
      <c r="B337" s="26">
        <v>1020</v>
      </c>
      <c r="C337" s="28">
        <v>-0.002</v>
      </c>
      <c r="D337" s="28"/>
      <c r="E337" s="33"/>
      <c r="F337" s="28"/>
      <c r="G337" s="29"/>
      <c r="H337" s="30"/>
    </row>
    <row r="338" ht="15" spans="1:8">
      <c r="A338" s="19">
        <v>44902</v>
      </c>
      <c r="B338" s="20">
        <v>1020</v>
      </c>
      <c r="C338" s="21">
        <v>0</v>
      </c>
      <c r="D338" s="22"/>
      <c r="E338" s="33"/>
      <c r="F338" s="22"/>
      <c r="G338" s="24"/>
      <c r="H338" s="25"/>
    </row>
    <row r="339" ht="15" spans="1:8">
      <c r="A339" s="19">
        <v>44903</v>
      </c>
      <c r="B339" s="26">
        <v>1018</v>
      </c>
      <c r="C339" s="28">
        <v>-0.002</v>
      </c>
      <c r="D339" s="28"/>
      <c r="E339" s="33"/>
      <c r="F339" s="28"/>
      <c r="G339" s="29"/>
      <c r="H339" s="30"/>
    </row>
    <row r="340" ht="15" spans="1:8">
      <c r="A340" s="19">
        <v>44904</v>
      </c>
      <c r="B340" s="20">
        <v>1018</v>
      </c>
      <c r="C340" s="21">
        <v>0</v>
      </c>
      <c r="D340" s="22"/>
      <c r="E340" s="33"/>
      <c r="F340" s="22"/>
      <c r="G340" s="24"/>
      <c r="H340" s="25"/>
    </row>
    <row r="341" ht="15" spans="1:8">
      <c r="A341" s="19">
        <v>44905</v>
      </c>
      <c r="B341" s="26">
        <v>1019</v>
      </c>
      <c r="C341" s="29">
        <v>0.001</v>
      </c>
      <c r="D341" s="28"/>
      <c r="E341" s="33"/>
      <c r="F341" s="28"/>
      <c r="G341" s="29"/>
      <c r="H341" s="30"/>
    </row>
    <row r="342" ht="15" spans="1:8">
      <c r="A342" s="19">
        <v>44906</v>
      </c>
      <c r="B342" s="20">
        <v>1019</v>
      </c>
      <c r="C342" s="21">
        <v>0</v>
      </c>
      <c r="D342" s="22"/>
      <c r="E342" s="33"/>
      <c r="F342" s="22"/>
      <c r="G342" s="24"/>
      <c r="H342" s="25"/>
    </row>
    <row r="343" ht="15" spans="1:8">
      <c r="A343" s="19">
        <v>44907</v>
      </c>
      <c r="B343" s="26">
        <v>1017</v>
      </c>
      <c r="C343" s="28">
        <v>-0.002</v>
      </c>
      <c r="D343" s="28"/>
      <c r="E343" s="33"/>
      <c r="F343" s="28"/>
      <c r="G343" s="29"/>
      <c r="H343" s="30"/>
    </row>
    <row r="344" ht="15" spans="1:8">
      <c r="A344" s="19">
        <v>44908</v>
      </c>
      <c r="B344" s="20">
        <v>1019</v>
      </c>
      <c r="C344" s="24">
        <v>0.002</v>
      </c>
      <c r="D344" s="22"/>
      <c r="E344" s="33"/>
      <c r="F344" s="22"/>
      <c r="G344" s="24"/>
      <c r="H344" s="25"/>
    </row>
    <row r="345" ht="15" spans="1:8">
      <c r="A345" s="19">
        <v>44909</v>
      </c>
      <c r="B345" s="26">
        <v>1019</v>
      </c>
      <c r="C345" s="27">
        <v>0</v>
      </c>
      <c r="D345" s="28"/>
      <c r="E345" s="33"/>
      <c r="F345" s="28"/>
      <c r="G345" s="29"/>
      <c r="H345" s="30"/>
    </row>
    <row r="346" ht="15" spans="1:8">
      <c r="A346" s="19">
        <v>44910</v>
      </c>
      <c r="B346" s="20">
        <v>1019</v>
      </c>
      <c r="C346" s="21">
        <v>0</v>
      </c>
      <c r="D346" s="22"/>
      <c r="E346" s="33"/>
      <c r="F346" s="22"/>
      <c r="G346" s="24"/>
      <c r="H346" s="25"/>
    </row>
    <row r="347" ht="15" spans="1:8">
      <c r="A347" s="19">
        <v>44911</v>
      </c>
      <c r="B347" s="26">
        <v>1019</v>
      </c>
      <c r="C347" s="27">
        <v>0</v>
      </c>
      <c r="D347" s="28"/>
      <c r="E347" s="33"/>
      <c r="F347" s="28"/>
      <c r="G347" s="29"/>
      <c r="H347" s="30"/>
    </row>
    <row r="348" ht="15" spans="1:8">
      <c r="A348" s="19">
        <v>44912</v>
      </c>
      <c r="B348" s="20">
        <v>1019</v>
      </c>
      <c r="C348" s="21">
        <v>0</v>
      </c>
      <c r="D348" s="22"/>
      <c r="E348" s="33"/>
      <c r="F348" s="22"/>
      <c r="G348" s="24"/>
      <c r="H348" s="25"/>
    </row>
    <row r="349" ht="15" spans="1:8">
      <c r="A349" s="19">
        <v>44913</v>
      </c>
      <c r="B349" s="26">
        <v>1019</v>
      </c>
      <c r="C349" s="27">
        <v>0</v>
      </c>
      <c r="D349" s="28"/>
      <c r="E349" s="33"/>
      <c r="F349" s="28"/>
      <c r="G349" s="29"/>
      <c r="H349" s="30"/>
    </row>
    <row r="350" ht="15" spans="1:8">
      <c r="A350" s="19">
        <v>44914</v>
      </c>
      <c r="B350" s="20">
        <v>1016</v>
      </c>
      <c r="C350" s="22">
        <v>-0.0029</v>
      </c>
      <c r="D350" s="22"/>
      <c r="E350" s="33"/>
      <c r="F350" s="22"/>
      <c r="G350" s="24"/>
      <c r="H350" s="25"/>
    </row>
    <row r="351" ht="15" spans="1:8">
      <c r="A351" s="19">
        <v>44915</v>
      </c>
      <c r="B351" s="26">
        <v>1014</v>
      </c>
      <c r="C351" s="28">
        <v>-0.002</v>
      </c>
      <c r="D351" s="28"/>
      <c r="E351" s="33"/>
      <c r="F351" s="28"/>
      <c r="G351" s="29"/>
      <c r="H351" s="30"/>
    </row>
    <row r="352" ht="15" spans="1:8">
      <c r="A352" s="19">
        <v>44916</v>
      </c>
      <c r="B352" s="20">
        <v>1015</v>
      </c>
      <c r="C352" s="24">
        <v>0.001</v>
      </c>
      <c r="D352" s="22"/>
      <c r="E352" s="33"/>
      <c r="F352" s="22"/>
      <c r="G352" s="24"/>
      <c r="H352" s="25"/>
    </row>
    <row r="353" ht="15" spans="1:8">
      <c r="A353" s="19">
        <v>44917</v>
      </c>
      <c r="B353" s="26">
        <v>1015</v>
      </c>
      <c r="C353" s="27">
        <v>0</v>
      </c>
      <c r="D353" s="28"/>
      <c r="E353" s="33"/>
      <c r="F353" s="28"/>
      <c r="G353" s="29"/>
      <c r="H353" s="30"/>
    </row>
    <row r="354" ht="15" spans="1:8">
      <c r="A354" s="19">
        <v>44918</v>
      </c>
      <c r="B354" s="20">
        <v>1014</v>
      </c>
      <c r="C354" s="22">
        <v>-0.001</v>
      </c>
      <c r="D354" s="22"/>
      <c r="E354" s="33"/>
      <c r="F354" s="22"/>
      <c r="G354" s="24"/>
      <c r="H354" s="25"/>
    </row>
    <row r="355" ht="15" spans="1:8">
      <c r="A355" s="19">
        <v>44919</v>
      </c>
      <c r="B355" s="26">
        <v>1014</v>
      </c>
      <c r="C355" s="27">
        <v>0</v>
      </c>
      <c r="D355" s="28"/>
      <c r="E355" s="33"/>
      <c r="F355" s="28"/>
      <c r="G355" s="29"/>
      <c r="H355" s="30"/>
    </row>
    <row r="356" ht="15" spans="1:8">
      <c r="A356" s="19">
        <v>44920</v>
      </c>
      <c r="B356" s="20">
        <v>1014</v>
      </c>
      <c r="C356" s="21">
        <v>0</v>
      </c>
      <c r="D356" s="22"/>
      <c r="E356" s="33"/>
      <c r="F356" s="22"/>
      <c r="G356" s="24"/>
      <c r="H356" s="25"/>
    </row>
    <row r="357" ht="15" spans="1:8">
      <c r="A357" s="19">
        <v>44921</v>
      </c>
      <c r="B357" s="26">
        <v>1012</v>
      </c>
      <c r="C357" s="28">
        <v>-0.002</v>
      </c>
      <c r="D357" s="28"/>
      <c r="E357" s="33"/>
      <c r="F357" s="28"/>
      <c r="G357" s="29"/>
      <c r="H357" s="30"/>
    </row>
    <row r="358" ht="15" spans="1:8">
      <c r="A358" s="19">
        <v>44922</v>
      </c>
      <c r="B358" s="20">
        <v>1013</v>
      </c>
      <c r="C358" s="24">
        <v>0.001</v>
      </c>
      <c r="D358" s="22"/>
      <c r="E358" s="33"/>
      <c r="F358" s="22"/>
      <c r="G358" s="24"/>
      <c r="H358" s="25"/>
    </row>
    <row r="359" ht="15" spans="1:8">
      <c r="A359" s="19">
        <v>44923</v>
      </c>
      <c r="B359" s="26">
        <v>1012</v>
      </c>
      <c r="C359" s="28">
        <v>-0.001</v>
      </c>
      <c r="D359" s="28"/>
      <c r="E359" s="33"/>
      <c r="F359" s="28"/>
      <c r="G359" s="29"/>
      <c r="H359" s="30"/>
    </row>
    <row r="360" ht="15" spans="1:8">
      <c r="A360" s="19">
        <v>44924</v>
      </c>
      <c r="B360" s="20">
        <v>1011</v>
      </c>
      <c r="C360" s="22">
        <v>-0.001</v>
      </c>
      <c r="D360" s="22"/>
      <c r="E360" s="33"/>
      <c r="F360" s="22"/>
      <c r="G360" s="24"/>
      <c r="H360" s="25"/>
    </row>
    <row r="361" ht="15" spans="1:8">
      <c r="A361" s="19">
        <v>44925</v>
      </c>
      <c r="B361" s="26">
        <v>1011</v>
      </c>
      <c r="C361" s="27">
        <v>0</v>
      </c>
      <c r="D361" s="28"/>
      <c r="E361" s="33"/>
      <c r="F361" s="28"/>
      <c r="G361" s="29"/>
      <c r="H361" s="30"/>
    </row>
    <row r="362" ht="15" spans="1:8">
      <c r="A362" s="19">
        <v>44926</v>
      </c>
      <c r="B362" s="20">
        <v>1011</v>
      </c>
      <c r="C362" s="21">
        <v>0</v>
      </c>
      <c r="D362" s="22"/>
      <c r="E362" s="33"/>
      <c r="F362" s="22"/>
      <c r="G362" s="24"/>
      <c r="H362" s="25"/>
    </row>
    <row r="363" ht="15" spans="1:8">
      <c r="A363" s="19">
        <v>44927</v>
      </c>
      <c r="B363" s="26">
        <v>1011</v>
      </c>
      <c r="C363" s="27">
        <v>0</v>
      </c>
      <c r="D363" s="28"/>
      <c r="E363" s="33"/>
      <c r="F363" s="28"/>
      <c r="G363" s="29"/>
      <c r="H363" s="30"/>
    </row>
    <row r="364" ht="15" spans="1:8">
      <c r="A364" s="19">
        <v>44928</v>
      </c>
      <c r="B364" s="20">
        <v>1011</v>
      </c>
      <c r="C364" s="21">
        <v>0</v>
      </c>
      <c r="D364" s="22"/>
      <c r="E364" s="33"/>
      <c r="F364" s="22"/>
      <c r="G364" s="24"/>
      <c r="H364" s="25"/>
    </row>
    <row r="365" ht="15" spans="1:8">
      <c r="A365" s="19">
        <v>44929</v>
      </c>
      <c r="B365" s="26">
        <v>1009</v>
      </c>
      <c r="C365" s="28">
        <v>-0.002</v>
      </c>
      <c r="D365" s="28"/>
      <c r="E365" s="33"/>
      <c r="F365" s="28"/>
      <c r="G365" s="29"/>
      <c r="H365" s="30"/>
    </row>
    <row r="366" ht="15" spans="1:8">
      <c r="A366" s="19">
        <v>44930</v>
      </c>
      <c r="B366" s="20">
        <v>1010</v>
      </c>
      <c r="C366" s="24">
        <v>0.001</v>
      </c>
      <c r="D366" s="22"/>
      <c r="E366" s="33"/>
      <c r="F366" s="22"/>
      <c r="G366" s="24"/>
      <c r="H366" s="25"/>
    </row>
    <row r="367" ht="15" spans="1:8">
      <c r="A367" s="19">
        <v>44931</v>
      </c>
      <c r="B367" s="26">
        <v>1005</v>
      </c>
      <c r="C367" s="28">
        <v>-0.005</v>
      </c>
      <c r="D367" s="28"/>
      <c r="E367" s="33"/>
      <c r="F367" s="28"/>
      <c r="G367" s="29"/>
      <c r="H367" s="30"/>
    </row>
    <row r="368" ht="15" spans="1:8">
      <c r="A368" s="19">
        <v>44932</v>
      </c>
      <c r="B368" s="20">
        <v>1003</v>
      </c>
      <c r="C368" s="22">
        <v>-0.002</v>
      </c>
      <c r="D368" s="22"/>
      <c r="E368" s="33"/>
      <c r="F368" s="22"/>
      <c r="G368" s="24"/>
      <c r="H368" s="25"/>
    </row>
    <row r="369" ht="15" spans="1:8">
      <c r="A369" s="19">
        <v>44933</v>
      </c>
      <c r="B369" s="26">
        <v>1003</v>
      </c>
      <c r="C369" s="27">
        <v>0</v>
      </c>
      <c r="D369" s="28"/>
      <c r="E369" s="33"/>
      <c r="F369" s="28"/>
      <c r="G369" s="29"/>
      <c r="H369" s="30"/>
    </row>
    <row r="370" ht="15" spans="1:8">
      <c r="A370" s="19">
        <v>44934</v>
      </c>
      <c r="B370" s="20">
        <v>1003</v>
      </c>
      <c r="C370" s="21">
        <v>0</v>
      </c>
      <c r="D370" s="22"/>
      <c r="E370" s="33"/>
      <c r="F370" s="22"/>
      <c r="G370" s="24"/>
      <c r="H370" s="25"/>
    </row>
    <row r="371" ht="15" spans="1:8">
      <c r="A371" s="19">
        <v>44935</v>
      </c>
      <c r="B371" s="26">
        <v>1005</v>
      </c>
      <c r="C371" s="29">
        <v>0.002</v>
      </c>
      <c r="D371" s="28"/>
      <c r="E371" s="33"/>
      <c r="F371" s="28"/>
      <c r="G371" s="29"/>
      <c r="H371" s="30"/>
    </row>
    <row r="372" ht="15" spans="1:8">
      <c r="A372" s="19">
        <v>44936</v>
      </c>
      <c r="B372" s="20">
        <v>1005</v>
      </c>
      <c r="C372" s="21">
        <v>0</v>
      </c>
      <c r="D372" s="22"/>
      <c r="E372" s="33"/>
      <c r="F372" s="22"/>
      <c r="G372" s="24"/>
      <c r="H372" s="25"/>
    </row>
    <row r="373" ht="15" spans="1:8">
      <c r="A373" s="19">
        <v>44937</v>
      </c>
      <c r="B373" s="26">
        <v>1005</v>
      </c>
      <c r="C373" s="27">
        <v>0</v>
      </c>
      <c r="D373" s="28"/>
      <c r="E373" s="33"/>
      <c r="F373" s="28"/>
      <c r="G373" s="29"/>
      <c r="H373" s="30"/>
    </row>
    <row r="374" ht="15" spans="1:8">
      <c r="A374" s="19">
        <v>44938</v>
      </c>
      <c r="B374" s="20">
        <v>1005</v>
      </c>
      <c r="C374" s="21">
        <v>0</v>
      </c>
      <c r="D374" s="22"/>
      <c r="E374" s="33"/>
      <c r="F374" s="22"/>
      <c r="G374" s="24"/>
      <c r="H374" s="25"/>
    </row>
    <row r="375" ht="15" spans="1:8">
      <c r="A375" s="19">
        <v>44939</v>
      </c>
      <c r="B375" s="26">
        <v>1006</v>
      </c>
      <c r="C375" s="29">
        <v>0.001</v>
      </c>
      <c r="D375" s="28"/>
      <c r="E375" s="33"/>
      <c r="F375" s="28"/>
      <c r="G375" s="29"/>
      <c r="H375" s="30"/>
    </row>
    <row r="376" ht="15" spans="1:8">
      <c r="A376" s="19">
        <v>44940</v>
      </c>
      <c r="B376" s="20">
        <v>1006</v>
      </c>
      <c r="C376" s="21">
        <v>0</v>
      </c>
      <c r="D376" s="22"/>
      <c r="E376" s="33"/>
      <c r="F376" s="22"/>
      <c r="G376" s="24"/>
      <c r="H376" s="25"/>
    </row>
    <row r="377" ht="15" spans="1:8">
      <c r="A377" s="19">
        <v>44941</v>
      </c>
      <c r="B377" s="26">
        <v>1006</v>
      </c>
      <c r="C377" s="27">
        <v>0</v>
      </c>
      <c r="D377" s="28"/>
      <c r="E377" s="33"/>
      <c r="F377" s="28"/>
      <c r="G377" s="29"/>
      <c r="H377" s="30"/>
    </row>
    <row r="378" ht="15" spans="1:8">
      <c r="A378" s="19">
        <v>44942</v>
      </c>
      <c r="B378" s="20">
        <v>1007</v>
      </c>
      <c r="C378" s="24">
        <v>0.001</v>
      </c>
      <c r="D378" s="22"/>
      <c r="E378" s="33"/>
      <c r="F378" s="22"/>
      <c r="G378" s="24"/>
      <c r="H378" s="25"/>
    </row>
    <row r="379" ht="15" spans="1:8">
      <c r="A379" s="19">
        <v>44943</v>
      </c>
      <c r="B379" s="26">
        <v>1006</v>
      </c>
      <c r="C379" s="28">
        <v>-0.001</v>
      </c>
      <c r="D379" s="28"/>
      <c r="E379" s="33"/>
      <c r="F379" s="28"/>
      <c r="G379" s="29"/>
      <c r="H379" s="30"/>
    </row>
    <row r="380" ht="15" spans="1:8">
      <c r="A380" s="19">
        <v>44944</v>
      </c>
      <c r="B380" s="20">
        <v>1008</v>
      </c>
      <c r="C380" s="24">
        <v>0.002</v>
      </c>
      <c r="D380" s="22"/>
      <c r="E380" s="33"/>
      <c r="F380" s="22"/>
      <c r="G380" s="24"/>
      <c r="H380" s="25"/>
    </row>
    <row r="381" ht="15" spans="1:8">
      <c r="A381" s="19">
        <v>44945</v>
      </c>
      <c r="B381" s="26">
        <v>1008</v>
      </c>
      <c r="C381" s="27">
        <v>0</v>
      </c>
      <c r="D381" s="28"/>
      <c r="E381" s="33"/>
      <c r="F381" s="28"/>
      <c r="G381" s="29"/>
      <c r="H381" s="30"/>
    </row>
    <row r="382" ht="15" spans="1:8">
      <c r="A382" s="19">
        <v>44946</v>
      </c>
      <c r="B382" s="20">
        <v>1008</v>
      </c>
      <c r="C382" s="21">
        <v>0</v>
      </c>
      <c r="D382" s="22"/>
      <c r="E382" s="33"/>
      <c r="F382" s="22"/>
      <c r="G382" s="24"/>
      <c r="H382" s="25"/>
    </row>
    <row r="383" ht="15" spans="1:8">
      <c r="A383" s="19">
        <v>44947</v>
      </c>
      <c r="B383" s="26">
        <v>1008</v>
      </c>
      <c r="C383" s="27">
        <v>0</v>
      </c>
      <c r="D383" s="28"/>
      <c r="E383" s="33"/>
      <c r="F383" s="28"/>
      <c r="G383" s="29"/>
      <c r="H383" s="30"/>
    </row>
    <row r="384" ht="15" spans="1:8">
      <c r="A384" s="19">
        <v>44948</v>
      </c>
      <c r="B384" s="20">
        <v>1008</v>
      </c>
      <c r="C384" s="21">
        <v>0</v>
      </c>
      <c r="D384" s="22"/>
      <c r="E384" s="33"/>
      <c r="F384" s="22"/>
      <c r="G384" s="24"/>
      <c r="H384" s="25"/>
    </row>
    <row r="385" ht="15" spans="1:8">
      <c r="A385" s="19">
        <v>44949</v>
      </c>
      <c r="B385" s="26">
        <v>1008</v>
      </c>
      <c r="C385" s="27">
        <v>0</v>
      </c>
      <c r="D385" s="28"/>
      <c r="E385" s="33"/>
      <c r="F385" s="28"/>
      <c r="G385" s="29"/>
      <c r="H385" s="30"/>
    </row>
    <row r="386" ht="15" spans="1:8">
      <c r="A386" s="19">
        <v>44950</v>
      </c>
      <c r="B386" s="20">
        <v>1008</v>
      </c>
      <c r="C386" s="21">
        <v>0</v>
      </c>
      <c r="D386" s="22"/>
      <c r="E386" s="33"/>
      <c r="F386" s="22"/>
      <c r="G386" s="24"/>
      <c r="H386" s="25"/>
    </row>
    <row r="387" ht="15" spans="1:8">
      <c r="A387" s="19">
        <v>44951</v>
      </c>
      <c r="B387" s="26">
        <v>1008</v>
      </c>
      <c r="C387" s="27">
        <v>0</v>
      </c>
      <c r="D387" s="28"/>
      <c r="E387" s="33"/>
      <c r="F387" s="28"/>
      <c r="G387" s="29"/>
      <c r="H387" s="30"/>
    </row>
    <row r="388" ht="15" spans="1:8">
      <c r="A388" s="19">
        <v>44952</v>
      </c>
      <c r="B388" s="20">
        <v>1008</v>
      </c>
      <c r="C388" s="21">
        <v>0</v>
      </c>
      <c r="D388" s="22"/>
      <c r="E388" s="33"/>
      <c r="F388" s="22"/>
      <c r="G388" s="24"/>
      <c r="H388" s="25"/>
    </row>
    <row r="389" ht="15" spans="1:8">
      <c r="A389" s="19">
        <v>44953</v>
      </c>
      <c r="B389" s="26">
        <v>1008</v>
      </c>
      <c r="C389" s="27">
        <v>0</v>
      </c>
      <c r="D389" s="28"/>
      <c r="E389" s="33"/>
      <c r="F389" s="28"/>
      <c r="G389" s="29"/>
      <c r="H389" s="30"/>
    </row>
    <row r="390" ht="15" spans="1:8">
      <c r="A390" s="19">
        <v>44954</v>
      </c>
      <c r="B390" s="20">
        <v>1012</v>
      </c>
      <c r="C390" s="24">
        <v>0.004</v>
      </c>
      <c r="D390" s="22"/>
      <c r="E390" s="33"/>
      <c r="F390" s="22"/>
      <c r="G390" s="24"/>
      <c r="H390" s="25"/>
    </row>
    <row r="391" ht="15" spans="1:8">
      <c r="A391" s="19">
        <v>44955</v>
      </c>
      <c r="B391" s="26">
        <v>1014</v>
      </c>
      <c r="C391" s="29">
        <v>0.002</v>
      </c>
      <c r="D391" s="28"/>
      <c r="E391" s="33"/>
      <c r="F391" s="28"/>
      <c r="G391" s="29"/>
      <c r="H391" s="30"/>
    </row>
    <row r="392" ht="15" spans="1:8">
      <c r="A392" s="19">
        <v>44956</v>
      </c>
      <c r="B392" s="20">
        <v>1018</v>
      </c>
      <c r="C392" s="24">
        <v>0.0039</v>
      </c>
      <c r="D392" s="22"/>
      <c r="E392" s="33"/>
      <c r="F392" s="22"/>
      <c r="G392" s="24"/>
      <c r="H392" s="25"/>
    </row>
    <row r="393" ht="15" spans="1:8">
      <c r="A393" s="19">
        <v>44957</v>
      </c>
      <c r="B393" s="26">
        <v>1019</v>
      </c>
      <c r="C393" s="29">
        <v>0.001</v>
      </c>
      <c r="D393" s="28"/>
      <c r="E393" s="33"/>
      <c r="F393" s="28"/>
      <c r="G393" s="29"/>
      <c r="H393" s="30"/>
    </row>
    <row r="394" ht="15" spans="1:8">
      <c r="A394" s="19">
        <v>44958</v>
      </c>
      <c r="B394" s="20">
        <v>1019</v>
      </c>
      <c r="C394" s="21">
        <v>0</v>
      </c>
      <c r="D394" s="22"/>
      <c r="E394" s="33"/>
      <c r="F394" s="22"/>
      <c r="G394" s="24"/>
      <c r="H394" s="25"/>
    </row>
    <row r="395" ht="15" spans="1:8">
      <c r="A395" s="19">
        <v>44959</v>
      </c>
      <c r="B395" s="26">
        <v>1019</v>
      </c>
      <c r="C395" s="27">
        <v>0</v>
      </c>
      <c r="D395" s="28"/>
      <c r="E395" s="33"/>
      <c r="F395" s="28"/>
      <c r="G395" s="29"/>
      <c r="H395" s="30"/>
    </row>
    <row r="396" ht="15" spans="1:8">
      <c r="A396" s="19">
        <v>44960</v>
      </c>
      <c r="B396" s="20">
        <v>1017</v>
      </c>
      <c r="C396" s="22">
        <v>-0.002</v>
      </c>
      <c r="D396" s="22"/>
      <c r="E396" s="33"/>
      <c r="F396" s="22"/>
      <c r="G396" s="24"/>
      <c r="H396" s="25"/>
    </row>
    <row r="397" ht="15" spans="1:8">
      <c r="A397" s="19">
        <v>44961</v>
      </c>
      <c r="B397" s="26">
        <v>1017</v>
      </c>
      <c r="C397" s="27">
        <v>0</v>
      </c>
      <c r="D397" s="28"/>
      <c r="E397" s="33"/>
      <c r="F397" s="28"/>
      <c r="G397" s="29"/>
      <c r="H397" s="30"/>
    </row>
    <row r="398" ht="15" spans="1:8">
      <c r="A398" s="19">
        <v>44962</v>
      </c>
      <c r="B398" s="20">
        <v>1017</v>
      </c>
      <c r="C398" s="21">
        <v>0</v>
      </c>
      <c r="D398" s="22"/>
      <c r="E398" s="33"/>
      <c r="F398" s="22"/>
      <c r="G398" s="24"/>
      <c r="H398" s="25"/>
    </row>
    <row r="399" ht="15" spans="1:8">
      <c r="A399" s="19">
        <v>44963</v>
      </c>
      <c r="B399" s="26">
        <v>1014</v>
      </c>
      <c r="C399" s="28">
        <v>-0.0029</v>
      </c>
      <c r="D399" s="28"/>
      <c r="E399" s="33"/>
      <c r="F399" s="28"/>
      <c r="G399" s="29"/>
      <c r="H399" s="30"/>
    </row>
    <row r="400" ht="15" spans="1:8">
      <c r="A400" s="19">
        <v>44964</v>
      </c>
      <c r="B400" s="20">
        <v>1012</v>
      </c>
      <c r="C400" s="22">
        <v>-0.002</v>
      </c>
      <c r="D400" s="22"/>
      <c r="E400" s="33"/>
      <c r="F400" s="22"/>
      <c r="G400" s="24"/>
      <c r="H400" s="25"/>
    </row>
    <row r="401" ht="15" spans="1:8">
      <c r="A401" s="19">
        <v>44965</v>
      </c>
      <c r="B401" s="26">
        <v>1012</v>
      </c>
      <c r="C401" s="27">
        <v>0</v>
      </c>
      <c r="D401" s="28"/>
      <c r="E401" s="33"/>
      <c r="F401" s="28"/>
      <c r="G401" s="29"/>
      <c r="H401" s="30"/>
    </row>
    <row r="402" ht="15" spans="1:8">
      <c r="A402" s="19">
        <v>44966</v>
      </c>
      <c r="B402" s="20">
        <v>1012</v>
      </c>
      <c r="C402" s="21">
        <v>0</v>
      </c>
      <c r="D402" s="22"/>
      <c r="E402" s="33"/>
      <c r="F402" s="22"/>
      <c r="G402" s="24"/>
      <c r="H402" s="25"/>
    </row>
    <row r="403" ht="15" spans="1:8">
      <c r="A403" s="19">
        <v>44967</v>
      </c>
      <c r="B403" s="26">
        <v>1010</v>
      </c>
      <c r="C403" s="28">
        <v>-0.002</v>
      </c>
      <c r="D403" s="28"/>
      <c r="E403" s="33"/>
      <c r="F403" s="28"/>
      <c r="G403" s="29"/>
      <c r="H403" s="30"/>
    </row>
    <row r="404" ht="15" spans="1:8">
      <c r="A404" s="19">
        <v>44968</v>
      </c>
      <c r="B404" s="20">
        <v>1010</v>
      </c>
      <c r="C404" s="21">
        <v>0</v>
      </c>
      <c r="D404" s="22"/>
      <c r="E404" s="33"/>
      <c r="F404" s="22"/>
      <c r="G404" s="24"/>
      <c r="H404" s="25"/>
    </row>
    <row r="405" ht="15" spans="1:8">
      <c r="A405" s="19">
        <v>44969</v>
      </c>
      <c r="B405" s="26">
        <v>1010</v>
      </c>
      <c r="C405" s="27">
        <v>0</v>
      </c>
      <c r="D405" s="28"/>
      <c r="E405" s="33"/>
      <c r="F405" s="28"/>
      <c r="G405" s="29"/>
      <c r="H405" s="30"/>
    </row>
    <row r="406" ht="15" spans="1:8">
      <c r="A406" s="19">
        <v>44970</v>
      </c>
      <c r="B406" s="20">
        <v>1008</v>
      </c>
      <c r="C406" s="22">
        <v>-0.002</v>
      </c>
      <c r="D406" s="22"/>
      <c r="E406" s="33"/>
      <c r="F406" s="22"/>
      <c r="G406" s="24"/>
      <c r="H406" s="25"/>
    </row>
    <row r="407" ht="15" spans="1:8">
      <c r="A407" s="19">
        <v>44971</v>
      </c>
      <c r="B407" s="26">
        <v>1006</v>
      </c>
      <c r="C407" s="28">
        <v>-0.002</v>
      </c>
      <c r="D407" s="28"/>
      <c r="E407" s="33"/>
      <c r="F407" s="28"/>
      <c r="G407" s="29"/>
      <c r="H407" s="30"/>
    </row>
    <row r="408" ht="15" spans="1:8">
      <c r="A408" s="19">
        <v>44972</v>
      </c>
      <c r="B408" s="20">
        <v>1005</v>
      </c>
      <c r="C408" s="22">
        <v>-0.001</v>
      </c>
      <c r="D408" s="22"/>
      <c r="E408" s="33"/>
      <c r="F408" s="22"/>
      <c r="G408" s="24"/>
      <c r="H408" s="25"/>
    </row>
    <row r="409" ht="15" spans="1:8">
      <c r="A409" s="19">
        <v>44973</v>
      </c>
      <c r="B409" s="26">
        <v>1005</v>
      </c>
      <c r="C409" s="27">
        <v>0</v>
      </c>
      <c r="D409" s="28"/>
      <c r="E409" s="33"/>
      <c r="F409" s="28"/>
      <c r="G409" s="29"/>
      <c r="H409" s="30"/>
    </row>
    <row r="410" ht="15" spans="1:8">
      <c r="A410" s="19">
        <v>44974</v>
      </c>
      <c r="B410" s="20">
        <v>1006</v>
      </c>
      <c r="C410" s="24">
        <v>0.001</v>
      </c>
      <c r="D410" s="22"/>
      <c r="E410" s="33"/>
      <c r="F410" s="22"/>
      <c r="G410" s="24"/>
      <c r="H410" s="25"/>
    </row>
    <row r="411" ht="15" spans="1:8">
      <c r="A411" s="19">
        <v>44975</v>
      </c>
      <c r="B411" s="26">
        <v>1006</v>
      </c>
      <c r="C411" s="27">
        <v>0</v>
      </c>
      <c r="D411" s="28"/>
      <c r="E411" s="33"/>
      <c r="F411" s="28"/>
      <c r="G411" s="29"/>
      <c r="H411" s="30"/>
    </row>
    <row r="412" ht="15" spans="1:8">
      <c r="A412" s="19">
        <v>44976</v>
      </c>
      <c r="B412" s="20">
        <v>1006</v>
      </c>
      <c r="C412" s="21">
        <v>0</v>
      </c>
      <c r="D412" s="22"/>
      <c r="E412" s="33"/>
      <c r="F412" s="22"/>
      <c r="G412" s="24"/>
      <c r="H412" s="25"/>
    </row>
    <row r="413" ht="15" spans="1:8">
      <c r="A413" s="19">
        <v>44977</v>
      </c>
      <c r="B413" s="26">
        <v>1006</v>
      </c>
      <c r="C413" s="27">
        <v>0</v>
      </c>
      <c r="D413" s="28"/>
      <c r="E413" s="33"/>
      <c r="F413" s="28"/>
      <c r="G413" s="29"/>
      <c r="H413" s="30"/>
    </row>
    <row r="414" ht="15" spans="1:8">
      <c r="A414" s="19">
        <v>44978</v>
      </c>
      <c r="B414" s="20">
        <v>1007</v>
      </c>
      <c r="C414" s="24">
        <v>0.001</v>
      </c>
      <c r="D414" s="22"/>
      <c r="E414" s="33"/>
      <c r="F414" s="22"/>
      <c r="G414" s="24"/>
      <c r="H414" s="25"/>
    </row>
    <row r="415" ht="15" spans="1:8">
      <c r="A415" s="35">
        <v>44979</v>
      </c>
      <c r="B415" s="36">
        <v>1009</v>
      </c>
      <c r="C415" s="40">
        <v>0.002</v>
      </c>
      <c r="D415" s="38"/>
      <c r="E415" s="47"/>
      <c r="F415" s="38"/>
      <c r="G415" s="40"/>
      <c r="H415" s="41"/>
    </row>
    <row r="416" ht="15" spans="1:8">
      <c r="A416" s="12">
        <v>44980</v>
      </c>
      <c r="B416" s="42">
        <v>1009</v>
      </c>
      <c r="C416" s="48">
        <v>0</v>
      </c>
      <c r="D416" s="43"/>
      <c r="E416" s="49"/>
      <c r="F416" s="43"/>
      <c r="G416" s="44"/>
      <c r="H416" s="45"/>
    </row>
    <row r="417" ht="15" spans="1:8">
      <c r="A417" s="19">
        <v>44981</v>
      </c>
      <c r="B417" s="26">
        <v>1008</v>
      </c>
      <c r="C417" s="28">
        <v>-0.001</v>
      </c>
      <c r="D417" s="28"/>
      <c r="E417" s="33"/>
      <c r="F417" s="28"/>
      <c r="G417" s="29"/>
      <c r="H417" s="30"/>
    </row>
    <row r="418" ht="15" spans="1:8">
      <c r="A418" s="19">
        <v>44982</v>
      </c>
      <c r="B418" s="20">
        <v>1008</v>
      </c>
      <c r="C418" s="21">
        <v>0</v>
      </c>
      <c r="D418" s="22"/>
      <c r="E418" s="33"/>
      <c r="F418" s="22"/>
      <c r="G418" s="24"/>
      <c r="H418" s="25"/>
    </row>
    <row r="419" ht="15" spans="1:8">
      <c r="A419" s="19">
        <v>44983</v>
      </c>
      <c r="B419" s="26">
        <v>1008</v>
      </c>
      <c r="C419" s="27">
        <v>0</v>
      </c>
      <c r="D419" s="28"/>
      <c r="E419" s="33"/>
      <c r="F419" s="28"/>
      <c r="G419" s="29"/>
      <c r="H419" s="30"/>
    </row>
    <row r="420" ht="15" spans="1:8">
      <c r="A420" s="19">
        <v>44984</v>
      </c>
      <c r="B420" s="20">
        <v>1009</v>
      </c>
      <c r="C420" s="24">
        <v>0.001</v>
      </c>
      <c r="D420" s="22"/>
      <c r="E420" s="33"/>
      <c r="F420" s="22"/>
      <c r="G420" s="24"/>
      <c r="H420" s="25"/>
    </row>
    <row r="421" ht="15" spans="1:8">
      <c r="A421" s="19">
        <v>44985</v>
      </c>
      <c r="B421" s="26">
        <v>1010</v>
      </c>
      <c r="C421" s="29">
        <v>0.001</v>
      </c>
      <c r="D421" s="28"/>
      <c r="E421" s="33"/>
      <c r="F421" s="28"/>
      <c r="G421" s="29"/>
      <c r="H421" s="30"/>
    </row>
    <row r="422" ht="15" spans="1:8">
      <c r="A422" s="19">
        <v>44986</v>
      </c>
      <c r="B422" s="20">
        <v>1010</v>
      </c>
      <c r="C422" s="21">
        <v>0</v>
      </c>
      <c r="D422" s="22"/>
      <c r="E422" s="33"/>
      <c r="F422" s="22"/>
      <c r="G422" s="24"/>
      <c r="H422" s="25"/>
    </row>
    <row r="423" ht="15" spans="1:8">
      <c r="A423" s="19">
        <v>44987</v>
      </c>
      <c r="B423" s="26">
        <v>1010</v>
      </c>
      <c r="C423" s="27">
        <v>0</v>
      </c>
      <c r="D423" s="28"/>
      <c r="E423" s="33"/>
      <c r="F423" s="28"/>
      <c r="G423" s="29"/>
      <c r="H423" s="30"/>
    </row>
    <row r="424" ht="15" spans="1:8">
      <c r="A424" s="19">
        <v>44988</v>
      </c>
      <c r="B424" s="20">
        <v>1011</v>
      </c>
      <c r="C424" s="24">
        <v>0.001</v>
      </c>
      <c r="D424" s="22"/>
      <c r="E424" s="33"/>
      <c r="F424" s="22"/>
      <c r="G424" s="24"/>
      <c r="H424" s="25"/>
    </row>
    <row r="425" ht="15" spans="1:8">
      <c r="A425" s="19">
        <v>44989</v>
      </c>
      <c r="B425" s="26">
        <v>1011</v>
      </c>
      <c r="C425" s="27">
        <v>0</v>
      </c>
      <c r="D425" s="28"/>
      <c r="E425" s="33"/>
      <c r="F425" s="28"/>
      <c r="G425" s="29"/>
      <c r="H425" s="30"/>
    </row>
    <row r="426" ht="15" spans="1:8">
      <c r="A426" s="19">
        <v>44990</v>
      </c>
      <c r="B426" s="20">
        <v>1011</v>
      </c>
      <c r="C426" s="21">
        <v>0</v>
      </c>
      <c r="D426" s="22"/>
      <c r="E426" s="33"/>
      <c r="F426" s="22"/>
      <c r="G426" s="24"/>
      <c r="H426" s="25"/>
    </row>
    <row r="427" ht="15" spans="1:8">
      <c r="A427" s="19">
        <v>44991</v>
      </c>
      <c r="B427" s="26">
        <v>1010</v>
      </c>
      <c r="C427" s="28">
        <v>-0.001</v>
      </c>
      <c r="D427" s="28"/>
      <c r="E427" s="33"/>
      <c r="F427" s="28"/>
      <c r="G427" s="29"/>
      <c r="H427" s="30"/>
    </row>
    <row r="428" ht="15" spans="1:8">
      <c r="A428" s="19">
        <v>44992</v>
      </c>
      <c r="B428" s="20">
        <v>1010</v>
      </c>
      <c r="C428" s="21">
        <v>0</v>
      </c>
      <c r="D428" s="22"/>
      <c r="E428" s="33"/>
      <c r="F428" s="22"/>
      <c r="G428" s="24"/>
      <c r="H428" s="25"/>
    </row>
    <row r="429" ht="15" spans="1:8">
      <c r="A429" s="19">
        <v>44993</v>
      </c>
      <c r="B429" s="26">
        <v>1009</v>
      </c>
      <c r="C429" s="28">
        <v>-0.001</v>
      </c>
      <c r="D429" s="28"/>
      <c r="E429" s="33"/>
      <c r="F429" s="28"/>
      <c r="G429" s="29"/>
      <c r="H429" s="30"/>
    </row>
    <row r="430" ht="15" spans="1:8">
      <c r="A430" s="31">
        <v>44994</v>
      </c>
      <c r="B430" s="32">
        <v>1009</v>
      </c>
      <c r="C430" s="46">
        <v>0</v>
      </c>
      <c r="D430" s="33"/>
      <c r="E430" s="33"/>
      <c r="F430" s="33"/>
      <c r="G430" s="23"/>
      <c r="H430" s="34"/>
    </row>
    <row r="431" ht="15" spans="1:8">
      <c r="A431" s="19">
        <v>44995</v>
      </c>
      <c r="B431" s="26">
        <v>1008</v>
      </c>
      <c r="C431" s="28">
        <v>-0.001</v>
      </c>
      <c r="D431" s="28"/>
      <c r="E431" s="33"/>
      <c r="F431" s="28"/>
      <c r="G431" s="27"/>
      <c r="H431" s="30"/>
    </row>
    <row r="432" ht="15" spans="1:8">
      <c r="A432" s="19">
        <v>44996</v>
      </c>
      <c r="B432" s="20">
        <v>1008</v>
      </c>
      <c r="C432" s="21">
        <v>0</v>
      </c>
      <c r="D432" s="22"/>
      <c r="E432" s="33"/>
      <c r="F432" s="22"/>
      <c r="G432" s="24"/>
      <c r="H432" s="25"/>
    </row>
    <row r="433" ht="15" spans="1:8">
      <c r="A433" s="19">
        <v>44997</v>
      </c>
      <c r="B433" s="26">
        <v>1008</v>
      </c>
      <c r="C433" s="27">
        <v>0</v>
      </c>
      <c r="D433" s="28"/>
      <c r="E433" s="33"/>
      <c r="F433" s="28"/>
      <c r="G433" s="28"/>
      <c r="H433" s="30"/>
    </row>
    <row r="434" ht="15" spans="1:8">
      <c r="A434" s="19">
        <v>44998</v>
      </c>
      <c r="B434" s="20">
        <v>1007</v>
      </c>
      <c r="C434" s="22">
        <v>-0.001</v>
      </c>
      <c r="D434" s="22"/>
      <c r="E434" s="33"/>
      <c r="F434" s="22"/>
      <c r="G434" s="22"/>
      <c r="H434" s="25"/>
    </row>
    <row r="435" ht="15" spans="1:8">
      <c r="A435" s="19">
        <v>44999</v>
      </c>
      <c r="B435" s="26">
        <v>1009</v>
      </c>
      <c r="C435" s="29">
        <v>0.002</v>
      </c>
      <c r="D435" s="28"/>
      <c r="E435" s="33"/>
      <c r="F435" s="28"/>
      <c r="G435" s="28"/>
      <c r="H435" s="30"/>
    </row>
    <row r="436" ht="15" spans="1:8">
      <c r="A436" s="19">
        <v>45000</v>
      </c>
      <c r="B436" s="20">
        <v>1008</v>
      </c>
      <c r="C436" s="22">
        <v>-0.001</v>
      </c>
      <c r="D436" s="22"/>
      <c r="E436" s="33"/>
      <c r="F436" s="22"/>
      <c r="G436" s="22"/>
      <c r="H436" s="25"/>
    </row>
    <row r="437" ht="15" spans="1:8">
      <c r="A437" s="19">
        <v>45001</v>
      </c>
      <c r="B437" s="26">
        <v>1003</v>
      </c>
      <c r="C437" s="28">
        <v>-0.005</v>
      </c>
      <c r="D437" s="28"/>
      <c r="E437" s="33"/>
      <c r="F437" s="28"/>
      <c r="G437" s="28"/>
      <c r="H437" s="30"/>
    </row>
    <row r="438" ht="15" spans="1:8">
      <c r="A438" s="19">
        <v>45002</v>
      </c>
      <c r="B438" s="20">
        <v>1001</v>
      </c>
      <c r="C438" s="22">
        <v>-0.002</v>
      </c>
      <c r="D438" s="22"/>
      <c r="E438" s="33"/>
      <c r="F438" s="22"/>
      <c r="G438" s="22"/>
      <c r="H438" s="25"/>
    </row>
    <row r="439" ht="15" spans="1:8">
      <c r="A439" s="19">
        <v>45003</v>
      </c>
      <c r="B439" s="26">
        <v>1001</v>
      </c>
      <c r="C439" s="27">
        <v>0</v>
      </c>
      <c r="D439" s="28"/>
      <c r="E439" s="33"/>
      <c r="F439" s="28"/>
      <c r="G439" s="28"/>
      <c r="H439" s="30"/>
    </row>
    <row r="440" ht="15" spans="1:8">
      <c r="A440" s="19">
        <v>45004</v>
      </c>
      <c r="B440" s="20">
        <v>1001</v>
      </c>
      <c r="C440" s="21">
        <v>0</v>
      </c>
      <c r="D440" s="22"/>
      <c r="E440" s="33"/>
      <c r="F440" s="22"/>
      <c r="G440" s="22"/>
      <c r="H440" s="25"/>
    </row>
    <row r="441" ht="15" spans="1:8">
      <c r="A441" s="19">
        <v>45005</v>
      </c>
      <c r="B441" s="26">
        <v>998</v>
      </c>
      <c r="C441" s="28">
        <v>-0.003</v>
      </c>
      <c r="D441" s="28"/>
      <c r="E441" s="33"/>
      <c r="F441" s="28"/>
      <c r="G441" s="28"/>
      <c r="H441" s="30"/>
    </row>
    <row r="442" ht="15" spans="1:8">
      <c r="A442" s="19">
        <v>45006</v>
      </c>
      <c r="B442" s="20">
        <v>995</v>
      </c>
      <c r="C442" s="22">
        <v>-0.003</v>
      </c>
      <c r="D442" s="22"/>
      <c r="E442" s="33"/>
      <c r="F442" s="22"/>
      <c r="G442" s="22"/>
      <c r="H442" s="25"/>
    </row>
    <row r="443" ht="15" spans="1:8">
      <c r="A443" s="19">
        <v>45007</v>
      </c>
      <c r="B443" s="26">
        <v>993</v>
      </c>
      <c r="C443" s="28">
        <v>-0.002</v>
      </c>
      <c r="D443" s="28"/>
      <c r="E443" s="33"/>
      <c r="F443" s="28"/>
      <c r="G443" s="28"/>
      <c r="H443" s="30"/>
    </row>
    <row r="444" ht="15" spans="1:8">
      <c r="A444" s="19">
        <v>45008</v>
      </c>
      <c r="B444" s="20">
        <v>991</v>
      </c>
      <c r="C444" s="22">
        <v>-0.002</v>
      </c>
      <c r="D444" s="22"/>
      <c r="E444" s="33"/>
      <c r="F444" s="22"/>
      <c r="G444" s="22"/>
      <c r="H444" s="25"/>
    </row>
    <row r="445" ht="15" spans="1:8">
      <c r="A445" s="19">
        <v>45009</v>
      </c>
      <c r="B445" s="26">
        <v>990</v>
      </c>
      <c r="C445" s="28">
        <v>-0.001</v>
      </c>
      <c r="D445" s="28"/>
      <c r="E445" s="33"/>
      <c r="F445" s="28"/>
      <c r="G445" s="28"/>
      <c r="H445" s="30"/>
    </row>
    <row r="446" ht="15" spans="1:8">
      <c r="A446" s="19">
        <v>45010</v>
      </c>
      <c r="B446" s="20">
        <v>989</v>
      </c>
      <c r="C446" s="22">
        <v>-0.001</v>
      </c>
      <c r="D446" s="22"/>
      <c r="E446" s="33"/>
      <c r="F446" s="22"/>
      <c r="G446" s="22"/>
      <c r="H446" s="25"/>
    </row>
    <row r="447" ht="15" spans="1:8">
      <c r="A447" s="19">
        <v>45011</v>
      </c>
      <c r="B447" s="26">
        <v>989</v>
      </c>
      <c r="C447" s="27">
        <v>0</v>
      </c>
      <c r="D447" s="28"/>
      <c r="E447" s="33"/>
      <c r="F447" s="28"/>
      <c r="G447" s="28"/>
      <c r="H447" s="30"/>
    </row>
    <row r="448" ht="15" spans="1:8">
      <c r="A448" s="19">
        <v>45012</v>
      </c>
      <c r="B448" s="20">
        <v>990</v>
      </c>
      <c r="C448" s="24">
        <v>0.001</v>
      </c>
      <c r="D448" s="22"/>
      <c r="E448" s="33"/>
      <c r="F448" s="22"/>
      <c r="G448" s="22"/>
      <c r="H448" s="25"/>
    </row>
    <row r="449" ht="15" spans="1:8">
      <c r="A449" s="19">
        <v>45013</v>
      </c>
      <c r="B449" s="26">
        <v>991</v>
      </c>
      <c r="C449" s="29">
        <v>0.001</v>
      </c>
      <c r="D449" s="28"/>
      <c r="E449" s="33"/>
      <c r="F449" s="28"/>
      <c r="G449" s="28"/>
      <c r="H449" s="30"/>
    </row>
    <row r="450" ht="15" spans="1:8">
      <c r="A450" s="19">
        <v>45014</v>
      </c>
      <c r="B450" s="20">
        <v>992</v>
      </c>
      <c r="C450" s="24">
        <v>0.001</v>
      </c>
      <c r="D450" s="22"/>
      <c r="E450" s="33"/>
      <c r="F450" s="22"/>
      <c r="G450" s="22"/>
      <c r="H450" s="25"/>
    </row>
    <row r="451" ht="15" spans="1:8">
      <c r="A451" s="19">
        <v>45015</v>
      </c>
      <c r="B451" s="26">
        <v>991</v>
      </c>
      <c r="C451" s="28">
        <v>-0.001</v>
      </c>
      <c r="D451" s="28"/>
      <c r="E451" s="33"/>
      <c r="F451" s="28"/>
      <c r="G451" s="28"/>
      <c r="H451" s="30"/>
    </row>
    <row r="452" ht="15" spans="1:8">
      <c r="A452" s="19">
        <v>45016</v>
      </c>
      <c r="B452" s="20">
        <v>991</v>
      </c>
      <c r="C452" s="21">
        <v>0</v>
      </c>
      <c r="D452" s="22"/>
      <c r="E452" s="33"/>
      <c r="F452" s="22"/>
      <c r="G452" s="22"/>
      <c r="H452" s="25"/>
    </row>
    <row r="453" ht="15" spans="1:8">
      <c r="A453" s="19">
        <v>45017</v>
      </c>
      <c r="B453" s="26">
        <v>991</v>
      </c>
      <c r="C453" s="27">
        <v>0</v>
      </c>
      <c r="D453" s="28"/>
      <c r="E453" s="33"/>
      <c r="F453" s="28"/>
      <c r="G453" s="28"/>
      <c r="H453" s="30"/>
    </row>
    <row r="454" ht="15" spans="1:8">
      <c r="A454" s="19">
        <v>45018</v>
      </c>
      <c r="B454" s="20">
        <v>991</v>
      </c>
      <c r="C454" s="21">
        <v>0</v>
      </c>
      <c r="D454" s="22"/>
      <c r="E454" s="33"/>
      <c r="F454" s="22"/>
      <c r="G454" s="22"/>
      <c r="H454" s="25"/>
    </row>
    <row r="455" ht="15" spans="1:8">
      <c r="A455" s="19">
        <v>45019</v>
      </c>
      <c r="B455" s="26">
        <v>991</v>
      </c>
      <c r="C455" s="27">
        <v>0</v>
      </c>
      <c r="D455" s="28"/>
      <c r="E455" s="33"/>
      <c r="F455" s="28"/>
      <c r="G455" s="28"/>
      <c r="H455" s="30"/>
    </row>
    <row r="456" ht="15" spans="1:8">
      <c r="A456" s="19">
        <v>45020</v>
      </c>
      <c r="B456" s="20">
        <v>990</v>
      </c>
      <c r="C456" s="22">
        <v>-0.001</v>
      </c>
      <c r="D456" s="22"/>
      <c r="E456" s="33"/>
      <c r="F456" s="22"/>
      <c r="G456" s="22"/>
      <c r="H456" s="25"/>
    </row>
    <row r="457" ht="15" spans="1:8">
      <c r="A457" s="19">
        <v>45021</v>
      </c>
      <c r="B457" s="26">
        <v>990</v>
      </c>
      <c r="C457" s="27">
        <v>0</v>
      </c>
      <c r="D457" s="28"/>
      <c r="E457" s="33"/>
      <c r="F457" s="28"/>
      <c r="G457" s="28"/>
      <c r="H457" s="30"/>
    </row>
    <row r="458" ht="15" spans="1:8">
      <c r="A458" s="19">
        <v>45022</v>
      </c>
      <c r="B458" s="20">
        <v>986</v>
      </c>
      <c r="C458" s="22">
        <v>-0.004</v>
      </c>
      <c r="D458" s="22"/>
      <c r="E458" s="33"/>
      <c r="F458" s="22"/>
      <c r="G458" s="22"/>
      <c r="H458" s="25"/>
    </row>
    <row r="459" ht="15" spans="1:8">
      <c r="A459" s="19">
        <v>45023</v>
      </c>
      <c r="B459" s="26">
        <v>985</v>
      </c>
      <c r="C459" s="28">
        <v>-0.001</v>
      </c>
      <c r="D459" s="28"/>
      <c r="E459" s="33"/>
      <c r="F459" s="28"/>
      <c r="G459" s="28"/>
      <c r="H459" s="30"/>
    </row>
    <row r="460" ht="15" spans="1:8">
      <c r="A460" s="19">
        <v>45024</v>
      </c>
      <c r="B460" s="20">
        <v>985</v>
      </c>
      <c r="C460" s="21">
        <v>0</v>
      </c>
      <c r="D460" s="22"/>
      <c r="E460" s="33"/>
      <c r="F460" s="22"/>
      <c r="G460" s="22"/>
      <c r="H460" s="25"/>
    </row>
    <row r="461" ht="15" spans="1:8">
      <c r="A461" s="19">
        <v>45025</v>
      </c>
      <c r="B461" s="26">
        <v>985</v>
      </c>
      <c r="C461" s="27">
        <v>0</v>
      </c>
      <c r="D461" s="28"/>
      <c r="E461" s="33"/>
      <c r="F461" s="28"/>
      <c r="G461" s="28"/>
      <c r="H461" s="30"/>
    </row>
    <row r="462" ht="15" spans="1:8">
      <c r="A462" s="19">
        <v>45026</v>
      </c>
      <c r="B462" s="20">
        <v>983</v>
      </c>
      <c r="C462" s="22">
        <v>-0.002</v>
      </c>
      <c r="D462" s="22"/>
      <c r="E462" s="33"/>
      <c r="F462" s="22"/>
      <c r="G462" s="22"/>
      <c r="H462" s="25"/>
    </row>
    <row r="463" ht="15" spans="1:8">
      <c r="A463" s="19">
        <v>45027</v>
      </c>
      <c r="B463" s="26">
        <v>982</v>
      </c>
      <c r="C463" s="28">
        <v>-0.001</v>
      </c>
      <c r="D463" s="28"/>
      <c r="E463" s="33"/>
      <c r="F463" s="28"/>
      <c r="G463" s="28"/>
      <c r="H463" s="30"/>
    </row>
    <row r="464" ht="15" spans="1:8">
      <c r="A464" s="19">
        <v>45028</v>
      </c>
      <c r="B464" s="20">
        <v>982</v>
      </c>
      <c r="C464" s="21">
        <v>0</v>
      </c>
      <c r="D464" s="22"/>
      <c r="E464" s="33"/>
      <c r="F464" s="22"/>
      <c r="G464" s="22"/>
      <c r="H464" s="25"/>
    </row>
    <row r="465" ht="15" spans="1:8">
      <c r="A465" s="19">
        <v>45029</v>
      </c>
      <c r="B465" s="26">
        <v>982</v>
      </c>
      <c r="C465" s="27">
        <v>0</v>
      </c>
      <c r="D465" s="28"/>
      <c r="E465" s="33"/>
      <c r="F465" s="28"/>
      <c r="G465" s="28"/>
      <c r="H465" s="30"/>
    </row>
    <row r="466" ht="15" spans="1:8">
      <c r="A466" s="19">
        <v>45030</v>
      </c>
      <c r="B466" s="20">
        <v>983</v>
      </c>
      <c r="C466" s="24">
        <v>0.001</v>
      </c>
      <c r="D466" s="22"/>
      <c r="E466" s="33"/>
      <c r="F466" s="22"/>
      <c r="G466" s="22"/>
      <c r="H466" s="25"/>
    </row>
    <row r="467" ht="15" spans="1:8">
      <c r="A467" s="19">
        <v>45031</v>
      </c>
      <c r="B467" s="26">
        <v>983</v>
      </c>
      <c r="C467" s="27">
        <v>0</v>
      </c>
      <c r="D467" s="28"/>
      <c r="E467" s="33"/>
      <c r="F467" s="28"/>
      <c r="G467" s="28"/>
      <c r="H467" s="30"/>
    </row>
    <row r="468" ht="15" spans="1:8">
      <c r="A468" s="19">
        <v>45032</v>
      </c>
      <c r="B468" s="20">
        <v>983</v>
      </c>
      <c r="C468" s="21">
        <v>0</v>
      </c>
      <c r="D468" s="22"/>
      <c r="E468" s="33"/>
      <c r="F468" s="22"/>
      <c r="G468" s="22"/>
      <c r="H468" s="25"/>
    </row>
    <row r="469" ht="15" spans="1:8">
      <c r="A469" s="19">
        <v>45033</v>
      </c>
      <c r="B469" s="26">
        <v>985</v>
      </c>
      <c r="C469" s="29">
        <v>0.002</v>
      </c>
      <c r="D469" s="28"/>
      <c r="E469" s="33"/>
      <c r="F469" s="28"/>
      <c r="G469" s="28"/>
      <c r="H469" s="30"/>
    </row>
    <row r="470" ht="15" spans="1:8">
      <c r="A470" s="19">
        <v>45034</v>
      </c>
      <c r="B470" s="20">
        <v>986</v>
      </c>
      <c r="C470" s="24">
        <v>0.001</v>
      </c>
      <c r="D470" s="22"/>
      <c r="E470" s="33"/>
      <c r="F470" s="22"/>
      <c r="G470" s="22"/>
      <c r="H470" s="25"/>
    </row>
    <row r="471" ht="15" spans="1:8">
      <c r="A471" s="19">
        <v>45035</v>
      </c>
      <c r="B471" s="26">
        <v>987</v>
      </c>
      <c r="C471" s="29">
        <v>0.001</v>
      </c>
      <c r="D471" s="28"/>
      <c r="E471" s="33"/>
      <c r="F471" s="28"/>
      <c r="G471" s="28"/>
      <c r="H471" s="30"/>
    </row>
    <row r="472" ht="15" spans="1:8">
      <c r="A472" s="19">
        <v>45036</v>
      </c>
      <c r="B472" s="20">
        <v>984</v>
      </c>
      <c r="C472" s="22">
        <v>-0.003</v>
      </c>
      <c r="D472" s="22"/>
      <c r="E472" s="33"/>
      <c r="F472" s="22"/>
      <c r="G472" s="22"/>
      <c r="H472" s="25"/>
    </row>
    <row r="473" ht="15" spans="1:8">
      <c r="A473" s="19">
        <v>45037</v>
      </c>
      <c r="B473" s="26">
        <v>979</v>
      </c>
      <c r="C473" s="28">
        <v>-0.0051</v>
      </c>
      <c r="D473" s="28"/>
      <c r="E473" s="33"/>
      <c r="F473" s="28"/>
      <c r="G473" s="28"/>
      <c r="H473" s="30"/>
    </row>
    <row r="474" ht="15" spans="1:8">
      <c r="A474" s="19">
        <v>45038</v>
      </c>
      <c r="B474" s="20">
        <v>978</v>
      </c>
      <c r="C474" s="22">
        <v>-0.001</v>
      </c>
      <c r="D474" s="22"/>
      <c r="E474" s="33"/>
      <c r="F474" s="22"/>
      <c r="G474" s="22"/>
      <c r="H474" s="25"/>
    </row>
    <row r="475" ht="15" spans="1:8">
      <c r="A475" s="19">
        <v>45039</v>
      </c>
      <c r="B475" s="26">
        <v>976</v>
      </c>
      <c r="C475" s="28">
        <v>-0.002</v>
      </c>
      <c r="D475" s="28"/>
      <c r="E475" s="33"/>
      <c r="F475" s="28"/>
      <c r="G475" s="28"/>
      <c r="H475" s="30"/>
    </row>
    <row r="476" ht="15" spans="1:8">
      <c r="A476" s="19">
        <v>45040</v>
      </c>
      <c r="B476" s="20">
        <v>975</v>
      </c>
      <c r="C476" s="22">
        <v>-0.001</v>
      </c>
      <c r="D476" s="22"/>
      <c r="E476" s="33"/>
      <c r="F476" s="22"/>
      <c r="G476" s="22"/>
      <c r="H476" s="25"/>
    </row>
    <row r="477" ht="15" spans="1:8">
      <c r="A477" s="19">
        <v>45041</v>
      </c>
      <c r="B477" s="26">
        <v>972</v>
      </c>
      <c r="C477" s="28">
        <v>-0.0031</v>
      </c>
      <c r="D477" s="28"/>
      <c r="E477" s="33"/>
      <c r="F477" s="28"/>
      <c r="G477" s="28"/>
      <c r="H477" s="30"/>
    </row>
    <row r="478" ht="15" spans="1:8">
      <c r="A478" s="19">
        <v>45042</v>
      </c>
      <c r="B478" s="20">
        <v>969</v>
      </c>
      <c r="C478" s="22">
        <v>-0.0031</v>
      </c>
      <c r="D478" s="22"/>
      <c r="E478" s="33"/>
      <c r="F478" s="22"/>
      <c r="G478" s="22"/>
      <c r="H478" s="25"/>
    </row>
    <row r="479" ht="15" spans="1:8">
      <c r="A479" s="19">
        <v>45043</v>
      </c>
      <c r="B479" s="26">
        <v>967</v>
      </c>
      <c r="C479" s="28">
        <v>-0.0021</v>
      </c>
      <c r="D479" s="28"/>
      <c r="E479" s="33"/>
      <c r="F479" s="28"/>
      <c r="G479" s="28"/>
      <c r="H479" s="30"/>
    </row>
    <row r="480" ht="15" spans="1:8">
      <c r="A480" s="19">
        <v>45044</v>
      </c>
      <c r="B480" s="20">
        <v>967</v>
      </c>
      <c r="C480" s="21">
        <v>0</v>
      </c>
      <c r="D480" s="22"/>
      <c r="E480" s="33"/>
      <c r="F480" s="22"/>
      <c r="G480" s="22"/>
      <c r="H480" s="25"/>
    </row>
    <row r="481" ht="15" spans="1:8">
      <c r="A481" s="19">
        <v>45045</v>
      </c>
      <c r="B481" s="26">
        <v>967</v>
      </c>
      <c r="C481" s="27">
        <v>0</v>
      </c>
      <c r="D481" s="28"/>
      <c r="E481" s="33"/>
      <c r="F481" s="28"/>
      <c r="G481" s="28"/>
      <c r="H481" s="30"/>
    </row>
    <row r="482" ht="15" spans="1:8">
      <c r="A482" s="19">
        <v>45046</v>
      </c>
      <c r="B482" s="20">
        <v>966</v>
      </c>
      <c r="C482" s="22">
        <v>-0.001</v>
      </c>
      <c r="D482" s="22"/>
      <c r="E482" s="33"/>
      <c r="F482" s="22"/>
      <c r="G482" s="22"/>
      <c r="H482" s="25"/>
    </row>
    <row r="483" ht="15" spans="1:8">
      <c r="A483" s="19">
        <v>45047</v>
      </c>
      <c r="B483" s="26">
        <v>966</v>
      </c>
      <c r="C483" s="27">
        <v>0</v>
      </c>
      <c r="D483" s="28"/>
      <c r="E483" s="33"/>
      <c r="F483" s="28"/>
      <c r="G483" s="28"/>
      <c r="H483" s="30"/>
    </row>
    <row r="484" ht="15" spans="1:8">
      <c r="A484" s="19">
        <v>45048</v>
      </c>
      <c r="B484" s="20">
        <v>966</v>
      </c>
      <c r="C484" s="21">
        <v>0</v>
      </c>
      <c r="D484" s="22"/>
      <c r="E484" s="33"/>
      <c r="F484" s="22"/>
      <c r="G484" s="22"/>
      <c r="H484" s="25"/>
    </row>
    <row r="485" ht="15" spans="1:8">
      <c r="A485" s="19">
        <v>45049</v>
      </c>
      <c r="B485" s="26">
        <v>966</v>
      </c>
      <c r="C485" s="27">
        <v>0</v>
      </c>
      <c r="D485" s="28"/>
      <c r="E485" s="33"/>
      <c r="F485" s="28"/>
      <c r="G485" s="28"/>
      <c r="H485" s="30"/>
    </row>
    <row r="486" ht="15" spans="1:8">
      <c r="A486" s="19">
        <v>45050</v>
      </c>
      <c r="B486" s="20">
        <v>965</v>
      </c>
      <c r="C486" s="22">
        <v>-0.001</v>
      </c>
      <c r="D486" s="22"/>
      <c r="E486" s="33"/>
      <c r="F486" s="22"/>
      <c r="G486" s="22"/>
      <c r="H486" s="25"/>
    </row>
    <row r="487" ht="15" spans="1:8">
      <c r="A487" s="19">
        <v>45051</v>
      </c>
      <c r="B487" s="26">
        <v>962</v>
      </c>
      <c r="C487" s="28">
        <v>-0.0031</v>
      </c>
      <c r="D487" s="28"/>
      <c r="E487" s="33"/>
      <c r="F487" s="28"/>
      <c r="G487" s="28"/>
      <c r="H487" s="30"/>
    </row>
    <row r="488" ht="15" spans="1:8">
      <c r="A488" s="19">
        <v>45052</v>
      </c>
      <c r="B488" s="20">
        <v>961</v>
      </c>
      <c r="C488" s="22">
        <v>-0.001</v>
      </c>
      <c r="D488" s="22"/>
      <c r="E488" s="33"/>
      <c r="F488" s="22"/>
      <c r="G488" s="22"/>
      <c r="H488" s="25"/>
    </row>
    <row r="489" ht="15" spans="1:8">
      <c r="A489" s="19">
        <v>45053</v>
      </c>
      <c r="B489" s="26">
        <v>961</v>
      </c>
      <c r="C489" s="27">
        <v>0</v>
      </c>
      <c r="D489" s="28"/>
      <c r="E489" s="33"/>
      <c r="F489" s="28"/>
      <c r="G489" s="28"/>
      <c r="H489" s="30"/>
    </row>
    <row r="490" ht="15" spans="1:8">
      <c r="A490" s="19">
        <v>45054</v>
      </c>
      <c r="B490" s="20">
        <v>961</v>
      </c>
      <c r="C490" s="21">
        <v>0</v>
      </c>
      <c r="D490" s="22"/>
      <c r="E490" s="33"/>
      <c r="F490" s="22"/>
      <c r="G490" s="22"/>
      <c r="H490" s="25"/>
    </row>
    <row r="491" ht="15" spans="1:8">
      <c r="A491" s="19">
        <v>45055</v>
      </c>
      <c r="B491" s="26">
        <v>959</v>
      </c>
      <c r="C491" s="28">
        <v>-0.0021</v>
      </c>
      <c r="D491" s="28"/>
      <c r="E491" s="33"/>
      <c r="F491" s="28"/>
      <c r="G491" s="28"/>
      <c r="H491" s="30"/>
    </row>
    <row r="492" ht="15" spans="1:8">
      <c r="A492" s="19">
        <v>45056</v>
      </c>
      <c r="B492" s="20">
        <v>957</v>
      </c>
      <c r="C492" s="22">
        <v>-0.0021</v>
      </c>
      <c r="D492" s="22"/>
      <c r="E492" s="33"/>
      <c r="F492" s="22"/>
      <c r="G492" s="22"/>
      <c r="H492" s="25"/>
    </row>
    <row r="493" ht="15" spans="1:8">
      <c r="A493" s="19">
        <v>45057</v>
      </c>
      <c r="B493" s="26">
        <v>950</v>
      </c>
      <c r="C493" s="28">
        <v>-0.0073</v>
      </c>
      <c r="D493" s="28"/>
      <c r="E493" s="33"/>
      <c r="F493" s="28"/>
      <c r="G493" s="28"/>
      <c r="H493" s="30"/>
    </row>
    <row r="494" ht="15" spans="1:8">
      <c r="A494" s="19">
        <v>45058</v>
      </c>
      <c r="B494" s="20">
        <v>944</v>
      </c>
      <c r="C494" s="22">
        <v>-0.0063</v>
      </c>
      <c r="D494" s="22"/>
      <c r="E494" s="33"/>
      <c r="F494" s="22"/>
      <c r="G494" s="22"/>
      <c r="H494" s="25"/>
    </row>
    <row r="495" ht="15" spans="1:8">
      <c r="A495" s="19">
        <v>45059</v>
      </c>
      <c r="B495" s="26">
        <v>944</v>
      </c>
      <c r="C495" s="27">
        <v>0</v>
      </c>
      <c r="D495" s="28"/>
      <c r="E495" s="33"/>
      <c r="F495" s="28"/>
      <c r="G495" s="28"/>
      <c r="H495" s="30"/>
    </row>
    <row r="496" ht="15" spans="1:8">
      <c r="A496" s="19">
        <v>45060</v>
      </c>
      <c r="B496" s="20">
        <v>944</v>
      </c>
      <c r="C496" s="21">
        <v>0</v>
      </c>
      <c r="D496" s="22"/>
      <c r="E496" s="33"/>
      <c r="F496" s="22"/>
      <c r="G496" s="22"/>
      <c r="H496" s="25"/>
    </row>
    <row r="497" ht="15" spans="1:8">
      <c r="A497" s="19">
        <v>45061</v>
      </c>
      <c r="B497" s="26">
        <v>941</v>
      </c>
      <c r="C497" s="28">
        <v>-0.0032</v>
      </c>
      <c r="D497" s="28"/>
      <c r="E497" s="33"/>
      <c r="F497" s="28"/>
      <c r="G497" s="28"/>
      <c r="H497" s="30"/>
    </row>
    <row r="498" ht="15" spans="1:8">
      <c r="A498" s="19">
        <v>45062</v>
      </c>
      <c r="B498" s="20">
        <v>938</v>
      </c>
      <c r="C498" s="22">
        <v>-0.0032</v>
      </c>
      <c r="D498" s="22"/>
      <c r="E498" s="33"/>
      <c r="F498" s="22"/>
      <c r="G498" s="22"/>
      <c r="H498" s="25"/>
    </row>
    <row r="499" ht="15" spans="1:8">
      <c r="A499" s="19">
        <v>45063</v>
      </c>
      <c r="B499" s="26">
        <v>936</v>
      </c>
      <c r="C499" s="28">
        <v>-0.0021</v>
      </c>
      <c r="D499" s="28"/>
      <c r="E499" s="33"/>
      <c r="F499" s="28"/>
      <c r="G499" s="28"/>
      <c r="H499" s="30"/>
    </row>
    <row r="500" ht="15" spans="1:8">
      <c r="A500" s="19">
        <v>45064</v>
      </c>
      <c r="B500" s="20">
        <v>935</v>
      </c>
      <c r="C500" s="22">
        <v>-0.0011</v>
      </c>
      <c r="D500" s="22"/>
      <c r="E500" s="33"/>
      <c r="F500" s="22"/>
      <c r="G500" s="22"/>
      <c r="H500" s="25"/>
    </row>
    <row r="501" ht="15" spans="1:8">
      <c r="A501" s="19">
        <v>45065</v>
      </c>
      <c r="B501" s="26">
        <v>932</v>
      </c>
      <c r="C501" s="28">
        <v>-0.0032</v>
      </c>
      <c r="D501" s="28"/>
      <c r="E501" s="33"/>
      <c r="F501" s="28"/>
      <c r="G501" s="28"/>
      <c r="H501" s="30"/>
    </row>
    <row r="502" ht="15" spans="1:8">
      <c r="A502" s="19">
        <v>45066</v>
      </c>
      <c r="B502" s="20">
        <v>931</v>
      </c>
      <c r="C502" s="22">
        <v>-0.0011</v>
      </c>
      <c r="D502" s="22"/>
      <c r="E502" s="33"/>
      <c r="F502" s="22"/>
      <c r="G502" s="22"/>
      <c r="H502" s="25"/>
    </row>
    <row r="503" ht="15" spans="1:8">
      <c r="A503" s="19">
        <v>45067</v>
      </c>
      <c r="B503" s="26">
        <v>931</v>
      </c>
      <c r="C503" s="27">
        <v>0</v>
      </c>
      <c r="D503" s="28"/>
      <c r="E503" s="33"/>
      <c r="F503" s="28"/>
      <c r="G503" s="28"/>
      <c r="H503" s="30"/>
    </row>
    <row r="504" ht="15" spans="1:8">
      <c r="A504" s="19">
        <v>45068</v>
      </c>
      <c r="B504" s="20">
        <v>928</v>
      </c>
      <c r="C504" s="22">
        <v>-0.0032</v>
      </c>
      <c r="D504" s="22"/>
      <c r="E504" s="33"/>
      <c r="F504" s="22"/>
      <c r="G504" s="22"/>
      <c r="H504" s="25"/>
    </row>
    <row r="505" ht="15" spans="1:8">
      <c r="A505" s="19">
        <v>45069</v>
      </c>
      <c r="B505" s="26">
        <v>927</v>
      </c>
      <c r="C505" s="28">
        <v>-0.0011</v>
      </c>
      <c r="D505" s="28"/>
      <c r="E505" s="33"/>
      <c r="F505" s="28"/>
      <c r="G505" s="28"/>
      <c r="H505" s="30"/>
    </row>
    <row r="506" ht="15" spans="1:8">
      <c r="A506" s="19">
        <v>45070</v>
      </c>
      <c r="B506" s="20">
        <v>924</v>
      </c>
      <c r="C506" s="22">
        <v>-0.0032</v>
      </c>
      <c r="D506" s="22"/>
      <c r="E506" s="33"/>
      <c r="F506" s="22"/>
      <c r="G506" s="22"/>
      <c r="H506" s="25"/>
    </row>
    <row r="507" ht="15" spans="1:8">
      <c r="A507" s="19">
        <v>45071</v>
      </c>
      <c r="B507" s="26">
        <v>923</v>
      </c>
      <c r="C507" s="28">
        <v>-0.0011</v>
      </c>
      <c r="D507" s="28"/>
      <c r="E507" s="33"/>
      <c r="F507" s="28"/>
      <c r="G507" s="28"/>
      <c r="H507" s="30"/>
    </row>
    <row r="508" ht="15" spans="1:8">
      <c r="A508" s="19">
        <v>45072</v>
      </c>
      <c r="B508" s="20">
        <v>920</v>
      </c>
      <c r="C508" s="22">
        <v>-0.0033</v>
      </c>
      <c r="D508" s="22"/>
      <c r="E508" s="33"/>
      <c r="F508" s="22"/>
      <c r="G508" s="22"/>
      <c r="H508" s="25"/>
    </row>
    <row r="509" ht="15" spans="1:8">
      <c r="A509" s="19">
        <v>45073</v>
      </c>
      <c r="B509" s="26">
        <v>921</v>
      </c>
      <c r="C509" s="29">
        <v>0.0011</v>
      </c>
      <c r="D509" s="28"/>
      <c r="E509" s="33"/>
      <c r="F509" s="28"/>
      <c r="G509" s="28"/>
      <c r="H509" s="30"/>
    </row>
    <row r="510" ht="15" spans="1:8">
      <c r="A510" s="19">
        <v>45074</v>
      </c>
      <c r="B510" s="20">
        <v>921</v>
      </c>
      <c r="C510" s="21">
        <v>0</v>
      </c>
      <c r="D510" s="22"/>
      <c r="E510" s="33"/>
      <c r="F510" s="22"/>
      <c r="G510" s="22"/>
      <c r="H510" s="25"/>
    </row>
    <row r="511" ht="15" spans="1:8">
      <c r="A511" s="19">
        <v>45075</v>
      </c>
      <c r="B511" s="26">
        <v>919</v>
      </c>
      <c r="C511" s="28">
        <v>-0.0022</v>
      </c>
      <c r="D511" s="28"/>
      <c r="E511" s="33"/>
      <c r="F511" s="28"/>
      <c r="G511" s="28"/>
      <c r="H511" s="30"/>
    </row>
    <row r="512" ht="15" spans="1:8">
      <c r="A512" s="19">
        <v>45076</v>
      </c>
      <c r="B512" s="20">
        <v>918</v>
      </c>
      <c r="C512" s="22">
        <v>-0.0011</v>
      </c>
      <c r="D512" s="22"/>
      <c r="E512" s="33"/>
      <c r="F512" s="22"/>
      <c r="G512" s="22"/>
      <c r="H512" s="25"/>
    </row>
    <row r="513" ht="15" spans="1:8">
      <c r="A513" s="19">
        <v>45077</v>
      </c>
      <c r="B513" s="26">
        <v>913</v>
      </c>
      <c r="C513" s="28">
        <v>-0.0054</v>
      </c>
      <c r="D513" s="28"/>
      <c r="E513" s="33"/>
      <c r="F513" s="28"/>
      <c r="G513" s="28"/>
      <c r="H513" s="30"/>
    </row>
    <row r="514" ht="15" spans="1:8">
      <c r="A514" s="19">
        <v>45078</v>
      </c>
      <c r="B514" s="20">
        <v>912</v>
      </c>
      <c r="C514" s="22">
        <v>-0.0011</v>
      </c>
      <c r="D514" s="22"/>
      <c r="E514" s="33"/>
      <c r="F514" s="22"/>
      <c r="G514" s="22"/>
      <c r="H514" s="25"/>
    </row>
    <row r="515" ht="15" spans="1:8">
      <c r="A515" s="35">
        <v>45079</v>
      </c>
      <c r="B515" s="36">
        <v>911</v>
      </c>
      <c r="C515" s="38">
        <v>-0.0011</v>
      </c>
      <c r="D515" s="38"/>
      <c r="E515" s="47"/>
      <c r="F515" s="38"/>
      <c r="G515" s="38"/>
      <c r="H515" s="41"/>
    </row>
    <row r="516" ht="15" spans="1:8">
      <c r="A516" s="12">
        <v>45080</v>
      </c>
      <c r="B516" s="42">
        <v>911</v>
      </c>
      <c r="C516" s="48">
        <v>0</v>
      </c>
      <c r="D516" s="49"/>
      <c r="E516" s="43"/>
      <c r="F516" s="43"/>
      <c r="G516" s="43"/>
      <c r="H516" s="45"/>
    </row>
    <row r="517" ht="15" spans="1:8">
      <c r="A517" s="19">
        <v>45081</v>
      </c>
      <c r="B517" s="26">
        <v>911</v>
      </c>
      <c r="C517" s="27">
        <v>0</v>
      </c>
      <c r="D517" s="33"/>
      <c r="E517" s="28"/>
      <c r="F517" s="28"/>
      <c r="G517" s="28"/>
      <c r="H517" s="30"/>
    </row>
    <row r="518" ht="15" spans="1:8">
      <c r="A518" s="19">
        <v>45082</v>
      </c>
      <c r="B518" s="20">
        <v>911</v>
      </c>
      <c r="C518" s="21">
        <v>0</v>
      </c>
      <c r="D518" s="33"/>
      <c r="E518" s="22"/>
      <c r="F518" s="22"/>
      <c r="G518" s="22"/>
      <c r="H518" s="25"/>
    </row>
    <row r="519" ht="15" spans="1:8">
      <c r="A519" s="19">
        <v>45083</v>
      </c>
      <c r="B519" s="26">
        <v>911</v>
      </c>
      <c r="C519" s="27">
        <v>0</v>
      </c>
      <c r="D519" s="33"/>
      <c r="E519" s="28"/>
      <c r="F519" s="28"/>
      <c r="G519" s="28"/>
      <c r="H519" s="30"/>
    </row>
    <row r="520" ht="15" spans="1:8">
      <c r="A520" s="19">
        <v>45084</v>
      </c>
      <c r="B520" s="20">
        <v>911</v>
      </c>
      <c r="C520" s="21">
        <v>0</v>
      </c>
      <c r="D520" s="33"/>
      <c r="E520" s="22"/>
      <c r="F520" s="22"/>
      <c r="G520" s="22"/>
      <c r="H520" s="25"/>
    </row>
    <row r="521" ht="15" spans="1:8">
      <c r="A521" s="19">
        <v>45085</v>
      </c>
      <c r="B521" s="26">
        <v>910</v>
      </c>
      <c r="C521" s="28">
        <v>-0.0011</v>
      </c>
      <c r="D521" s="33"/>
      <c r="E521" s="28"/>
      <c r="F521" s="28"/>
      <c r="G521" s="28"/>
      <c r="H521" s="30"/>
    </row>
    <row r="522" ht="15" spans="1:8">
      <c r="A522" s="19">
        <v>45086</v>
      </c>
      <c r="B522" s="20">
        <v>910</v>
      </c>
      <c r="C522" s="21">
        <v>0</v>
      </c>
      <c r="D522" s="33"/>
      <c r="E522" s="22"/>
      <c r="F522" s="22"/>
      <c r="G522" s="22"/>
      <c r="H522" s="25"/>
    </row>
    <row r="523" ht="15" spans="1:8">
      <c r="A523" s="19">
        <v>45087</v>
      </c>
      <c r="B523" s="26">
        <v>910</v>
      </c>
      <c r="C523" s="27">
        <v>0</v>
      </c>
      <c r="D523" s="33"/>
      <c r="E523" s="28"/>
      <c r="F523" s="28"/>
      <c r="G523" s="28"/>
      <c r="H523" s="30"/>
    </row>
    <row r="524" ht="15" spans="1:8">
      <c r="A524" s="19">
        <v>45088</v>
      </c>
      <c r="B524" s="20">
        <v>910</v>
      </c>
      <c r="C524" s="21">
        <v>0</v>
      </c>
      <c r="D524" s="33"/>
      <c r="E524" s="22"/>
      <c r="F524" s="22"/>
      <c r="G524" s="22"/>
      <c r="H524" s="25"/>
    </row>
    <row r="525" ht="15" spans="1:8">
      <c r="A525" s="19">
        <v>45089</v>
      </c>
      <c r="B525" s="26">
        <v>907</v>
      </c>
      <c r="C525" s="28">
        <v>-0.0033</v>
      </c>
      <c r="D525" s="33"/>
      <c r="E525" s="28"/>
      <c r="F525" s="28"/>
      <c r="G525" s="28"/>
      <c r="H525" s="30"/>
    </row>
    <row r="526" ht="15" spans="1:8">
      <c r="A526" s="19">
        <v>45090</v>
      </c>
      <c r="B526" s="20">
        <v>905</v>
      </c>
      <c r="C526" s="22">
        <v>-0.0022</v>
      </c>
      <c r="D526" s="33"/>
      <c r="E526" s="22"/>
      <c r="F526" s="22"/>
      <c r="G526" s="22"/>
      <c r="H526" s="25"/>
    </row>
    <row r="527" ht="15" spans="1:8">
      <c r="A527" s="19">
        <v>45091</v>
      </c>
      <c r="B527" s="26">
        <v>905</v>
      </c>
      <c r="C527" s="27">
        <v>0</v>
      </c>
      <c r="D527" s="33"/>
      <c r="E527" s="28"/>
      <c r="F527" s="28"/>
      <c r="G527" s="28"/>
      <c r="H527" s="30"/>
    </row>
    <row r="528" ht="15" spans="1:8">
      <c r="A528" s="19">
        <v>45092</v>
      </c>
      <c r="B528" s="20">
        <v>905</v>
      </c>
      <c r="C528" s="21">
        <v>0</v>
      </c>
      <c r="D528" s="33"/>
      <c r="E528" s="22"/>
      <c r="F528" s="22"/>
      <c r="G528" s="22"/>
      <c r="H528" s="25"/>
    </row>
    <row r="529" ht="15" spans="1:8">
      <c r="A529" s="19">
        <v>45093</v>
      </c>
      <c r="B529" s="26">
        <v>907</v>
      </c>
      <c r="C529" s="29">
        <v>0.0022</v>
      </c>
      <c r="D529" s="33"/>
      <c r="E529" s="28"/>
      <c r="F529" s="28"/>
      <c r="G529" s="28"/>
      <c r="H529" s="30"/>
    </row>
    <row r="530" ht="15" spans="1:8">
      <c r="A530" s="19">
        <v>45094</v>
      </c>
      <c r="B530" s="20">
        <v>907</v>
      </c>
      <c r="C530" s="21">
        <v>0</v>
      </c>
      <c r="D530" s="33"/>
      <c r="E530" s="22"/>
      <c r="F530" s="22"/>
      <c r="G530" s="22"/>
      <c r="H530" s="25"/>
    </row>
    <row r="531" ht="15" spans="1:8">
      <c r="A531" s="31">
        <v>45095</v>
      </c>
      <c r="B531" s="32">
        <v>907</v>
      </c>
      <c r="C531" s="46">
        <v>0</v>
      </c>
      <c r="D531" s="33"/>
      <c r="E531" s="33"/>
      <c r="F531" s="33"/>
      <c r="G531" s="33"/>
      <c r="H531" s="34"/>
    </row>
    <row r="532" ht="15" spans="1:8">
      <c r="A532" s="19">
        <v>45096</v>
      </c>
      <c r="B532" s="20">
        <v>907</v>
      </c>
      <c r="C532" s="21">
        <v>0</v>
      </c>
      <c r="D532" s="33"/>
      <c r="E532" s="22"/>
      <c r="F532" s="22"/>
      <c r="G532" s="22"/>
      <c r="H532" s="25"/>
    </row>
    <row r="533" ht="15" spans="1:8">
      <c r="A533" s="19">
        <v>45097</v>
      </c>
      <c r="B533" s="26">
        <v>907</v>
      </c>
      <c r="C533" s="27">
        <v>0</v>
      </c>
      <c r="D533" s="33"/>
      <c r="E533" s="28"/>
      <c r="F533" s="28"/>
      <c r="G533" s="28"/>
      <c r="H533" s="30"/>
    </row>
    <row r="534" ht="15" spans="1:8">
      <c r="A534" s="19">
        <v>45098</v>
      </c>
      <c r="B534" s="20">
        <v>906</v>
      </c>
      <c r="C534" s="22">
        <v>-0.0011</v>
      </c>
      <c r="D534" s="33"/>
      <c r="E534" s="22"/>
      <c r="F534" s="22"/>
      <c r="G534" s="22"/>
      <c r="H534" s="25"/>
    </row>
    <row r="535" ht="15" spans="1:8">
      <c r="A535" s="19">
        <v>45099</v>
      </c>
      <c r="B535" s="26">
        <v>906</v>
      </c>
      <c r="C535" s="27">
        <v>0</v>
      </c>
      <c r="D535" s="33"/>
      <c r="E535" s="28"/>
      <c r="F535" s="28"/>
      <c r="G535" s="28"/>
      <c r="H535" s="30"/>
    </row>
    <row r="536" ht="15" spans="1:8">
      <c r="A536" s="19">
        <v>45100</v>
      </c>
      <c r="B536" s="20">
        <v>906</v>
      </c>
      <c r="C536" s="21">
        <v>0</v>
      </c>
      <c r="D536" s="33"/>
      <c r="E536" s="22"/>
      <c r="F536" s="22"/>
      <c r="G536" s="22"/>
      <c r="H536" s="25"/>
    </row>
    <row r="537" ht="15" spans="1:8">
      <c r="A537" s="19">
        <v>45101</v>
      </c>
      <c r="B537" s="26">
        <v>906</v>
      </c>
      <c r="C537" s="27">
        <v>0</v>
      </c>
      <c r="D537" s="33"/>
      <c r="E537" s="28"/>
      <c r="F537" s="28"/>
      <c r="G537" s="28"/>
      <c r="H537" s="30"/>
    </row>
    <row r="538" ht="15" spans="1:8">
      <c r="A538" s="19">
        <v>45102</v>
      </c>
      <c r="B538" s="20">
        <v>905</v>
      </c>
      <c r="C538" s="22">
        <v>-0.0011</v>
      </c>
      <c r="D538" s="33"/>
      <c r="E538" s="22"/>
      <c r="F538" s="22"/>
      <c r="G538" s="22"/>
      <c r="H538" s="25"/>
    </row>
    <row r="539" ht="15" spans="1:8">
      <c r="A539" s="19">
        <v>45103</v>
      </c>
      <c r="B539" s="26">
        <v>903</v>
      </c>
      <c r="C539" s="28">
        <v>-0.0022</v>
      </c>
      <c r="D539" s="33"/>
      <c r="E539" s="28"/>
      <c r="F539" s="28"/>
      <c r="G539" s="28"/>
      <c r="H539" s="30"/>
    </row>
    <row r="540" ht="15" spans="1:8">
      <c r="A540" s="19">
        <v>45104</v>
      </c>
      <c r="B540" s="20">
        <v>902</v>
      </c>
      <c r="C540" s="22">
        <v>-0.0011</v>
      </c>
      <c r="D540" s="33"/>
      <c r="E540" s="22"/>
      <c r="F540" s="22"/>
      <c r="G540" s="22"/>
      <c r="H540" s="25"/>
    </row>
    <row r="541" ht="15" spans="1:8">
      <c r="A541" s="19">
        <v>45105</v>
      </c>
      <c r="B541" s="26">
        <v>902</v>
      </c>
      <c r="C541" s="27">
        <v>0</v>
      </c>
      <c r="D541" s="33"/>
      <c r="E541" s="28"/>
      <c r="F541" s="28"/>
      <c r="G541" s="28"/>
      <c r="H541" s="30"/>
    </row>
    <row r="542" ht="15" spans="1:8">
      <c r="A542" s="19">
        <v>45106</v>
      </c>
      <c r="B542" s="20">
        <v>902</v>
      </c>
      <c r="C542" s="21">
        <v>0</v>
      </c>
      <c r="D542" s="33"/>
      <c r="E542" s="22"/>
      <c r="F542" s="22"/>
      <c r="G542" s="22"/>
      <c r="H542" s="25"/>
    </row>
    <row r="543" ht="15" spans="1:8">
      <c r="A543" s="19">
        <v>45107</v>
      </c>
      <c r="B543" s="26">
        <v>903</v>
      </c>
      <c r="C543" s="29">
        <v>0.0011</v>
      </c>
      <c r="D543" s="33"/>
      <c r="E543" s="28"/>
      <c r="F543" s="28"/>
      <c r="G543" s="28"/>
      <c r="H543" s="30"/>
    </row>
    <row r="544" ht="15" spans="1:8">
      <c r="A544" s="19">
        <v>45108</v>
      </c>
      <c r="B544" s="20">
        <v>903</v>
      </c>
      <c r="C544" s="21">
        <v>0</v>
      </c>
      <c r="D544" s="33"/>
      <c r="E544" s="22"/>
      <c r="F544" s="22"/>
      <c r="G544" s="22"/>
      <c r="H544" s="25"/>
    </row>
    <row r="545" ht="15" spans="1:8">
      <c r="A545" s="19">
        <v>45109</v>
      </c>
      <c r="B545" s="26">
        <v>903</v>
      </c>
      <c r="C545" s="27">
        <v>0</v>
      </c>
      <c r="D545" s="33"/>
      <c r="E545" s="28"/>
      <c r="F545" s="28"/>
      <c r="G545" s="28"/>
      <c r="H545" s="30"/>
    </row>
    <row r="546" ht="15" spans="1:8">
      <c r="A546" s="19">
        <v>45110</v>
      </c>
      <c r="B546" s="20">
        <v>906</v>
      </c>
      <c r="C546" s="24">
        <v>0.0033</v>
      </c>
      <c r="D546" s="33"/>
      <c r="E546" s="22"/>
      <c r="F546" s="22"/>
      <c r="G546" s="22"/>
      <c r="H546" s="25"/>
    </row>
    <row r="547" ht="15" spans="1:8">
      <c r="A547" s="19">
        <v>45111</v>
      </c>
      <c r="B547" s="26">
        <v>906</v>
      </c>
      <c r="C547" s="27">
        <v>0</v>
      </c>
      <c r="D547" s="33"/>
      <c r="E547" s="28"/>
      <c r="F547" s="28"/>
      <c r="G547" s="28"/>
      <c r="H547" s="30"/>
    </row>
    <row r="548" ht="15" spans="1:8">
      <c r="A548" s="19">
        <v>45112</v>
      </c>
      <c r="B548" s="20">
        <v>906</v>
      </c>
      <c r="C548" s="21">
        <v>0</v>
      </c>
      <c r="D548" s="33"/>
      <c r="E548" s="22"/>
      <c r="F548" s="22"/>
      <c r="G548" s="22"/>
      <c r="H548" s="25"/>
    </row>
    <row r="549" ht="15" spans="1:8">
      <c r="A549" s="19">
        <v>45113</v>
      </c>
      <c r="B549" s="26">
        <v>907</v>
      </c>
      <c r="C549" s="29">
        <v>0.0011</v>
      </c>
      <c r="D549" s="33"/>
      <c r="E549" s="28"/>
      <c r="F549" s="28"/>
      <c r="G549" s="28"/>
      <c r="H549" s="30"/>
    </row>
    <row r="550" ht="15" spans="1:8">
      <c r="A550" s="19">
        <v>45114</v>
      </c>
      <c r="B550" s="20">
        <v>906</v>
      </c>
      <c r="C550" s="22">
        <v>-0.0011</v>
      </c>
      <c r="D550" s="33"/>
      <c r="E550" s="22"/>
      <c r="F550" s="22"/>
      <c r="G550" s="22"/>
      <c r="H550" s="25"/>
    </row>
    <row r="551" ht="15" spans="1:8">
      <c r="A551" s="19">
        <v>45115</v>
      </c>
      <c r="B551" s="26">
        <v>907</v>
      </c>
      <c r="C551" s="29">
        <v>0.0011</v>
      </c>
      <c r="D551" s="33"/>
      <c r="E551" s="28"/>
      <c r="F551" s="28"/>
      <c r="G551" s="28"/>
      <c r="H551" s="30"/>
    </row>
    <row r="552" ht="15" spans="1:8">
      <c r="A552" s="19">
        <v>45116</v>
      </c>
      <c r="B552" s="20">
        <v>907</v>
      </c>
      <c r="C552" s="21">
        <v>0</v>
      </c>
      <c r="D552" s="33"/>
      <c r="E552" s="22"/>
      <c r="F552" s="22"/>
      <c r="G552" s="22"/>
      <c r="H552" s="25"/>
    </row>
    <row r="553" ht="15" spans="1:8">
      <c r="A553" s="19">
        <v>45117</v>
      </c>
      <c r="B553" s="26">
        <v>907</v>
      </c>
      <c r="C553" s="27">
        <v>0</v>
      </c>
      <c r="D553" s="33"/>
      <c r="E553" s="28"/>
      <c r="F553" s="28"/>
      <c r="G553" s="28"/>
      <c r="H553" s="30"/>
    </row>
    <row r="554" ht="15" spans="1:8">
      <c r="A554" s="19">
        <v>45118</v>
      </c>
      <c r="B554" s="20">
        <v>909</v>
      </c>
      <c r="C554" s="24">
        <v>0.0022</v>
      </c>
      <c r="D554" s="33"/>
      <c r="E554" s="22"/>
      <c r="F554" s="22"/>
      <c r="G554" s="22"/>
      <c r="H554" s="25"/>
    </row>
    <row r="555" ht="15" spans="1:8">
      <c r="A555" s="19">
        <v>45119</v>
      </c>
      <c r="B555" s="26">
        <v>911</v>
      </c>
      <c r="C555" s="29">
        <v>0.0022</v>
      </c>
      <c r="D555" s="33"/>
      <c r="E555" s="28"/>
      <c r="F555" s="28"/>
      <c r="G555" s="28"/>
      <c r="H555" s="30"/>
    </row>
    <row r="556" ht="15" spans="1:8">
      <c r="A556" s="19">
        <v>45120</v>
      </c>
      <c r="B556" s="20">
        <v>913</v>
      </c>
      <c r="C556" s="24">
        <v>0.0022</v>
      </c>
      <c r="D556" s="33"/>
      <c r="E556" s="22"/>
      <c r="F556" s="22"/>
      <c r="G556" s="22"/>
      <c r="H556" s="25"/>
    </row>
    <row r="557" ht="15" spans="1:8">
      <c r="A557" s="19">
        <v>45121</v>
      </c>
      <c r="B557" s="26">
        <v>916</v>
      </c>
      <c r="C557" s="29">
        <v>0.0033</v>
      </c>
      <c r="D557" s="33"/>
      <c r="E557" s="28"/>
      <c r="F557" s="28"/>
      <c r="G557" s="28"/>
      <c r="H557" s="30"/>
    </row>
    <row r="558" ht="15" spans="1:8">
      <c r="A558" s="19">
        <v>45122</v>
      </c>
      <c r="B558" s="20">
        <v>917</v>
      </c>
      <c r="C558" s="24">
        <v>0.0011</v>
      </c>
      <c r="D558" s="33"/>
      <c r="E558" s="22"/>
      <c r="F558" s="22"/>
      <c r="G558" s="22"/>
      <c r="H558" s="25"/>
    </row>
    <row r="559" ht="15" spans="1:8">
      <c r="A559" s="19">
        <v>45123</v>
      </c>
      <c r="B559" s="26">
        <v>917</v>
      </c>
      <c r="C559" s="27">
        <v>0</v>
      </c>
      <c r="D559" s="33"/>
      <c r="E559" s="28"/>
      <c r="F559" s="28"/>
      <c r="G559" s="28"/>
      <c r="H559" s="30"/>
    </row>
    <row r="560" ht="15" spans="1:8">
      <c r="A560" s="19">
        <v>45124</v>
      </c>
      <c r="B560" s="20">
        <v>917</v>
      </c>
      <c r="C560" s="21">
        <v>0</v>
      </c>
      <c r="D560" s="33"/>
      <c r="E560" s="22"/>
      <c r="F560" s="22"/>
      <c r="G560" s="22"/>
      <c r="H560" s="25"/>
    </row>
    <row r="561" ht="15" spans="1:8">
      <c r="A561" s="19">
        <v>45125</v>
      </c>
      <c r="B561" s="26">
        <v>918</v>
      </c>
      <c r="C561" s="29">
        <v>0.0011</v>
      </c>
      <c r="D561" s="33"/>
      <c r="E561" s="28"/>
      <c r="F561" s="28"/>
      <c r="G561" s="28"/>
      <c r="H561" s="30"/>
    </row>
    <row r="562" ht="15" spans="1:8">
      <c r="A562" s="19">
        <v>45126</v>
      </c>
      <c r="B562" s="20">
        <v>920</v>
      </c>
      <c r="C562" s="24">
        <v>0.0022</v>
      </c>
      <c r="D562" s="33"/>
      <c r="E562" s="22"/>
      <c r="F562" s="22"/>
      <c r="G562" s="22"/>
      <c r="H562" s="25"/>
    </row>
    <row r="563" ht="15" spans="1:8">
      <c r="A563" s="19">
        <v>45127</v>
      </c>
      <c r="B563" s="26">
        <v>922</v>
      </c>
      <c r="C563" s="29">
        <v>0.0022</v>
      </c>
      <c r="D563" s="33"/>
      <c r="E563" s="28"/>
      <c r="F563" s="28"/>
      <c r="G563" s="28"/>
      <c r="H563" s="30"/>
    </row>
    <row r="564" ht="15" spans="1:8">
      <c r="A564" s="19">
        <v>45128</v>
      </c>
      <c r="B564" s="20">
        <v>923</v>
      </c>
      <c r="C564" s="24">
        <v>0.0011</v>
      </c>
      <c r="D564" s="33"/>
      <c r="E564" s="22"/>
      <c r="F564" s="22"/>
      <c r="G564" s="22"/>
      <c r="H564" s="25"/>
    </row>
    <row r="565" ht="15" spans="1:8">
      <c r="A565" s="19">
        <v>45129</v>
      </c>
      <c r="B565" s="26">
        <v>923</v>
      </c>
      <c r="C565" s="27">
        <v>0</v>
      </c>
      <c r="D565" s="33"/>
      <c r="E565" s="28"/>
      <c r="F565" s="28"/>
      <c r="G565" s="28"/>
      <c r="H565" s="30"/>
    </row>
    <row r="566" ht="15" spans="1:8">
      <c r="A566" s="19">
        <v>45130</v>
      </c>
      <c r="B566" s="20">
        <v>923</v>
      </c>
      <c r="C566" s="21">
        <v>0</v>
      </c>
      <c r="D566" s="33"/>
      <c r="E566" s="22"/>
      <c r="F566" s="22"/>
      <c r="G566" s="22"/>
      <c r="H566" s="25"/>
    </row>
    <row r="567" ht="15" spans="1:8">
      <c r="A567" s="19">
        <v>45131</v>
      </c>
      <c r="B567" s="26">
        <v>924</v>
      </c>
      <c r="C567" s="29">
        <v>0.0011</v>
      </c>
      <c r="D567" s="33"/>
      <c r="E567" s="28"/>
      <c r="F567" s="28"/>
      <c r="G567" s="28"/>
      <c r="H567" s="30"/>
    </row>
    <row r="568" ht="15" spans="1:8">
      <c r="A568" s="19">
        <v>45132</v>
      </c>
      <c r="B568" s="20">
        <v>926</v>
      </c>
      <c r="C568" s="24">
        <v>0.0022</v>
      </c>
      <c r="D568" s="33"/>
      <c r="E568" s="22"/>
      <c r="F568" s="22"/>
      <c r="G568" s="22"/>
      <c r="H568" s="25"/>
    </row>
    <row r="569" ht="15" spans="1:8">
      <c r="A569" s="19">
        <v>45133</v>
      </c>
      <c r="B569" s="26">
        <v>929</v>
      </c>
      <c r="C569" s="29">
        <v>0.0032</v>
      </c>
      <c r="D569" s="33"/>
      <c r="E569" s="28"/>
      <c r="F569" s="28"/>
      <c r="G569" s="28"/>
      <c r="H569" s="30"/>
    </row>
    <row r="570" ht="15" spans="1:8">
      <c r="A570" s="19">
        <v>45134</v>
      </c>
      <c r="B570" s="20">
        <v>932</v>
      </c>
      <c r="C570" s="24">
        <v>0.0032</v>
      </c>
      <c r="D570" s="33"/>
      <c r="E570" s="22"/>
      <c r="F570" s="22"/>
      <c r="G570" s="22"/>
      <c r="H570" s="25"/>
    </row>
    <row r="571" ht="15" spans="1:8">
      <c r="A571" s="19">
        <v>45135</v>
      </c>
      <c r="B571" s="26">
        <v>933</v>
      </c>
      <c r="C571" s="29">
        <v>0.0011</v>
      </c>
      <c r="D571" s="33"/>
      <c r="E571" s="28"/>
      <c r="F571" s="28"/>
      <c r="G571" s="28"/>
      <c r="H571" s="30"/>
    </row>
    <row r="572" ht="15" spans="1:8">
      <c r="A572" s="19">
        <v>45136</v>
      </c>
      <c r="B572" s="20">
        <v>933</v>
      </c>
      <c r="C572" s="21">
        <v>0</v>
      </c>
      <c r="D572" s="33"/>
      <c r="E572" s="22"/>
      <c r="F572" s="22"/>
      <c r="G572" s="22"/>
      <c r="H572" s="25"/>
    </row>
    <row r="573" ht="15" spans="1:8">
      <c r="A573" s="19">
        <v>45137</v>
      </c>
      <c r="B573" s="26">
        <v>933</v>
      </c>
      <c r="C573" s="27">
        <v>0</v>
      </c>
      <c r="D573" s="33"/>
      <c r="E573" s="28"/>
      <c r="F573" s="28"/>
      <c r="G573" s="28"/>
      <c r="H573" s="30"/>
    </row>
    <row r="574" ht="15" spans="1:8">
      <c r="A574" s="19">
        <v>45138</v>
      </c>
      <c r="B574" s="20">
        <v>934</v>
      </c>
      <c r="C574" s="24">
        <v>0.0011</v>
      </c>
      <c r="D574" s="33"/>
      <c r="E574" s="22"/>
      <c r="F574" s="22"/>
      <c r="G574" s="22"/>
      <c r="H574" s="25"/>
    </row>
    <row r="575" ht="15" spans="1:8">
      <c r="A575" s="19">
        <v>45139</v>
      </c>
      <c r="B575" s="26">
        <v>938</v>
      </c>
      <c r="C575" s="29">
        <v>0.0043</v>
      </c>
      <c r="D575" s="33"/>
      <c r="E575" s="28"/>
      <c r="F575" s="28"/>
      <c r="G575" s="28"/>
      <c r="H575" s="30"/>
    </row>
    <row r="576" ht="15" spans="1:8">
      <c r="A576" s="19">
        <v>45140</v>
      </c>
      <c r="B576" s="20">
        <v>940</v>
      </c>
      <c r="C576" s="24">
        <v>0.0021</v>
      </c>
      <c r="D576" s="33"/>
      <c r="E576" s="22"/>
      <c r="F576" s="22"/>
      <c r="G576" s="22"/>
      <c r="H576" s="25"/>
    </row>
    <row r="577" ht="15" spans="1:8">
      <c r="A577" s="19">
        <v>45141</v>
      </c>
      <c r="B577" s="26">
        <v>941</v>
      </c>
      <c r="C577" s="29">
        <v>0.0011</v>
      </c>
      <c r="D577" s="33"/>
      <c r="E577" s="28"/>
      <c r="F577" s="28"/>
      <c r="G577" s="28"/>
      <c r="H577" s="30"/>
    </row>
    <row r="578" ht="15" spans="1:8">
      <c r="A578" s="19">
        <v>45142</v>
      </c>
      <c r="B578" s="20">
        <v>944</v>
      </c>
      <c r="C578" s="24">
        <v>0.0032</v>
      </c>
      <c r="D578" s="33"/>
      <c r="E578" s="22"/>
      <c r="F578" s="22"/>
      <c r="G578" s="22"/>
      <c r="H578" s="25"/>
    </row>
    <row r="579" ht="15" spans="1:8">
      <c r="A579" s="19">
        <v>45143</v>
      </c>
      <c r="B579" s="26">
        <v>944</v>
      </c>
      <c r="C579" s="27">
        <v>0</v>
      </c>
      <c r="D579" s="33"/>
      <c r="E579" s="28"/>
      <c r="F579" s="28"/>
      <c r="G579" s="28"/>
      <c r="H579" s="30"/>
    </row>
    <row r="580" ht="15" spans="1:8">
      <c r="A580" s="19">
        <v>45144</v>
      </c>
      <c r="B580" s="20">
        <v>943</v>
      </c>
      <c r="C580" s="22">
        <v>-0.0011</v>
      </c>
      <c r="D580" s="33"/>
      <c r="E580" s="22"/>
      <c r="F580" s="22"/>
      <c r="G580" s="22"/>
      <c r="H580" s="25"/>
    </row>
    <row r="581" ht="15" spans="1:8">
      <c r="A581" s="19">
        <v>45145</v>
      </c>
      <c r="B581" s="26">
        <v>946</v>
      </c>
      <c r="C581" s="29">
        <v>0.0032</v>
      </c>
      <c r="D581" s="33"/>
      <c r="E581" s="28"/>
      <c r="F581" s="28"/>
      <c r="G581" s="28"/>
      <c r="H581" s="30"/>
    </row>
    <row r="582" ht="15" spans="1:8">
      <c r="A582" s="19">
        <v>45146</v>
      </c>
      <c r="B582" s="20">
        <v>947</v>
      </c>
      <c r="C582" s="24">
        <v>0.0011</v>
      </c>
      <c r="D582" s="33"/>
      <c r="E582" s="22"/>
      <c r="F582" s="22"/>
      <c r="G582" s="22"/>
      <c r="H582" s="25"/>
    </row>
    <row r="583" ht="15" spans="1:8">
      <c r="A583" s="19">
        <v>45147</v>
      </c>
      <c r="B583" s="26">
        <v>947</v>
      </c>
      <c r="C583" s="27">
        <v>0</v>
      </c>
      <c r="D583" s="33"/>
      <c r="E583" s="28"/>
      <c r="F583" s="28"/>
      <c r="G583" s="28"/>
      <c r="H583" s="30"/>
    </row>
    <row r="584" ht="15" spans="1:8">
      <c r="A584" s="19">
        <v>45148</v>
      </c>
      <c r="B584" s="20">
        <v>948</v>
      </c>
      <c r="C584" s="24">
        <v>0.0011</v>
      </c>
      <c r="D584" s="33"/>
      <c r="E584" s="22"/>
      <c r="F584" s="22"/>
      <c r="G584" s="22"/>
      <c r="H584" s="25"/>
    </row>
    <row r="585" ht="15" spans="1:8">
      <c r="A585" s="19">
        <v>45149</v>
      </c>
      <c r="B585" s="26">
        <v>950</v>
      </c>
      <c r="C585" s="29">
        <v>0.0021</v>
      </c>
      <c r="D585" s="46"/>
      <c r="E585" s="28"/>
      <c r="F585" s="28"/>
      <c r="G585" s="28"/>
      <c r="H585" s="30"/>
    </row>
    <row r="586" ht="15" spans="1:8">
      <c r="A586" s="19">
        <v>45150</v>
      </c>
      <c r="B586" s="20">
        <v>950</v>
      </c>
      <c r="C586" s="21">
        <v>0</v>
      </c>
      <c r="D586" s="23"/>
      <c r="E586" s="22"/>
      <c r="F586" s="22"/>
      <c r="G586" s="22"/>
      <c r="H586" s="25"/>
    </row>
    <row r="587" ht="15" spans="1:8">
      <c r="A587" s="19">
        <v>45151</v>
      </c>
      <c r="B587" s="26">
        <v>950</v>
      </c>
      <c r="C587" s="27">
        <v>0</v>
      </c>
      <c r="D587" s="23"/>
      <c r="E587" s="28"/>
      <c r="F587" s="28"/>
      <c r="G587" s="28"/>
      <c r="H587" s="30"/>
    </row>
    <row r="588" ht="15" spans="1:8">
      <c r="A588" s="19">
        <v>45152</v>
      </c>
      <c r="B588" s="20">
        <v>951</v>
      </c>
      <c r="C588" s="24">
        <v>0.0011</v>
      </c>
      <c r="D588" s="23"/>
      <c r="E588" s="22"/>
      <c r="F588" s="22"/>
      <c r="G588" s="22"/>
      <c r="H588" s="25"/>
    </row>
    <row r="589" ht="15" spans="1:8">
      <c r="A589" s="19">
        <v>45153</v>
      </c>
      <c r="B589" s="26">
        <v>952</v>
      </c>
      <c r="C589" s="29">
        <v>0.0011</v>
      </c>
      <c r="D589" s="23"/>
      <c r="E589" s="28"/>
      <c r="F589" s="28"/>
      <c r="G589" s="28"/>
      <c r="H589" s="30"/>
    </row>
    <row r="590" ht="15" spans="1:8">
      <c r="A590" s="19">
        <v>45154</v>
      </c>
      <c r="B590" s="20">
        <v>954</v>
      </c>
      <c r="C590" s="24">
        <v>0.0021</v>
      </c>
      <c r="D590" s="23"/>
      <c r="E590" s="22"/>
      <c r="F590" s="22"/>
      <c r="G590" s="22"/>
      <c r="H590" s="25"/>
    </row>
    <row r="591" ht="15" spans="1:8">
      <c r="A591" s="19">
        <v>45155</v>
      </c>
      <c r="B591" s="26">
        <v>954</v>
      </c>
      <c r="C591" s="27">
        <v>0</v>
      </c>
      <c r="D591" s="23"/>
      <c r="E591" s="28"/>
      <c r="F591" s="28"/>
      <c r="G591" s="28"/>
      <c r="H591" s="30"/>
    </row>
    <row r="592" ht="15" spans="1:8">
      <c r="A592" s="19">
        <v>45156</v>
      </c>
      <c r="B592" s="20">
        <v>957</v>
      </c>
      <c r="C592" s="24">
        <v>0.0031</v>
      </c>
      <c r="D592" s="23"/>
      <c r="E592" s="22"/>
      <c r="F592" s="22"/>
      <c r="G592" s="22"/>
      <c r="H592" s="25"/>
    </row>
    <row r="593" ht="15" spans="1:8">
      <c r="A593" s="19">
        <v>45157</v>
      </c>
      <c r="B593" s="26">
        <v>957</v>
      </c>
      <c r="C593" s="27">
        <v>0</v>
      </c>
      <c r="D593" s="23"/>
      <c r="E593" s="28"/>
      <c r="F593" s="28"/>
      <c r="G593" s="28"/>
      <c r="H593" s="30"/>
    </row>
    <row r="594" ht="15" spans="1:8">
      <c r="A594" s="19">
        <v>45158</v>
      </c>
      <c r="B594" s="20">
        <v>957</v>
      </c>
      <c r="C594" s="21">
        <v>0</v>
      </c>
      <c r="D594" s="23"/>
      <c r="E594" s="22"/>
      <c r="F594" s="22"/>
      <c r="G594" s="22"/>
      <c r="H594" s="25"/>
    </row>
    <row r="595" ht="15" spans="1:8">
      <c r="A595" s="19">
        <v>45159</v>
      </c>
      <c r="B595" s="26">
        <v>960</v>
      </c>
      <c r="C595" s="29">
        <v>0.0031</v>
      </c>
      <c r="D595" s="23"/>
      <c r="E595" s="28"/>
      <c r="F595" s="28"/>
      <c r="G595" s="28"/>
      <c r="H595" s="30"/>
    </row>
    <row r="596" ht="15" spans="1:8">
      <c r="A596" s="19">
        <v>45160</v>
      </c>
      <c r="B596" s="20">
        <v>962</v>
      </c>
      <c r="C596" s="24">
        <v>0.0021</v>
      </c>
      <c r="D596" s="23"/>
      <c r="E596" s="22"/>
      <c r="F596" s="22"/>
      <c r="G596" s="22"/>
      <c r="H596" s="25"/>
    </row>
    <row r="597" ht="15" spans="1:8">
      <c r="A597" s="19">
        <v>45161</v>
      </c>
      <c r="B597" s="26">
        <v>964</v>
      </c>
      <c r="C597" s="29">
        <v>0.0021</v>
      </c>
      <c r="D597" s="23"/>
      <c r="E597" s="28"/>
      <c r="F597" s="28"/>
      <c r="G597" s="28"/>
      <c r="H597" s="30"/>
    </row>
    <row r="598" ht="15" spans="1:8">
      <c r="A598" s="19">
        <v>45162</v>
      </c>
      <c r="B598" s="20">
        <v>966</v>
      </c>
      <c r="C598" s="24">
        <v>0.0021</v>
      </c>
      <c r="D598" s="23"/>
      <c r="E598" s="22"/>
      <c r="F598" s="22"/>
      <c r="G598" s="22"/>
      <c r="H598" s="25"/>
    </row>
    <row r="599" ht="15" spans="1:8">
      <c r="A599" s="19">
        <v>45163</v>
      </c>
      <c r="B599" s="26">
        <v>968</v>
      </c>
      <c r="C599" s="29">
        <v>0.0021</v>
      </c>
      <c r="D599" s="23"/>
      <c r="E599" s="28"/>
      <c r="F599" s="28"/>
      <c r="G599" s="28"/>
      <c r="H599" s="30"/>
    </row>
    <row r="600" ht="15" spans="1:8">
      <c r="A600" s="19">
        <v>45164</v>
      </c>
      <c r="B600" s="20">
        <v>968</v>
      </c>
      <c r="C600" s="21">
        <v>0</v>
      </c>
      <c r="D600" s="23"/>
      <c r="E600" s="22"/>
      <c r="F600" s="22"/>
      <c r="G600" s="22"/>
      <c r="H600" s="25"/>
    </row>
    <row r="601" ht="15" spans="1:8">
      <c r="A601" s="19">
        <v>45165</v>
      </c>
      <c r="B601" s="26">
        <v>968</v>
      </c>
      <c r="C601" s="27">
        <v>0</v>
      </c>
      <c r="D601" s="23"/>
      <c r="E601" s="28"/>
      <c r="F601" s="28"/>
      <c r="G601" s="28"/>
      <c r="H601" s="30"/>
    </row>
    <row r="602" ht="15" spans="1:8">
      <c r="A602" s="19">
        <v>45166</v>
      </c>
      <c r="B602" s="20">
        <v>974</v>
      </c>
      <c r="C602" s="24">
        <v>0.0062</v>
      </c>
      <c r="D602" s="23"/>
      <c r="E602" s="22"/>
      <c r="F602" s="22"/>
      <c r="G602" s="22"/>
      <c r="H602" s="25"/>
    </row>
    <row r="603" ht="15" spans="1:8">
      <c r="A603" s="19">
        <v>45167</v>
      </c>
      <c r="B603" s="26">
        <v>974</v>
      </c>
      <c r="C603" s="27">
        <v>0</v>
      </c>
      <c r="D603" s="23"/>
      <c r="E603" s="28"/>
      <c r="F603" s="28"/>
      <c r="G603" s="28"/>
      <c r="H603" s="30"/>
    </row>
    <row r="604" ht="15" spans="1:8">
      <c r="A604" s="19">
        <v>45168</v>
      </c>
      <c r="B604" s="20">
        <v>975</v>
      </c>
      <c r="C604" s="24">
        <v>0.001</v>
      </c>
      <c r="D604" s="23"/>
      <c r="E604" s="22"/>
      <c r="F604" s="22"/>
      <c r="G604" s="22"/>
      <c r="H604" s="25"/>
    </row>
    <row r="605" ht="15" spans="1:8">
      <c r="A605" s="19">
        <v>45169</v>
      </c>
      <c r="B605" s="26">
        <v>978</v>
      </c>
      <c r="C605" s="29">
        <v>0.0031</v>
      </c>
      <c r="D605" s="23"/>
      <c r="E605" s="28"/>
      <c r="F605" s="28"/>
      <c r="G605" s="28"/>
      <c r="H605" s="30"/>
    </row>
    <row r="606" ht="15" spans="1:8">
      <c r="A606" s="19">
        <v>45170</v>
      </c>
      <c r="B606" s="20">
        <v>982</v>
      </c>
      <c r="C606" s="24">
        <v>0.0041</v>
      </c>
      <c r="D606" s="23"/>
      <c r="E606" s="22"/>
      <c r="F606" s="22"/>
      <c r="G606" s="22"/>
      <c r="H606" s="25"/>
    </row>
    <row r="607" ht="15" spans="1:8">
      <c r="A607" s="19">
        <v>45171</v>
      </c>
      <c r="B607" s="26">
        <v>982</v>
      </c>
      <c r="C607" s="27">
        <v>0</v>
      </c>
      <c r="D607" s="23"/>
      <c r="E607" s="28"/>
      <c r="F607" s="28"/>
      <c r="G607" s="28"/>
      <c r="H607" s="30"/>
    </row>
    <row r="608" ht="15" spans="1:8">
      <c r="A608" s="19">
        <v>45172</v>
      </c>
      <c r="B608" s="20">
        <v>982</v>
      </c>
      <c r="C608" s="21">
        <v>0</v>
      </c>
      <c r="D608" s="23"/>
      <c r="E608" s="22"/>
      <c r="F608" s="22"/>
      <c r="G608" s="22"/>
      <c r="H608" s="25"/>
    </row>
    <row r="609" ht="15" spans="1:8">
      <c r="A609" s="19">
        <v>45173</v>
      </c>
      <c r="B609" s="26">
        <v>986</v>
      </c>
      <c r="C609" s="29">
        <v>0.0041</v>
      </c>
      <c r="D609" s="23"/>
      <c r="E609" s="28"/>
      <c r="F609" s="28"/>
      <c r="G609" s="28"/>
      <c r="H609" s="30"/>
    </row>
    <row r="610" ht="15" spans="1:8">
      <c r="A610" s="19">
        <v>45174</v>
      </c>
      <c r="B610" s="20">
        <v>988</v>
      </c>
      <c r="C610" s="24">
        <v>0.002</v>
      </c>
      <c r="D610" s="23"/>
      <c r="E610" s="22"/>
      <c r="F610" s="22"/>
      <c r="G610" s="22"/>
      <c r="H610" s="25"/>
    </row>
    <row r="611" ht="15" spans="1:8">
      <c r="A611" s="19">
        <v>45175</v>
      </c>
      <c r="B611" s="26">
        <v>991</v>
      </c>
      <c r="C611" s="29">
        <v>0.003</v>
      </c>
      <c r="D611" s="23"/>
      <c r="E611" s="28"/>
      <c r="F611" s="28"/>
      <c r="G611" s="28"/>
      <c r="H611" s="30"/>
    </row>
    <row r="612" ht="15" spans="1:8">
      <c r="A612" s="19">
        <v>45176</v>
      </c>
      <c r="B612" s="20">
        <v>994</v>
      </c>
      <c r="C612" s="24">
        <v>0.003</v>
      </c>
      <c r="D612" s="23"/>
      <c r="E612" s="22"/>
      <c r="F612" s="22"/>
      <c r="G612" s="22"/>
      <c r="H612" s="25"/>
    </row>
    <row r="613" ht="15" spans="1:8">
      <c r="A613" s="19">
        <v>45177</v>
      </c>
      <c r="B613" s="26">
        <v>995</v>
      </c>
      <c r="C613" s="29">
        <v>0.001</v>
      </c>
      <c r="D613" s="23"/>
      <c r="E613" s="28"/>
      <c r="F613" s="28"/>
      <c r="G613" s="28"/>
      <c r="H613" s="30"/>
    </row>
    <row r="614" ht="15" spans="1:8">
      <c r="A614" s="19">
        <v>45178</v>
      </c>
      <c r="B614" s="20">
        <v>995</v>
      </c>
      <c r="C614" s="21">
        <v>0</v>
      </c>
      <c r="D614" s="23"/>
      <c r="E614" s="22"/>
      <c r="F614" s="22"/>
      <c r="G614" s="22"/>
      <c r="H614" s="25"/>
    </row>
    <row r="615" ht="15" spans="1:8">
      <c r="A615" s="35">
        <v>45179</v>
      </c>
      <c r="B615" s="36">
        <v>995</v>
      </c>
      <c r="C615" s="37">
        <v>0</v>
      </c>
      <c r="D615" s="39"/>
      <c r="E615" s="38"/>
      <c r="F615" s="38"/>
      <c r="G615" s="38"/>
      <c r="H615" s="41"/>
    </row>
    <row r="616" ht="15" spans="1:8">
      <c r="A616" s="12">
        <v>45180</v>
      </c>
      <c r="B616" s="42">
        <v>997</v>
      </c>
      <c r="C616" s="44">
        <v>0.002</v>
      </c>
      <c r="D616" s="44"/>
      <c r="E616" s="49"/>
      <c r="F616" s="43"/>
      <c r="G616" s="43"/>
      <c r="H616" s="45"/>
    </row>
    <row r="617" ht="15" spans="1:8">
      <c r="A617" s="19">
        <v>45181</v>
      </c>
      <c r="B617" s="26">
        <v>1000</v>
      </c>
      <c r="C617" s="29">
        <v>0.003</v>
      </c>
      <c r="D617" s="29"/>
      <c r="E617" s="33"/>
      <c r="F617" s="28"/>
      <c r="G617" s="28"/>
      <c r="H617" s="30"/>
    </row>
    <row r="618" ht="15" spans="1:8">
      <c r="A618" s="19">
        <v>45182</v>
      </c>
      <c r="B618" s="20">
        <v>1002</v>
      </c>
      <c r="C618" s="24">
        <v>0.002</v>
      </c>
      <c r="D618" s="24"/>
      <c r="E618" s="33"/>
      <c r="F618" s="22"/>
      <c r="G618" s="22"/>
      <c r="H618" s="25"/>
    </row>
    <row r="619" ht="15" spans="1:8">
      <c r="A619" s="19">
        <v>45183</v>
      </c>
      <c r="B619" s="26">
        <v>1005</v>
      </c>
      <c r="C619" s="29">
        <v>0.003</v>
      </c>
      <c r="D619" s="29"/>
      <c r="E619" s="33"/>
      <c r="F619" s="28"/>
      <c r="G619" s="28"/>
      <c r="H619" s="30"/>
    </row>
    <row r="620" ht="15" spans="1:8">
      <c r="A620" s="19">
        <v>45184</v>
      </c>
      <c r="B620" s="20">
        <v>1008</v>
      </c>
      <c r="C620" s="24">
        <v>0.003</v>
      </c>
      <c r="D620" s="24"/>
      <c r="E620" s="46"/>
      <c r="F620" s="22"/>
      <c r="G620" s="22"/>
      <c r="H620" s="25"/>
    </row>
    <row r="621" ht="15" spans="1:8">
      <c r="A621" s="19">
        <v>45185</v>
      </c>
      <c r="B621" s="26">
        <v>1008</v>
      </c>
      <c r="C621" s="27">
        <v>0</v>
      </c>
      <c r="D621" s="29"/>
      <c r="E621" s="23"/>
      <c r="F621" s="28"/>
      <c r="G621" s="28"/>
      <c r="H621" s="30"/>
    </row>
    <row r="622" ht="15" spans="1:8">
      <c r="A622" s="19">
        <v>45186</v>
      </c>
      <c r="B622" s="20">
        <v>1008</v>
      </c>
      <c r="C622" s="21">
        <v>0</v>
      </c>
      <c r="D622" s="24"/>
      <c r="E622" s="23"/>
      <c r="F622" s="22"/>
      <c r="G622" s="22"/>
      <c r="H622" s="25"/>
    </row>
    <row r="623" ht="15" spans="1:8">
      <c r="A623" s="19">
        <v>45187</v>
      </c>
      <c r="B623" s="26">
        <v>1010</v>
      </c>
      <c r="C623" s="29">
        <v>0.002</v>
      </c>
      <c r="D623" s="29"/>
      <c r="E623" s="23"/>
      <c r="F623" s="28"/>
      <c r="G623" s="28"/>
      <c r="H623" s="30"/>
    </row>
    <row r="624" ht="15" spans="1:8">
      <c r="A624" s="19">
        <v>45188</v>
      </c>
      <c r="B624" s="20">
        <v>1011</v>
      </c>
      <c r="C624" s="24">
        <v>0.001</v>
      </c>
      <c r="D624" s="24"/>
      <c r="E624" s="23"/>
      <c r="F624" s="22"/>
      <c r="G624" s="22"/>
      <c r="H624" s="25"/>
    </row>
    <row r="625" ht="15" spans="1:8">
      <c r="A625" s="19">
        <v>45189</v>
      </c>
      <c r="B625" s="26">
        <v>1012</v>
      </c>
      <c r="C625" s="29">
        <v>0.001</v>
      </c>
      <c r="D625" s="29"/>
      <c r="E625" s="23"/>
      <c r="F625" s="28"/>
      <c r="G625" s="28"/>
      <c r="H625" s="30"/>
    </row>
    <row r="626" ht="15" spans="1:8">
      <c r="A626" s="19">
        <v>45190</v>
      </c>
      <c r="B626" s="20">
        <v>1011</v>
      </c>
      <c r="C626" s="22">
        <v>-0.001</v>
      </c>
      <c r="D626" s="24"/>
      <c r="E626" s="23"/>
      <c r="F626" s="22"/>
      <c r="G626" s="22"/>
      <c r="H626" s="25"/>
    </row>
    <row r="627" ht="15" spans="1:8">
      <c r="A627" s="19">
        <v>45191</v>
      </c>
      <c r="B627" s="26">
        <v>1011</v>
      </c>
      <c r="C627" s="27">
        <v>0</v>
      </c>
      <c r="D627" s="29"/>
      <c r="E627" s="23"/>
      <c r="F627" s="28"/>
      <c r="G627" s="28"/>
      <c r="H627" s="30"/>
    </row>
    <row r="628" ht="15" spans="1:8">
      <c r="A628" s="19">
        <v>45192</v>
      </c>
      <c r="B628" s="20">
        <v>1011</v>
      </c>
      <c r="C628" s="21">
        <v>0</v>
      </c>
      <c r="D628" s="24"/>
      <c r="E628" s="23"/>
      <c r="F628" s="22"/>
      <c r="G628" s="22"/>
      <c r="H628" s="25"/>
    </row>
    <row r="629" ht="15" spans="1:8">
      <c r="A629" s="19">
        <v>45193</v>
      </c>
      <c r="B629" s="26">
        <v>1011</v>
      </c>
      <c r="C629" s="27">
        <v>0</v>
      </c>
      <c r="D629" s="29"/>
      <c r="E629" s="23"/>
      <c r="F629" s="28"/>
      <c r="G629" s="28"/>
      <c r="H629" s="30"/>
    </row>
    <row r="630" ht="15" spans="1:8">
      <c r="A630" s="19">
        <v>45194</v>
      </c>
      <c r="B630" s="20">
        <v>1010</v>
      </c>
      <c r="C630" s="22">
        <v>-0.001</v>
      </c>
      <c r="D630" s="24"/>
      <c r="E630" s="23"/>
      <c r="F630" s="22"/>
      <c r="G630" s="22"/>
      <c r="H630" s="25"/>
    </row>
    <row r="631" ht="15" spans="1:8">
      <c r="A631" s="19">
        <v>45195</v>
      </c>
      <c r="B631" s="26">
        <v>1009</v>
      </c>
      <c r="C631" s="28">
        <v>-0.001</v>
      </c>
      <c r="D631" s="29"/>
      <c r="E631" s="23"/>
      <c r="F631" s="28"/>
      <c r="G631" s="28"/>
      <c r="H631" s="30"/>
    </row>
    <row r="632" ht="15" spans="1:8">
      <c r="A632" s="31">
        <v>45196</v>
      </c>
      <c r="B632" s="32">
        <v>1008</v>
      </c>
      <c r="C632" s="33">
        <v>-0.001</v>
      </c>
      <c r="D632" s="23"/>
      <c r="E632" s="23"/>
      <c r="F632" s="33"/>
      <c r="G632" s="33"/>
      <c r="H632" s="34"/>
    </row>
    <row r="633" ht="15" spans="1:8">
      <c r="A633" s="19">
        <v>45197</v>
      </c>
      <c r="B633" s="26">
        <v>1009</v>
      </c>
      <c r="C633" s="29">
        <v>0.001</v>
      </c>
      <c r="D633" s="29"/>
      <c r="E633" s="23"/>
      <c r="F633" s="28"/>
      <c r="G633" s="28"/>
      <c r="H633" s="30"/>
    </row>
    <row r="634" ht="15" spans="1:8">
      <c r="A634" s="19">
        <v>45198</v>
      </c>
      <c r="B634" s="20">
        <v>1009</v>
      </c>
      <c r="C634" s="21">
        <v>0</v>
      </c>
      <c r="D634" s="24"/>
      <c r="E634" s="23"/>
      <c r="F634" s="22"/>
      <c r="G634" s="22"/>
      <c r="H634" s="25"/>
    </row>
    <row r="635" ht="15" spans="1:8">
      <c r="A635" s="19">
        <v>45199</v>
      </c>
      <c r="B635" s="26">
        <v>1009</v>
      </c>
      <c r="C635" s="27">
        <v>0</v>
      </c>
      <c r="D635" s="29"/>
      <c r="E635" s="23"/>
      <c r="F635" s="28"/>
      <c r="G635" s="28"/>
      <c r="H635" s="30"/>
    </row>
    <row r="636" ht="15" spans="1:8">
      <c r="A636" s="19">
        <v>45200</v>
      </c>
      <c r="B636" s="20">
        <v>1009</v>
      </c>
      <c r="C636" s="21">
        <v>0</v>
      </c>
      <c r="D636" s="24"/>
      <c r="E636" s="23"/>
      <c r="F636" s="22"/>
      <c r="G636" s="22"/>
      <c r="H636" s="25"/>
    </row>
    <row r="637" ht="15" spans="1:8">
      <c r="A637" s="19">
        <v>45201</v>
      </c>
      <c r="B637" s="26">
        <v>1009</v>
      </c>
      <c r="C637" s="27">
        <v>0</v>
      </c>
      <c r="D637" s="29"/>
      <c r="E637" s="23"/>
      <c r="F637" s="28"/>
      <c r="G637" s="28"/>
      <c r="H637" s="30"/>
    </row>
    <row r="638" ht="15" spans="1:8">
      <c r="A638" s="19">
        <v>45202</v>
      </c>
      <c r="B638" s="20">
        <v>1009</v>
      </c>
      <c r="C638" s="21">
        <v>0</v>
      </c>
      <c r="D638" s="24"/>
      <c r="E638" s="23"/>
      <c r="F638" s="22"/>
      <c r="G638" s="22"/>
      <c r="H638" s="25"/>
    </row>
    <row r="639" ht="15" spans="1:8">
      <c r="A639" s="19">
        <v>45203</v>
      </c>
      <c r="B639" s="26">
        <v>1009</v>
      </c>
      <c r="C639" s="27">
        <v>0</v>
      </c>
      <c r="D639" s="29"/>
      <c r="E639" s="23"/>
      <c r="F639" s="28"/>
      <c r="G639" s="28"/>
      <c r="H639" s="30"/>
    </row>
    <row r="640" ht="15" spans="1:8">
      <c r="A640" s="19">
        <v>45204</v>
      </c>
      <c r="B640" s="20">
        <v>1009</v>
      </c>
      <c r="C640" s="21">
        <v>0</v>
      </c>
      <c r="D640" s="24"/>
      <c r="E640" s="23"/>
      <c r="F640" s="22"/>
      <c r="G640" s="22"/>
      <c r="H640" s="25"/>
    </row>
    <row r="641" ht="15" spans="1:8">
      <c r="A641" s="19">
        <v>45205</v>
      </c>
      <c r="B641" s="26">
        <v>1009</v>
      </c>
      <c r="C641" s="27">
        <v>0</v>
      </c>
      <c r="D641" s="29"/>
      <c r="E641" s="23"/>
      <c r="F641" s="28"/>
      <c r="G641" s="28"/>
      <c r="H641" s="30"/>
    </row>
    <row r="642" ht="15" spans="1:8">
      <c r="A642" s="19">
        <v>45206</v>
      </c>
      <c r="B642" s="20">
        <v>1006</v>
      </c>
      <c r="C642" s="22">
        <v>-0.003</v>
      </c>
      <c r="D642" s="24"/>
      <c r="E642" s="23"/>
      <c r="F642" s="22"/>
      <c r="G642" s="22"/>
      <c r="H642" s="25"/>
    </row>
    <row r="643" ht="15" spans="1:8">
      <c r="A643" s="19">
        <v>45207</v>
      </c>
      <c r="B643" s="26">
        <v>1006</v>
      </c>
      <c r="C643" s="27">
        <v>0</v>
      </c>
      <c r="D643" s="29"/>
      <c r="E643" s="23"/>
      <c r="F643" s="28"/>
      <c r="G643" s="28"/>
      <c r="H643" s="30"/>
    </row>
    <row r="644" ht="15" spans="1:8">
      <c r="A644" s="19">
        <v>45208</v>
      </c>
      <c r="B644" s="20">
        <v>1004</v>
      </c>
      <c r="C644" s="22">
        <v>-0.002</v>
      </c>
      <c r="D644" s="24"/>
      <c r="E644" s="23"/>
      <c r="F644" s="22"/>
      <c r="G644" s="22"/>
      <c r="H644" s="25"/>
    </row>
    <row r="645" ht="15" spans="1:8">
      <c r="A645" s="19">
        <v>45209</v>
      </c>
      <c r="B645" s="26">
        <v>1002</v>
      </c>
      <c r="C645" s="28">
        <v>-0.002</v>
      </c>
      <c r="D645" s="29"/>
      <c r="E645" s="23"/>
      <c r="F645" s="28"/>
      <c r="G645" s="28"/>
      <c r="H645" s="30"/>
    </row>
    <row r="646" ht="15" spans="1:8">
      <c r="A646" s="19">
        <v>45210</v>
      </c>
      <c r="B646" s="20">
        <v>999</v>
      </c>
      <c r="C646" s="22">
        <v>-0.003</v>
      </c>
      <c r="D646" s="24"/>
      <c r="E646" s="23"/>
      <c r="F646" s="22"/>
      <c r="G646" s="22"/>
      <c r="H646" s="25"/>
    </row>
    <row r="647" ht="15" spans="1:8">
      <c r="A647" s="19">
        <v>45211</v>
      </c>
      <c r="B647" s="26">
        <v>994</v>
      </c>
      <c r="C647" s="28">
        <v>-0.005</v>
      </c>
      <c r="D647" s="29"/>
      <c r="E647" s="23"/>
      <c r="F647" s="28"/>
      <c r="G647" s="28"/>
      <c r="H647" s="30"/>
    </row>
    <row r="648" ht="15" spans="1:8">
      <c r="A648" s="19">
        <v>45212</v>
      </c>
      <c r="B648" s="20">
        <v>991</v>
      </c>
      <c r="C648" s="22">
        <v>-0.003</v>
      </c>
      <c r="D648" s="24"/>
      <c r="E648" s="23"/>
      <c r="F648" s="22"/>
      <c r="G648" s="22"/>
      <c r="H648" s="25"/>
    </row>
    <row r="649" ht="15" spans="1:8">
      <c r="A649" s="19">
        <v>45213</v>
      </c>
      <c r="B649" s="26">
        <v>991</v>
      </c>
      <c r="C649" s="27">
        <v>0</v>
      </c>
      <c r="D649" s="29"/>
      <c r="E649" s="23"/>
      <c r="F649" s="28"/>
      <c r="G649" s="28"/>
      <c r="H649" s="30"/>
    </row>
    <row r="650" ht="15" spans="1:8">
      <c r="A650" s="19">
        <v>45214</v>
      </c>
      <c r="B650" s="20">
        <v>991</v>
      </c>
      <c r="C650" s="21">
        <v>0</v>
      </c>
      <c r="D650" s="24"/>
      <c r="E650" s="23"/>
      <c r="F650" s="22"/>
      <c r="G650" s="22"/>
      <c r="H650" s="25"/>
    </row>
    <row r="651" ht="15" spans="1:8">
      <c r="A651" s="19">
        <v>45215</v>
      </c>
      <c r="B651" s="26">
        <v>992</v>
      </c>
      <c r="C651" s="29">
        <v>0.001</v>
      </c>
      <c r="D651" s="29"/>
      <c r="E651" s="23"/>
      <c r="F651" s="28"/>
      <c r="G651" s="28"/>
      <c r="H651" s="30"/>
    </row>
    <row r="652" ht="15" spans="1:8">
      <c r="A652" s="19">
        <v>45216</v>
      </c>
      <c r="B652" s="20">
        <v>990</v>
      </c>
      <c r="C652" s="22">
        <v>-0.002</v>
      </c>
      <c r="D652" s="24"/>
      <c r="E652" s="23"/>
      <c r="F652" s="22"/>
      <c r="G652" s="22"/>
      <c r="H652" s="25"/>
    </row>
    <row r="653" ht="15" spans="1:8">
      <c r="A653" s="19">
        <v>45217</v>
      </c>
      <c r="B653" s="26">
        <v>989</v>
      </c>
      <c r="C653" s="28">
        <v>-0.001</v>
      </c>
      <c r="D653" s="29"/>
      <c r="E653" s="23"/>
      <c r="F653" s="28"/>
      <c r="G653" s="28"/>
      <c r="H653" s="30"/>
    </row>
    <row r="654" ht="15" spans="1:8">
      <c r="A654" s="19">
        <v>45218</v>
      </c>
      <c r="B654" s="20">
        <v>987</v>
      </c>
      <c r="C654" s="22">
        <v>-0.002</v>
      </c>
      <c r="D654" s="24"/>
      <c r="E654" s="46"/>
      <c r="F654" s="22"/>
      <c r="G654" s="22"/>
      <c r="H654" s="25"/>
    </row>
    <row r="655" ht="15" spans="1:8">
      <c r="A655" s="19">
        <v>45219</v>
      </c>
      <c r="B655" s="26">
        <v>985</v>
      </c>
      <c r="C655" s="28">
        <v>-0.002</v>
      </c>
      <c r="D655" s="29"/>
      <c r="E655" s="23"/>
      <c r="F655" s="28"/>
      <c r="G655" s="28"/>
      <c r="H655" s="30"/>
    </row>
    <row r="656" ht="15" spans="1:8">
      <c r="A656" s="19">
        <v>45220</v>
      </c>
      <c r="B656" s="20">
        <v>985</v>
      </c>
      <c r="C656" s="21">
        <v>0</v>
      </c>
      <c r="D656" s="24"/>
      <c r="E656" s="23"/>
      <c r="F656" s="22"/>
      <c r="G656" s="22"/>
      <c r="H656" s="25"/>
    </row>
    <row r="657" ht="15" spans="1:8">
      <c r="A657" s="19">
        <v>45221</v>
      </c>
      <c r="B657" s="26">
        <v>985</v>
      </c>
      <c r="C657" s="27">
        <v>0</v>
      </c>
      <c r="D657" s="29"/>
      <c r="E657" s="23"/>
      <c r="F657" s="28"/>
      <c r="G657" s="28"/>
      <c r="H657" s="30"/>
    </row>
    <row r="658" ht="15" spans="1:8">
      <c r="A658" s="19">
        <v>45222</v>
      </c>
      <c r="B658" s="20">
        <v>980</v>
      </c>
      <c r="C658" s="22">
        <v>-0.0051</v>
      </c>
      <c r="D658" s="24"/>
      <c r="E658" s="23"/>
      <c r="F658" s="22"/>
      <c r="G658" s="22"/>
      <c r="H658" s="25"/>
    </row>
    <row r="659" ht="15" spans="1:8">
      <c r="A659" s="19">
        <v>45223</v>
      </c>
      <c r="B659" s="26">
        <v>977</v>
      </c>
      <c r="C659" s="28">
        <v>-0.0031</v>
      </c>
      <c r="D659" s="29"/>
      <c r="E659" s="23"/>
      <c r="F659" s="28"/>
      <c r="G659" s="28"/>
      <c r="H659" s="30"/>
    </row>
    <row r="660" ht="15" spans="1:8">
      <c r="A660" s="19">
        <v>45224</v>
      </c>
      <c r="B660" s="20">
        <v>975</v>
      </c>
      <c r="C660" s="22">
        <v>-0.002</v>
      </c>
      <c r="D660" s="24"/>
      <c r="E660" s="23"/>
      <c r="F660" s="22"/>
      <c r="G660" s="22"/>
      <c r="H660" s="25"/>
    </row>
    <row r="661" ht="15" spans="1:8">
      <c r="A661" s="19">
        <v>45225</v>
      </c>
      <c r="B661" s="26">
        <v>975</v>
      </c>
      <c r="C661" s="27">
        <v>0</v>
      </c>
      <c r="D661" s="29"/>
      <c r="E661" s="23"/>
      <c r="F661" s="28"/>
      <c r="G661" s="28"/>
      <c r="H661" s="30"/>
    </row>
    <row r="662" ht="15" spans="1:8">
      <c r="A662" s="19">
        <v>45226</v>
      </c>
      <c r="B662" s="20">
        <v>972</v>
      </c>
      <c r="C662" s="22">
        <v>-0.0031</v>
      </c>
      <c r="D662" s="24"/>
      <c r="E662" s="23"/>
      <c r="F662" s="22"/>
      <c r="G662" s="22"/>
      <c r="H662" s="25"/>
    </row>
    <row r="663" ht="15" spans="1:8">
      <c r="A663" s="19">
        <v>45227</v>
      </c>
      <c r="B663" s="26">
        <v>972</v>
      </c>
      <c r="C663" s="27">
        <v>0</v>
      </c>
      <c r="D663" s="29"/>
      <c r="E663" s="23"/>
      <c r="F663" s="28"/>
      <c r="G663" s="28"/>
      <c r="H663" s="30"/>
    </row>
    <row r="664" ht="15" spans="1:8">
      <c r="A664" s="19">
        <v>45228</v>
      </c>
      <c r="B664" s="20">
        <v>972</v>
      </c>
      <c r="C664" s="21">
        <v>0</v>
      </c>
      <c r="D664" s="24"/>
      <c r="E664" s="23"/>
      <c r="F664" s="22"/>
      <c r="G664" s="22"/>
      <c r="H664" s="25"/>
    </row>
    <row r="665" ht="15" spans="1:8">
      <c r="A665" s="19">
        <v>45229</v>
      </c>
      <c r="B665" s="26">
        <v>972</v>
      </c>
      <c r="C665" s="27">
        <v>0</v>
      </c>
      <c r="D665" s="29"/>
      <c r="E665" s="23"/>
      <c r="F665" s="28"/>
      <c r="G665" s="28"/>
      <c r="H665" s="30"/>
    </row>
    <row r="666" ht="15" spans="1:8">
      <c r="A666" s="19">
        <v>45230</v>
      </c>
      <c r="B666" s="20">
        <v>970</v>
      </c>
      <c r="C666" s="22">
        <v>-0.0021</v>
      </c>
      <c r="D666" s="24"/>
      <c r="E666" s="23"/>
      <c r="F666" s="22"/>
      <c r="G666" s="22"/>
      <c r="H666" s="25"/>
    </row>
    <row r="667" ht="15" spans="1:8">
      <c r="A667" s="19">
        <v>45231</v>
      </c>
      <c r="B667" s="26">
        <v>967</v>
      </c>
      <c r="C667" s="28">
        <v>-0.0031</v>
      </c>
      <c r="D667" s="29"/>
      <c r="E667" s="23"/>
      <c r="F667" s="28"/>
      <c r="G667" s="28"/>
      <c r="H667" s="30"/>
    </row>
    <row r="668" ht="15" spans="1:8">
      <c r="A668" s="19">
        <v>45232</v>
      </c>
      <c r="B668" s="20">
        <v>966</v>
      </c>
      <c r="C668" s="22">
        <v>-0.001</v>
      </c>
      <c r="D668" s="24"/>
      <c r="E668" s="46"/>
      <c r="F668" s="22"/>
      <c r="G668" s="22"/>
      <c r="H668" s="25"/>
    </row>
    <row r="669" ht="15" spans="1:8">
      <c r="A669" s="19">
        <v>45233</v>
      </c>
      <c r="B669" s="26">
        <v>965</v>
      </c>
      <c r="C669" s="28">
        <v>-0.001</v>
      </c>
      <c r="D669" s="29"/>
      <c r="E669" s="33"/>
      <c r="F669" s="28"/>
      <c r="G669" s="28"/>
      <c r="H669" s="30"/>
    </row>
    <row r="670" ht="15" spans="1:8">
      <c r="A670" s="19">
        <v>45234</v>
      </c>
      <c r="B670" s="20">
        <v>964</v>
      </c>
      <c r="C670" s="22">
        <v>-0.001</v>
      </c>
      <c r="D670" s="24"/>
      <c r="E670" s="33"/>
      <c r="F670" s="22"/>
      <c r="G670" s="22"/>
      <c r="H670" s="25"/>
    </row>
    <row r="671" ht="15" spans="1:8">
      <c r="A671" s="19">
        <v>45235</v>
      </c>
      <c r="B671" s="26">
        <v>965</v>
      </c>
      <c r="C671" s="29">
        <v>0.001</v>
      </c>
      <c r="D671" s="29"/>
      <c r="E671" s="23"/>
      <c r="F671" s="28"/>
      <c r="G671" s="28"/>
      <c r="H671" s="30"/>
    </row>
    <row r="672" ht="15" spans="1:8">
      <c r="A672" s="19">
        <v>45236</v>
      </c>
      <c r="B672" s="20">
        <v>964</v>
      </c>
      <c r="C672" s="22">
        <v>-0.001</v>
      </c>
      <c r="D672" s="24"/>
      <c r="E672" s="23"/>
      <c r="F672" s="22"/>
      <c r="G672" s="22"/>
      <c r="H672" s="25"/>
    </row>
    <row r="673" ht="15" spans="1:8">
      <c r="A673" s="19">
        <v>45237</v>
      </c>
      <c r="B673" s="26">
        <v>963</v>
      </c>
      <c r="C673" s="28">
        <v>-0.001</v>
      </c>
      <c r="D673" s="29"/>
      <c r="E673" s="23"/>
      <c r="F673" s="28"/>
      <c r="G673" s="28"/>
      <c r="H673" s="30"/>
    </row>
    <row r="674" ht="15" spans="1:8">
      <c r="A674" s="19">
        <v>45238</v>
      </c>
      <c r="B674" s="20">
        <v>961</v>
      </c>
      <c r="C674" s="22">
        <v>-0.0021</v>
      </c>
      <c r="D674" s="24"/>
      <c r="E674" s="46"/>
      <c r="F674" s="22"/>
      <c r="G674" s="22"/>
      <c r="H674" s="25"/>
    </row>
    <row r="675" ht="15" spans="1:8">
      <c r="A675" s="19">
        <v>45239</v>
      </c>
      <c r="B675" s="26">
        <v>961</v>
      </c>
      <c r="C675" s="27">
        <v>0</v>
      </c>
      <c r="D675" s="29"/>
      <c r="E675" s="23"/>
      <c r="F675" s="28"/>
      <c r="G675" s="28"/>
      <c r="H675" s="30"/>
    </row>
    <row r="676" ht="15" spans="1:8">
      <c r="A676" s="19">
        <v>45240</v>
      </c>
      <c r="B676" s="20">
        <v>961</v>
      </c>
      <c r="C676" s="21">
        <v>0</v>
      </c>
      <c r="D676" s="24"/>
      <c r="E676" s="23"/>
      <c r="F676" s="22"/>
      <c r="G676" s="22"/>
      <c r="H676" s="25"/>
    </row>
    <row r="677" ht="15" spans="1:8">
      <c r="A677" s="19">
        <v>45241</v>
      </c>
      <c r="B677" s="26">
        <v>961</v>
      </c>
      <c r="C677" s="27">
        <v>0</v>
      </c>
      <c r="D677" s="29"/>
      <c r="E677" s="23"/>
      <c r="F677" s="28"/>
      <c r="G677" s="28"/>
      <c r="H677" s="30"/>
    </row>
    <row r="678" ht="15" spans="1:8">
      <c r="A678" s="19">
        <v>45242</v>
      </c>
      <c r="B678" s="20">
        <v>961</v>
      </c>
      <c r="C678" s="21">
        <v>0</v>
      </c>
      <c r="D678" s="24"/>
      <c r="E678" s="23"/>
      <c r="F678" s="22"/>
      <c r="G678" s="22"/>
      <c r="H678" s="25"/>
    </row>
    <row r="679" ht="15" spans="1:8">
      <c r="A679" s="19">
        <v>45243</v>
      </c>
      <c r="B679" s="26">
        <v>961</v>
      </c>
      <c r="C679" s="27">
        <v>0</v>
      </c>
      <c r="D679" s="29"/>
      <c r="E679" s="23"/>
      <c r="F679" s="28"/>
      <c r="G679" s="28"/>
      <c r="H679" s="30"/>
    </row>
    <row r="680" ht="15" spans="1:8">
      <c r="A680" s="19">
        <v>45244</v>
      </c>
      <c r="B680" s="20">
        <v>960</v>
      </c>
      <c r="C680" s="22">
        <v>-0.001</v>
      </c>
      <c r="D680" s="24"/>
      <c r="E680" s="23"/>
      <c r="F680" s="22"/>
      <c r="G680" s="22"/>
      <c r="H680" s="25"/>
    </row>
    <row r="681" ht="15" spans="1:8">
      <c r="A681" s="19">
        <v>45245</v>
      </c>
      <c r="B681" s="26">
        <v>962</v>
      </c>
      <c r="C681" s="29">
        <v>0.0021</v>
      </c>
      <c r="D681" s="29"/>
      <c r="E681" s="23"/>
      <c r="F681" s="28"/>
      <c r="G681" s="28"/>
      <c r="H681" s="30"/>
    </row>
    <row r="682" ht="15" spans="1:8">
      <c r="A682" s="19">
        <v>45246</v>
      </c>
      <c r="B682" s="20">
        <v>962</v>
      </c>
      <c r="C682" s="21">
        <v>0</v>
      </c>
      <c r="D682" s="24"/>
      <c r="E682" s="23"/>
      <c r="F682" s="22"/>
      <c r="G682" s="22"/>
      <c r="H682" s="25"/>
    </row>
    <row r="683" ht="15" spans="1:8">
      <c r="A683" s="19">
        <v>45247</v>
      </c>
      <c r="B683" s="26">
        <v>962</v>
      </c>
      <c r="C683" s="27">
        <v>0</v>
      </c>
      <c r="D683" s="29"/>
      <c r="E683" s="23"/>
      <c r="F683" s="28"/>
      <c r="G683" s="28"/>
      <c r="H683" s="30"/>
    </row>
    <row r="684" ht="15" spans="1:8">
      <c r="A684" s="19">
        <v>45248</v>
      </c>
      <c r="B684" s="20">
        <v>962</v>
      </c>
      <c r="C684" s="21">
        <v>0</v>
      </c>
      <c r="D684" s="24"/>
      <c r="E684" s="23"/>
      <c r="F684" s="22"/>
      <c r="G684" s="22"/>
      <c r="H684" s="25"/>
    </row>
    <row r="685" ht="15" spans="1:8">
      <c r="A685" s="19">
        <v>45249</v>
      </c>
      <c r="B685" s="26">
        <v>962</v>
      </c>
      <c r="C685" s="27">
        <v>0</v>
      </c>
      <c r="D685" s="29"/>
      <c r="E685" s="23"/>
      <c r="F685" s="28"/>
      <c r="G685" s="28"/>
      <c r="H685" s="30"/>
    </row>
    <row r="686" ht="15" spans="1:8">
      <c r="A686" s="19">
        <v>45250</v>
      </c>
      <c r="B686" s="20">
        <v>963</v>
      </c>
      <c r="C686" s="24">
        <v>0.001</v>
      </c>
      <c r="D686" s="24"/>
      <c r="E686" s="23"/>
      <c r="F686" s="22"/>
      <c r="G686" s="22"/>
      <c r="H686" s="25"/>
    </row>
    <row r="687" ht="15" spans="1:8">
      <c r="A687" s="19">
        <v>45251</v>
      </c>
      <c r="B687" s="26">
        <v>963</v>
      </c>
      <c r="C687" s="27">
        <v>0</v>
      </c>
      <c r="D687" s="29"/>
      <c r="E687" s="23"/>
      <c r="F687" s="28"/>
      <c r="G687" s="28"/>
      <c r="H687" s="30"/>
    </row>
    <row r="688" ht="15" spans="1:8">
      <c r="A688" s="19">
        <v>45252</v>
      </c>
      <c r="B688" s="20">
        <v>962</v>
      </c>
      <c r="C688" s="22">
        <v>-0.001</v>
      </c>
      <c r="D688" s="21"/>
      <c r="E688" s="23"/>
      <c r="F688" s="22"/>
      <c r="G688" s="22"/>
      <c r="H688" s="25"/>
    </row>
    <row r="689" ht="15" spans="1:8">
      <c r="A689" s="19">
        <v>45253</v>
      </c>
      <c r="B689" s="26">
        <v>960</v>
      </c>
      <c r="C689" s="28">
        <v>-0.0021</v>
      </c>
      <c r="D689" s="28"/>
      <c r="E689" s="23"/>
      <c r="F689" s="28"/>
      <c r="G689" s="28"/>
      <c r="H689" s="30"/>
    </row>
    <row r="690" ht="15" spans="1:8">
      <c r="A690" s="19">
        <v>45254</v>
      </c>
      <c r="B690" s="20">
        <v>959</v>
      </c>
      <c r="C690" s="22">
        <v>-0.001</v>
      </c>
      <c r="D690" s="22"/>
      <c r="E690" s="23"/>
      <c r="F690" s="22"/>
      <c r="G690" s="22"/>
      <c r="H690" s="25"/>
    </row>
    <row r="691" ht="15" spans="1:8">
      <c r="A691" s="19">
        <v>45255</v>
      </c>
      <c r="B691" s="26">
        <v>959</v>
      </c>
      <c r="C691" s="27">
        <v>0</v>
      </c>
      <c r="D691" s="28"/>
      <c r="E691" s="23"/>
      <c r="F691" s="28"/>
      <c r="G691" s="28"/>
      <c r="H691" s="30"/>
    </row>
    <row r="692" ht="15" spans="1:8">
      <c r="A692" s="19">
        <v>45256</v>
      </c>
      <c r="B692" s="20">
        <v>959</v>
      </c>
      <c r="C692" s="21">
        <v>0</v>
      </c>
      <c r="D692" s="22"/>
      <c r="E692" s="23"/>
      <c r="F692" s="22"/>
      <c r="G692" s="22"/>
      <c r="H692" s="25"/>
    </row>
    <row r="693" ht="15" spans="1:8">
      <c r="A693" s="19">
        <v>45257</v>
      </c>
      <c r="B693" s="26">
        <v>958</v>
      </c>
      <c r="C693" s="28">
        <v>-0.001</v>
      </c>
      <c r="D693" s="28"/>
      <c r="E693" s="23"/>
      <c r="F693" s="28"/>
      <c r="G693" s="28"/>
      <c r="H693" s="30"/>
    </row>
    <row r="694" ht="15" spans="1:8">
      <c r="A694" s="19">
        <v>45258</v>
      </c>
      <c r="B694" s="20">
        <v>957</v>
      </c>
      <c r="C694" s="22">
        <v>-0.001</v>
      </c>
      <c r="D694" s="22"/>
      <c r="E694" s="23"/>
      <c r="F694" s="22"/>
      <c r="G694" s="22"/>
      <c r="H694" s="25"/>
    </row>
    <row r="695" ht="15" spans="1:8">
      <c r="A695" s="19">
        <v>45259</v>
      </c>
      <c r="B695" s="26">
        <v>958</v>
      </c>
      <c r="C695" s="29">
        <v>0.001</v>
      </c>
      <c r="D695" s="28"/>
      <c r="E695" s="23"/>
      <c r="F695" s="28"/>
      <c r="G695" s="28"/>
      <c r="H695" s="30"/>
    </row>
    <row r="696" ht="15" spans="1:8">
      <c r="A696" s="19">
        <v>45260</v>
      </c>
      <c r="B696" s="20">
        <v>958</v>
      </c>
      <c r="C696" s="21">
        <v>0</v>
      </c>
      <c r="D696" s="22"/>
      <c r="E696" s="23"/>
      <c r="F696" s="22"/>
      <c r="G696" s="22"/>
      <c r="H696" s="25"/>
    </row>
    <row r="697" ht="15" spans="1:8">
      <c r="A697" s="19">
        <v>45261</v>
      </c>
      <c r="B697" s="26">
        <v>957</v>
      </c>
      <c r="C697" s="28">
        <v>-0.001</v>
      </c>
      <c r="D697" s="28"/>
      <c r="E697" s="23"/>
      <c r="F697" s="28"/>
      <c r="G697" s="28"/>
      <c r="H697" s="30"/>
    </row>
    <row r="698" ht="15" spans="1:8">
      <c r="A698" s="19">
        <v>45262</v>
      </c>
      <c r="B698" s="20">
        <v>957</v>
      </c>
      <c r="C698" s="21">
        <v>0</v>
      </c>
      <c r="D698" s="22"/>
      <c r="E698" s="23"/>
      <c r="F698" s="22"/>
      <c r="G698" s="22"/>
      <c r="H698" s="25"/>
    </row>
    <row r="699" ht="15" spans="1:8">
      <c r="A699" s="19">
        <v>45263</v>
      </c>
      <c r="B699" s="26">
        <v>957</v>
      </c>
      <c r="C699" s="27">
        <v>0</v>
      </c>
      <c r="D699" s="28"/>
      <c r="E699" s="23"/>
      <c r="F699" s="28"/>
      <c r="G699" s="28"/>
      <c r="H699" s="30"/>
    </row>
    <row r="700" ht="15" spans="1:8">
      <c r="A700" s="19">
        <v>45264</v>
      </c>
      <c r="B700" s="20">
        <v>957</v>
      </c>
      <c r="C700" s="21">
        <v>0</v>
      </c>
      <c r="D700" s="22"/>
      <c r="E700" s="23"/>
      <c r="F700" s="22"/>
      <c r="G700" s="22"/>
      <c r="H700" s="25"/>
    </row>
    <row r="701" ht="15" spans="1:8">
      <c r="A701" s="19">
        <v>45265</v>
      </c>
      <c r="B701" s="26">
        <v>956</v>
      </c>
      <c r="C701" s="28">
        <v>-0.001</v>
      </c>
      <c r="D701" s="28"/>
      <c r="E701" s="23"/>
      <c r="F701" s="28"/>
      <c r="G701" s="28"/>
      <c r="H701" s="30"/>
    </row>
    <row r="702" ht="15" spans="1:8">
      <c r="A702" s="19">
        <v>45266</v>
      </c>
      <c r="B702" s="20">
        <v>955</v>
      </c>
      <c r="C702" s="22">
        <v>-0.001</v>
      </c>
      <c r="D702" s="22"/>
      <c r="E702" s="23"/>
      <c r="F702" s="22"/>
      <c r="G702" s="22"/>
      <c r="H702" s="25"/>
    </row>
    <row r="703" ht="15" spans="1:8">
      <c r="A703" s="19">
        <v>45267</v>
      </c>
      <c r="B703" s="26">
        <v>955</v>
      </c>
      <c r="C703" s="27">
        <v>0</v>
      </c>
      <c r="D703" s="28"/>
      <c r="E703" s="23"/>
      <c r="F703" s="28"/>
      <c r="G703" s="28"/>
      <c r="H703" s="30"/>
    </row>
    <row r="704" ht="15" spans="1:8">
      <c r="A704" s="19">
        <v>45268</v>
      </c>
      <c r="B704" s="20">
        <v>956</v>
      </c>
      <c r="C704" s="24">
        <v>0.001</v>
      </c>
      <c r="D704" s="22"/>
      <c r="E704" s="23"/>
      <c r="F704" s="22"/>
      <c r="G704" s="22"/>
      <c r="H704" s="25"/>
    </row>
    <row r="705" ht="15" spans="1:8">
      <c r="A705" s="19">
        <v>45269</v>
      </c>
      <c r="B705" s="26">
        <v>956</v>
      </c>
      <c r="C705" s="27">
        <v>0</v>
      </c>
      <c r="D705" s="28"/>
      <c r="E705" s="23"/>
      <c r="F705" s="28"/>
      <c r="G705" s="28"/>
      <c r="H705" s="30"/>
    </row>
    <row r="706" ht="15" spans="1:8">
      <c r="A706" s="19">
        <v>45270</v>
      </c>
      <c r="B706" s="20">
        <v>956</v>
      </c>
      <c r="C706" s="21">
        <v>0</v>
      </c>
      <c r="D706" s="22"/>
      <c r="E706" s="23"/>
      <c r="F706" s="22"/>
      <c r="G706" s="22"/>
      <c r="H706" s="25"/>
    </row>
    <row r="707" ht="15" spans="1:8">
      <c r="A707" s="19">
        <v>45271</v>
      </c>
      <c r="B707" s="26">
        <v>954</v>
      </c>
      <c r="C707" s="28">
        <v>-0.0021</v>
      </c>
      <c r="D707" s="28"/>
      <c r="E707" s="23"/>
      <c r="F707" s="28"/>
      <c r="G707" s="28"/>
      <c r="H707" s="30"/>
    </row>
    <row r="708" ht="15" spans="1:8">
      <c r="A708" s="19">
        <v>45272</v>
      </c>
      <c r="B708" s="20">
        <v>954</v>
      </c>
      <c r="C708" s="21">
        <v>0</v>
      </c>
      <c r="D708" s="22"/>
      <c r="E708" s="23"/>
      <c r="F708" s="22"/>
      <c r="G708" s="22"/>
      <c r="H708" s="25"/>
    </row>
    <row r="709" ht="15" spans="1:8">
      <c r="A709" s="19">
        <v>45273</v>
      </c>
      <c r="B709" s="26">
        <v>954</v>
      </c>
      <c r="C709" s="27">
        <v>0</v>
      </c>
      <c r="D709" s="28"/>
      <c r="E709" s="23"/>
      <c r="F709" s="28"/>
      <c r="G709" s="28"/>
      <c r="H709" s="30"/>
    </row>
    <row r="710" ht="15" spans="1:8">
      <c r="A710" s="19">
        <v>45274</v>
      </c>
      <c r="B710" s="20">
        <v>954</v>
      </c>
      <c r="C710" s="21">
        <v>0</v>
      </c>
      <c r="D710" s="22"/>
      <c r="E710" s="23"/>
      <c r="F710" s="22"/>
      <c r="G710" s="22"/>
      <c r="H710" s="25"/>
    </row>
    <row r="711" ht="15" spans="1:8">
      <c r="A711" s="19">
        <v>45275</v>
      </c>
      <c r="B711" s="26">
        <v>954</v>
      </c>
      <c r="C711" s="27">
        <v>0</v>
      </c>
      <c r="D711" s="28"/>
      <c r="E711" s="23"/>
      <c r="F711" s="28"/>
      <c r="G711" s="28"/>
      <c r="H711" s="30"/>
    </row>
    <row r="712" ht="15" spans="1:8">
      <c r="A712" s="19">
        <v>45276</v>
      </c>
      <c r="B712" s="20">
        <v>954</v>
      </c>
      <c r="C712" s="21">
        <v>0</v>
      </c>
      <c r="D712" s="22"/>
      <c r="E712" s="23"/>
      <c r="F712" s="22"/>
      <c r="G712" s="22"/>
      <c r="H712" s="25"/>
    </row>
    <row r="713" ht="15" spans="1:8">
      <c r="A713" s="19">
        <v>45277</v>
      </c>
      <c r="B713" s="26">
        <v>954</v>
      </c>
      <c r="C713" s="27">
        <v>0</v>
      </c>
      <c r="D713" s="28"/>
      <c r="E713" s="23"/>
      <c r="F713" s="28"/>
      <c r="G713" s="28"/>
      <c r="H713" s="30"/>
    </row>
    <row r="714" ht="15" spans="1:8">
      <c r="A714" s="19">
        <v>45278</v>
      </c>
      <c r="B714" s="20">
        <v>953</v>
      </c>
      <c r="C714" s="22">
        <v>-0.001</v>
      </c>
      <c r="D714" s="22"/>
      <c r="E714" s="23"/>
      <c r="F714" s="22"/>
      <c r="G714" s="22"/>
      <c r="H714" s="25"/>
    </row>
    <row r="715" ht="15" spans="1:8">
      <c r="A715" s="35">
        <v>45279</v>
      </c>
      <c r="B715" s="36">
        <v>953</v>
      </c>
      <c r="C715" s="37">
        <v>0</v>
      </c>
      <c r="D715" s="38"/>
      <c r="E715" s="39"/>
      <c r="F715" s="38"/>
      <c r="G715" s="38"/>
      <c r="H715" s="41"/>
    </row>
    <row r="716" ht="15" spans="1:8">
      <c r="A716" s="12">
        <v>45280</v>
      </c>
      <c r="B716" s="42">
        <v>953</v>
      </c>
      <c r="C716" s="48">
        <v>0</v>
      </c>
      <c r="D716" s="43"/>
      <c r="E716" s="16"/>
      <c r="F716" s="43"/>
      <c r="G716" s="43"/>
      <c r="H716" s="45"/>
    </row>
    <row r="717" ht="15" spans="1:8">
      <c r="A717" s="19">
        <v>45281</v>
      </c>
      <c r="B717" s="26">
        <v>953</v>
      </c>
      <c r="C717" s="27">
        <v>0</v>
      </c>
      <c r="D717" s="28"/>
      <c r="E717" s="23"/>
      <c r="F717" s="28"/>
      <c r="G717" s="28"/>
      <c r="H717" s="30"/>
    </row>
    <row r="718" ht="15" spans="1:8">
      <c r="A718" s="19">
        <v>45282</v>
      </c>
      <c r="B718" s="20">
        <v>954</v>
      </c>
      <c r="C718" s="24">
        <v>0.001</v>
      </c>
      <c r="D718" s="22"/>
      <c r="E718" s="23"/>
      <c r="F718" s="22"/>
      <c r="G718" s="22"/>
      <c r="H718" s="25"/>
    </row>
    <row r="719" ht="15" spans="1:8">
      <c r="A719" s="19">
        <v>45283</v>
      </c>
      <c r="B719" s="26">
        <v>954</v>
      </c>
      <c r="C719" s="27">
        <v>0</v>
      </c>
      <c r="D719" s="28"/>
      <c r="E719" s="23"/>
      <c r="F719" s="28"/>
      <c r="G719" s="28"/>
      <c r="H719" s="30"/>
    </row>
    <row r="720" ht="15" spans="1:8">
      <c r="A720" s="19">
        <v>45284</v>
      </c>
      <c r="B720" s="20">
        <v>954</v>
      </c>
      <c r="C720" s="21">
        <v>0</v>
      </c>
      <c r="D720" s="22"/>
      <c r="E720" s="23"/>
      <c r="F720" s="22"/>
      <c r="G720" s="22"/>
      <c r="H720" s="25"/>
    </row>
    <row r="721" ht="15" spans="1:8">
      <c r="A721" s="19">
        <v>45285</v>
      </c>
      <c r="B721" s="26">
        <v>955</v>
      </c>
      <c r="C721" s="29">
        <v>0.001</v>
      </c>
      <c r="D721" s="28"/>
      <c r="E721" s="23"/>
      <c r="F721" s="28"/>
      <c r="G721" s="28"/>
      <c r="H721" s="30"/>
    </row>
    <row r="722" ht="15" spans="1:8">
      <c r="A722" s="19">
        <v>45286</v>
      </c>
      <c r="B722" s="20">
        <v>956</v>
      </c>
      <c r="C722" s="24">
        <v>0.001</v>
      </c>
      <c r="D722" s="22"/>
      <c r="E722" s="23"/>
      <c r="F722" s="22"/>
      <c r="G722" s="22"/>
      <c r="H722" s="25"/>
    </row>
    <row r="723" ht="15" spans="1:8">
      <c r="A723" s="19">
        <v>45287</v>
      </c>
      <c r="B723" s="26">
        <v>956</v>
      </c>
      <c r="C723" s="27">
        <v>0</v>
      </c>
      <c r="D723" s="28"/>
      <c r="E723" s="23"/>
      <c r="F723" s="28"/>
      <c r="G723" s="28"/>
      <c r="H723" s="30"/>
    </row>
    <row r="724" ht="15" spans="1:8">
      <c r="A724" s="19">
        <v>45288</v>
      </c>
      <c r="B724" s="20">
        <v>957</v>
      </c>
      <c r="C724" s="24">
        <v>0.001</v>
      </c>
      <c r="D724" s="22"/>
      <c r="E724" s="23"/>
      <c r="F724" s="22"/>
      <c r="G724" s="22"/>
      <c r="H724" s="25"/>
    </row>
    <row r="725" ht="15" spans="1:8">
      <c r="A725" s="19">
        <v>45289</v>
      </c>
      <c r="B725" s="26">
        <v>956</v>
      </c>
      <c r="C725" s="28">
        <v>-0.001</v>
      </c>
      <c r="D725" s="28"/>
      <c r="E725" s="23"/>
      <c r="F725" s="28"/>
      <c r="G725" s="28"/>
      <c r="H725" s="30"/>
    </row>
    <row r="726" ht="15" spans="1:8">
      <c r="A726" s="19">
        <v>45290</v>
      </c>
      <c r="B726" s="20">
        <v>956</v>
      </c>
      <c r="C726" s="21">
        <v>0</v>
      </c>
      <c r="D726" s="22"/>
      <c r="E726" s="23"/>
      <c r="F726" s="22"/>
      <c r="G726" s="22"/>
      <c r="H726" s="25"/>
    </row>
    <row r="727" ht="15" spans="1:8">
      <c r="A727" s="19">
        <v>45291</v>
      </c>
      <c r="B727" s="26">
        <v>956</v>
      </c>
      <c r="C727" s="27">
        <v>0</v>
      </c>
      <c r="D727" s="28"/>
      <c r="E727" s="23"/>
      <c r="F727" s="28"/>
      <c r="G727" s="28"/>
      <c r="H727" s="30"/>
    </row>
    <row r="728" ht="15" spans="1:8">
      <c r="A728" s="19">
        <v>45292</v>
      </c>
      <c r="B728" s="20">
        <v>956</v>
      </c>
      <c r="C728" s="21">
        <v>0</v>
      </c>
      <c r="D728" s="22"/>
      <c r="E728" s="23"/>
      <c r="F728" s="22"/>
      <c r="G728" s="22"/>
      <c r="H728" s="25"/>
    </row>
    <row r="729" ht="15" spans="1:8">
      <c r="A729" s="19">
        <v>45293</v>
      </c>
      <c r="B729" s="26">
        <v>955</v>
      </c>
      <c r="C729" s="28">
        <v>-0.001</v>
      </c>
      <c r="D729" s="28"/>
      <c r="E729" s="23"/>
      <c r="F729" s="28"/>
      <c r="G729" s="28"/>
      <c r="H729" s="30"/>
    </row>
    <row r="730" ht="15" spans="1:8">
      <c r="A730" s="31">
        <v>45294</v>
      </c>
      <c r="B730" s="32">
        <v>955</v>
      </c>
      <c r="C730" s="46">
        <v>0</v>
      </c>
      <c r="D730" s="33"/>
      <c r="E730" s="23"/>
      <c r="F730" s="33"/>
      <c r="G730" s="33"/>
      <c r="H730" s="34"/>
    </row>
    <row r="731" ht="15" spans="1:8">
      <c r="A731" s="19">
        <v>45295</v>
      </c>
      <c r="B731" s="26">
        <v>953</v>
      </c>
      <c r="C731" s="28">
        <v>-0.0021</v>
      </c>
      <c r="D731" s="28"/>
      <c r="E731" s="23"/>
      <c r="F731" s="28"/>
      <c r="G731" s="28"/>
      <c r="H731" s="30"/>
    </row>
    <row r="732" ht="15" spans="1:8">
      <c r="A732" s="19">
        <v>45296</v>
      </c>
      <c r="B732" s="20">
        <v>952</v>
      </c>
      <c r="C732" s="22">
        <v>-0.001</v>
      </c>
      <c r="D732" s="22"/>
      <c r="E732" s="23"/>
      <c r="F732" s="22"/>
      <c r="G732" s="22"/>
      <c r="H732" s="25"/>
    </row>
    <row r="733" ht="15" spans="1:8">
      <c r="A733" s="19">
        <v>45297</v>
      </c>
      <c r="B733" s="26">
        <v>952</v>
      </c>
      <c r="C733" s="27">
        <v>0</v>
      </c>
      <c r="D733" s="28"/>
      <c r="E733" s="23"/>
      <c r="F733" s="28"/>
      <c r="G733" s="28"/>
      <c r="H733" s="30"/>
    </row>
    <row r="734" ht="15" spans="1:8">
      <c r="A734" s="19">
        <v>45298</v>
      </c>
      <c r="B734" s="20">
        <v>952</v>
      </c>
      <c r="C734" s="21">
        <v>0</v>
      </c>
      <c r="D734" s="22"/>
      <c r="E734" s="23"/>
      <c r="F734" s="22"/>
      <c r="G734" s="22"/>
      <c r="H734" s="25"/>
    </row>
    <row r="735" ht="15" spans="1:8">
      <c r="A735" s="19">
        <v>45299</v>
      </c>
      <c r="B735" s="26">
        <v>950</v>
      </c>
      <c r="C735" s="28">
        <v>-0.0021</v>
      </c>
      <c r="D735" s="28"/>
      <c r="E735" s="23"/>
      <c r="F735" s="28"/>
      <c r="G735" s="28"/>
      <c r="H735" s="30"/>
    </row>
    <row r="736" ht="15" spans="1:8">
      <c r="A736" s="19">
        <v>45300</v>
      </c>
      <c r="B736" s="20">
        <v>948</v>
      </c>
      <c r="C736" s="22">
        <v>-0.0021</v>
      </c>
      <c r="D736" s="22"/>
      <c r="E736" s="23"/>
      <c r="F736" s="22"/>
      <c r="G736" s="22"/>
      <c r="H736" s="25"/>
    </row>
    <row r="737" ht="15" spans="1:8">
      <c r="A737" s="19">
        <v>45301</v>
      </c>
      <c r="B737" s="26">
        <v>947</v>
      </c>
      <c r="C737" s="28">
        <v>-0.0011</v>
      </c>
      <c r="D737" s="28"/>
      <c r="E737" s="23"/>
      <c r="F737" s="28"/>
      <c r="G737" s="28"/>
      <c r="H737" s="30"/>
    </row>
    <row r="738" ht="15" spans="1:8">
      <c r="A738" s="19">
        <v>45302</v>
      </c>
      <c r="B738" s="20">
        <v>945</v>
      </c>
      <c r="C738" s="22">
        <v>-0.0021</v>
      </c>
      <c r="D738" s="22"/>
      <c r="E738" s="23"/>
      <c r="F738" s="22"/>
      <c r="G738" s="22"/>
      <c r="H738" s="25"/>
    </row>
    <row r="739" ht="15" spans="1:8">
      <c r="A739" s="19">
        <v>45303</v>
      </c>
      <c r="B739" s="26">
        <v>945</v>
      </c>
      <c r="C739" s="27">
        <v>0</v>
      </c>
      <c r="D739" s="28"/>
      <c r="E739" s="23"/>
      <c r="F739" s="28"/>
      <c r="G739" s="28"/>
      <c r="H739" s="30"/>
    </row>
    <row r="740" ht="15" spans="1:8">
      <c r="A740" s="19">
        <v>45304</v>
      </c>
      <c r="B740" s="20">
        <v>945</v>
      </c>
      <c r="C740" s="21">
        <v>0</v>
      </c>
      <c r="D740" s="22"/>
      <c r="E740" s="23"/>
      <c r="F740" s="22"/>
      <c r="G740" s="22"/>
      <c r="H740" s="25"/>
    </row>
    <row r="741" ht="15" spans="1:8">
      <c r="A741" s="19">
        <v>45305</v>
      </c>
      <c r="B741" s="26">
        <v>945</v>
      </c>
      <c r="C741" s="27">
        <v>0</v>
      </c>
      <c r="D741" s="28"/>
      <c r="E741" s="23"/>
      <c r="F741" s="28"/>
      <c r="G741" s="28"/>
      <c r="H741" s="30"/>
    </row>
    <row r="742" ht="15" spans="1:8">
      <c r="A742" s="19">
        <v>45306</v>
      </c>
      <c r="B742" s="20">
        <v>943</v>
      </c>
      <c r="C742" s="22">
        <v>-0.0021</v>
      </c>
      <c r="D742" s="22"/>
      <c r="E742" s="23"/>
      <c r="F742" s="22"/>
      <c r="G742" s="22"/>
      <c r="H742" s="25"/>
    </row>
    <row r="743" ht="15" spans="1:8">
      <c r="A743" s="19">
        <v>45307</v>
      </c>
      <c r="B743" s="26">
        <v>942</v>
      </c>
      <c r="C743" s="28">
        <v>-0.0011</v>
      </c>
      <c r="D743" s="28"/>
      <c r="E743" s="23"/>
      <c r="F743" s="28"/>
      <c r="G743" s="28"/>
      <c r="H743" s="30"/>
    </row>
    <row r="744" ht="15" spans="1:8">
      <c r="A744" s="19">
        <v>45308</v>
      </c>
      <c r="B744" s="20">
        <v>943</v>
      </c>
      <c r="C744" s="24">
        <v>0.0011</v>
      </c>
      <c r="D744" s="22"/>
      <c r="E744" s="23"/>
      <c r="F744" s="22"/>
      <c r="G744" s="22"/>
      <c r="H744" s="25"/>
    </row>
    <row r="745" ht="15" spans="1:8">
      <c r="A745" s="19">
        <v>45309</v>
      </c>
      <c r="B745" s="26">
        <v>942</v>
      </c>
      <c r="C745" s="28">
        <v>-0.0011</v>
      </c>
      <c r="D745" s="28"/>
      <c r="E745" s="23"/>
      <c r="F745" s="28"/>
      <c r="G745" s="28"/>
      <c r="H745" s="30"/>
    </row>
    <row r="746" ht="15" spans="1:8">
      <c r="A746" s="19">
        <v>45310</v>
      </c>
      <c r="B746" s="20">
        <v>942</v>
      </c>
      <c r="C746" s="21">
        <v>0</v>
      </c>
      <c r="D746" s="22"/>
      <c r="E746" s="23"/>
      <c r="F746" s="22"/>
      <c r="G746" s="22"/>
      <c r="H746" s="25"/>
    </row>
    <row r="747" ht="15" spans="1:8">
      <c r="A747" s="19">
        <v>45311</v>
      </c>
      <c r="B747" s="26">
        <v>942</v>
      </c>
      <c r="C747" s="27">
        <v>0</v>
      </c>
      <c r="D747" s="28"/>
      <c r="E747" s="23"/>
      <c r="F747" s="28"/>
      <c r="G747" s="28"/>
      <c r="H747" s="30"/>
    </row>
    <row r="748" ht="15" spans="1:8">
      <c r="A748" s="19">
        <v>45312</v>
      </c>
      <c r="B748" s="20">
        <v>942</v>
      </c>
      <c r="C748" s="21">
        <v>0</v>
      </c>
      <c r="D748" s="22"/>
      <c r="E748" s="23"/>
      <c r="F748" s="22"/>
      <c r="G748" s="22"/>
      <c r="H748" s="25"/>
    </row>
    <row r="749" ht="15" spans="1:8">
      <c r="A749" s="19">
        <v>45313</v>
      </c>
      <c r="B749" s="26">
        <v>941</v>
      </c>
      <c r="C749" s="28">
        <v>-0.0011</v>
      </c>
      <c r="D749" s="28"/>
      <c r="E749" s="23"/>
      <c r="F749" s="28"/>
      <c r="G749" s="28"/>
      <c r="H749" s="30"/>
    </row>
    <row r="750" ht="15" spans="1:8">
      <c r="A750" s="19">
        <v>45314</v>
      </c>
      <c r="B750" s="20">
        <v>942</v>
      </c>
      <c r="C750" s="24">
        <v>0.0011</v>
      </c>
      <c r="D750" s="22"/>
      <c r="E750" s="23"/>
      <c r="F750" s="22"/>
      <c r="G750" s="22"/>
      <c r="H750" s="25"/>
    </row>
    <row r="751" ht="15" spans="1:8">
      <c r="A751" s="19">
        <v>45315</v>
      </c>
      <c r="B751" s="26">
        <v>943</v>
      </c>
      <c r="C751" s="29">
        <v>0.0011</v>
      </c>
      <c r="D751" s="28"/>
      <c r="E751" s="23"/>
      <c r="F751" s="28"/>
      <c r="G751" s="28"/>
      <c r="H751" s="30"/>
    </row>
    <row r="752" ht="15" spans="1:8">
      <c r="A752" s="19">
        <v>45316</v>
      </c>
      <c r="B752" s="20">
        <v>944</v>
      </c>
      <c r="C752" s="24">
        <v>0.0011</v>
      </c>
      <c r="D752" s="22"/>
      <c r="E752" s="23"/>
      <c r="F752" s="22"/>
      <c r="G752" s="22"/>
      <c r="H752" s="25"/>
    </row>
    <row r="753" ht="15" spans="1:8">
      <c r="A753" s="19">
        <v>45317</v>
      </c>
      <c r="B753" s="26">
        <v>946</v>
      </c>
      <c r="C753" s="29">
        <v>0.0021</v>
      </c>
      <c r="D753" s="28"/>
      <c r="E753" s="23"/>
      <c r="F753" s="28"/>
      <c r="G753" s="28"/>
      <c r="H753" s="30"/>
    </row>
    <row r="754" ht="15" spans="1:8">
      <c r="A754" s="19">
        <v>45318</v>
      </c>
      <c r="B754" s="20">
        <v>946</v>
      </c>
      <c r="C754" s="21">
        <v>0</v>
      </c>
      <c r="D754" s="22"/>
      <c r="E754" s="23"/>
      <c r="F754" s="22"/>
      <c r="G754" s="22"/>
      <c r="H754" s="25"/>
    </row>
    <row r="755" ht="15" spans="1:8">
      <c r="A755" s="19">
        <v>45319</v>
      </c>
      <c r="B755" s="26">
        <v>946</v>
      </c>
      <c r="C755" s="27">
        <v>0</v>
      </c>
      <c r="D755" s="28"/>
      <c r="E755" s="23"/>
      <c r="F755" s="28"/>
      <c r="G755" s="28"/>
      <c r="H755" s="30"/>
    </row>
    <row r="756" ht="15" spans="1:8">
      <c r="A756" s="19">
        <v>45320</v>
      </c>
      <c r="B756" s="20">
        <v>946</v>
      </c>
      <c r="C756" s="21">
        <v>0</v>
      </c>
      <c r="D756" s="22"/>
      <c r="E756" s="23"/>
      <c r="F756" s="22"/>
      <c r="G756" s="22"/>
      <c r="H756" s="25"/>
    </row>
    <row r="757" ht="15" spans="1:8">
      <c r="A757" s="19">
        <v>45321</v>
      </c>
      <c r="B757" s="26">
        <v>946</v>
      </c>
      <c r="C757" s="27">
        <v>0</v>
      </c>
      <c r="D757" s="28"/>
      <c r="E757" s="23"/>
      <c r="F757" s="28"/>
      <c r="G757" s="28"/>
      <c r="H757" s="30"/>
    </row>
    <row r="758" ht="15" spans="1:8">
      <c r="A758" s="19">
        <v>45322</v>
      </c>
      <c r="B758" s="20">
        <v>945</v>
      </c>
      <c r="C758" s="22">
        <v>-0.0011</v>
      </c>
      <c r="D758" s="22"/>
      <c r="E758" s="23"/>
      <c r="F758" s="22"/>
      <c r="G758" s="22"/>
      <c r="H758" s="25"/>
    </row>
    <row r="759" ht="15" spans="1:8">
      <c r="A759" s="19">
        <v>45323</v>
      </c>
      <c r="B759" s="26">
        <v>944</v>
      </c>
      <c r="C759" s="28">
        <v>-0.0011</v>
      </c>
      <c r="D759" s="28"/>
      <c r="E759" s="23"/>
      <c r="F759" s="28"/>
      <c r="G759" s="28"/>
      <c r="H759" s="30"/>
    </row>
    <row r="760" ht="15" spans="1:8">
      <c r="A760" s="19">
        <v>45324</v>
      </c>
      <c r="B760" s="20">
        <v>944</v>
      </c>
      <c r="C760" s="21">
        <v>0</v>
      </c>
      <c r="D760" s="22"/>
      <c r="E760" s="23"/>
      <c r="F760" s="22"/>
      <c r="G760" s="22"/>
      <c r="H760" s="25"/>
    </row>
    <row r="761" ht="15" spans="1:8">
      <c r="A761" s="19">
        <v>45325</v>
      </c>
      <c r="B761" s="26">
        <v>944</v>
      </c>
      <c r="C761" s="27">
        <v>0</v>
      </c>
      <c r="D761" s="28"/>
      <c r="E761" s="23"/>
      <c r="F761" s="28"/>
      <c r="G761" s="28"/>
      <c r="H761" s="30"/>
    </row>
    <row r="762" ht="15" spans="1:8">
      <c r="A762" s="19">
        <v>45326</v>
      </c>
      <c r="B762" s="20">
        <v>944</v>
      </c>
      <c r="C762" s="21">
        <v>0</v>
      </c>
      <c r="D762" s="22"/>
      <c r="E762" s="46"/>
      <c r="F762" s="22"/>
      <c r="G762" s="22"/>
      <c r="H762" s="25"/>
    </row>
    <row r="763" ht="15" spans="1:8">
      <c r="A763" s="19">
        <v>45327</v>
      </c>
      <c r="B763" s="26">
        <v>943</v>
      </c>
      <c r="C763" s="28">
        <v>-0.0011</v>
      </c>
      <c r="D763" s="28"/>
      <c r="E763" s="33"/>
      <c r="F763" s="28"/>
      <c r="G763" s="28"/>
      <c r="H763" s="30"/>
    </row>
    <row r="764" ht="15" spans="1:8">
      <c r="A764" s="19">
        <v>45328</v>
      </c>
      <c r="B764" s="20">
        <v>943</v>
      </c>
      <c r="C764" s="21">
        <v>0</v>
      </c>
      <c r="D764" s="22"/>
      <c r="E764" s="46"/>
      <c r="F764" s="22"/>
      <c r="G764" s="22"/>
      <c r="H764" s="25"/>
    </row>
    <row r="765" ht="15" spans="1:8">
      <c r="A765" s="19">
        <v>45329</v>
      </c>
      <c r="B765" s="26">
        <v>944</v>
      </c>
      <c r="C765" s="29">
        <v>0.0011</v>
      </c>
      <c r="D765" s="28"/>
      <c r="E765" s="33"/>
      <c r="F765" s="28"/>
      <c r="G765" s="28"/>
      <c r="H765" s="30"/>
    </row>
    <row r="766" ht="15" spans="1:8">
      <c r="A766" s="19">
        <v>45330</v>
      </c>
      <c r="B766" s="20">
        <v>944</v>
      </c>
      <c r="C766" s="21">
        <v>0</v>
      </c>
      <c r="D766" s="22"/>
      <c r="E766" s="33"/>
      <c r="F766" s="22"/>
      <c r="G766" s="22"/>
      <c r="H766" s="25"/>
    </row>
    <row r="767" ht="15" spans="1:8">
      <c r="A767" s="19">
        <v>45331</v>
      </c>
      <c r="B767" s="26">
        <v>944</v>
      </c>
      <c r="C767" s="27">
        <v>0</v>
      </c>
      <c r="D767" s="28"/>
      <c r="E767" s="33"/>
      <c r="F767" s="28"/>
      <c r="G767" s="28"/>
      <c r="H767" s="30"/>
    </row>
    <row r="768" ht="15" spans="1:8">
      <c r="A768" s="19">
        <v>45332</v>
      </c>
      <c r="B768" s="20">
        <v>944</v>
      </c>
      <c r="C768" s="21">
        <v>0</v>
      </c>
      <c r="D768" s="22"/>
      <c r="E768" s="33"/>
      <c r="F768" s="22"/>
      <c r="G768" s="22"/>
      <c r="H768" s="25"/>
    </row>
    <row r="769" ht="15" spans="1:8">
      <c r="A769" s="19">
        <v>45333</v>
      </c>
      <c r="B769" s="26">
        <v>944</v>
      </c>
      <c r="C769" s="27">
        <v>0</v>
      </c>
      <c r="D769" s="28"/>
      <c r="E769" s="33"/>
      <c r="F769" s="28"/>
      <c r="G769" s="28"/>
      <c r="H769" s="30"/>
    </row>
    <row r="770" ht="15" spans="1:8">
      <c r="A770" s="19">
        <v>45334</v>
      </c>
      <c r="B770" s="20">
        <v>944</v>
      </c>
      <c r="C770" s="21">
        <v>0</v>
      </c>
      <c r="D770" s="22"/>
      <c r="E770" s="33"/>
      <c r="F770" s="22"/>
      <c r="G770" s="22"/>
      <c r="H770" s="25"/>
    </row>
    <row r="771" ht="15" spans="1:8">
      <c r="A771" s="19">
        <v>45335</v>
      </c>
      <c r="B771" s="26">
        <v>944</v>
      </c>
      <c r="C771" s="27">
        <v>0</v>
      </c>
      <c r="D771" s="28"/>
      <c r="E771" s="33"/>
      <c r="F771" s="28"/>
      <c r="G771" s="28"/>
      <c r="H771" s="30"/>
    </row>
    <row r="772" ht="15" spans="1:8">
      <c r="A772" s="19">
        <v>45336</v>
      </c>
      <c r="B772" s="20">
        <v>944</v>
      </c>
      <c r="C772" s="21">
        <v>0</v>
      </c>
      <c r="D772" s="22"/>
      <c r="E772" s="33"/>
      <c r="F772" s="22"/>
      <c r="G772" s="22"/>
      <c r="H772" s="25"/>
    </row>
    <row r="773" ht="15" spans="1:8">
      <c r="A773" s="19">
        <v>45337</v>
      </c>
      <c r="B773" s="26">
        <v>944</v>
      </c>
      <c r="C773" s="27">
        <v>0</v>
      </c>
      <c r="D773" s="28"/>
      <c r="E773" s="33"/>
      <c r="F773" s="28"/>
      <c r="G773" s="28"/>
      <c r="H773" s="30"/>
    </row>
    <row r="774" ht="15" spans="1:8">
      <c r="A774" s="19">
        <v>45338</v>
      </c>
      <c r="B774" s="20">
        <v>944</v>
      </c>
      <c r="C774" s="21">
        <v>0</v>
      </c>
      <c r="D774" s="22"/>
      <c r="E774" s="33"/>
      <c r="F774" s="22"/>
      <c r="G774" s="22"/>
      <c r="H774" s="25"/>
    </row>
    <row r="775" ht="15" spans="1:8">
      <c r="A775" s="19">
        <v>45339</v>
      </c>
      <c r="B775" s="26">
        <v>944</v>
      </c>
      <c r="C775" s="27">
        <v>0</v>
      </c>
      <c r="D775" s="28"/>
      <c r="E775" s="33"/>
      <c r="F775" s="28"/>
      <c r="G775" s="28"/>
      <c r="H775" s="30"/>
    </row>
    <row r="776" ht="15" spans="1:8">
      <c r="A776" s="19">
        <v>45340</v>
      </c>
      <c r="B776" s="20">
        <v>946</v>
      </c>
      <c r="C776" s="24">
        <v>0.0021</v>
      </c>
      <c r="D776" s="22"/>
      <c r="E776" s="33"/>
      <c r="F776" s="22"/>
      <c r="G776" s="22"/>
      <c r="H776" s="25"/>
    </row>
    <row r="777" ht="15" spans="1:8">
      <c r="A777" s="19">
        <v>45341</v>
      </c>
      <c r="B777" s="26">
        <v>949</v>
      </c>
      <c r="C777" s="29">
        <v>0.0032</v>
      </c>
      <c r="D777" s="28"/>
      <c r="E777" s="33"/>
      <c r="F777" s="28"/>
      <c r="G777" s="28"/>
      <c r="H777" s="30"/>
    </row>
    <row r="778" ht="15" spans="1:8">
      <c r="A778" s="19">
        <v>45342</v>
      </c>
      <c r="B778" s="20">
        <v>948</v>
      </c>
      <c r="C778" s="22">
        <v>-0.0011</v>
      </c>
      <c r="D778" s="22"/>
      <c r="E778" s="33"/>
      <c r="F778" s="22"/>
      <c r="G778" s="22"/>
      <c r="H778" s="25"/>
    </row>
    <row r="779" ht="15" spans="1:8">
      <c r="A779" s="19">
        <v>45343</v>
      </c>
      <c r="B779" s="26">
        <v>948</v>
      </c>
      <c r="C779" s="27">
        <v>0</v>
      </c>
      <c r="D779" s="28"/>
      <c r="E779" s="33"/>
      <c r="F779" s="28"/>
      <c r="G779" s="28"/>
      <c r="H779" s="30"/>
    </row>
    <row r="780" ht="15" spans="1:8">
      <c r="A780" s="19">
        <v>45344</v>
      </c>
      <c r="B780" s="20">
        <v>948</v>
      </c>
      <c r="C780" s="21">
        <v>0</v>
      </c>
      <c r="D780" s="22"/>
      <c r="E780" s="33"/>
      <c r="F780" s="22"/>
      <c r="G780" s="22"/>
      <c r="H780" s="50"/>
    </row>
    <row r="781" ht="15" spans="1:8">
      <c r="A781" s="19">
        <v>45345</v>
      </c>
      <c r="B781" s="26">
        <v>948</v>
      </c>
      <c r="C781" s="27">
        <v>0</v>
      </c>
      <c r="D781" s="28"/>
      <c r="E781" s="33"/>
      <c r="F781" s="28"/>
      <c r="G781" s="28"/>
      <c r="H781" s="51"/>
    </row>
    <row r="782" ht="15" spans="1:8">
      <c r="A782" s="19">
        <v>45346</v>
      </c>
      <c r="B782" s="20">
        <v>948</v>
      </c>
      <c r="C782" s="21">
        <v>0</v>
      </c>
      <c r="D782" s="22"/>
      <c r="E782" s="33"/>
      <c r="F782" s="22"/>
      <c r="G782" s="22"/>
      <c r="H782" s="50"/>
    </row>
    <row r="783" ht="15" spans="1:8">
      <c r="A783" s="19">
        <v>45347</v>
      </c>
      <c r="B783" s="26">
        <v>948</v>
      </c>
      <c r="C783" s="27">
        <v>0</v>
      </c>
      <c r="D783" s="28"/>
      <c r="E783" s="33"/>
      <c r="F783" s="28"/>
      <c r="G783" s="28"/>
      <c r="H783" s="51"/>
    </row>
    <row r="784" ht="15" spans="1:8">
      <c r="A784" s="19">
        <v>45348</v>
      </c>
      <c r="B784" s="20">
        <v>947</v>
      </c>
      <c r="C784" s="22">
        <v>-0.0011</v>
      </c>
      <c r="D784" s="22"/>
      <c r="E784" s="33"/>
      <c r="F784" s="22"/>
      <c r="G784" s="22"/>
      <c r="H784" s="50"/>
    </row>
    <row r="785" ht="15" spans="1:8">
      <c r="A785" s="19">
        <v>45349</v>
      </c>
      <c r="B785" s="26">
        <v>947</v>
      </c>
      <c r="C785" s="27">
        <v>0</v>
      </c>
      <c r="D785" s="28"/>
      <c r="E785" s="33"/>
      <c r="F785" s="28"/>
      <c r="G785" s="28"/>
      <c r="H785" s="51"/>
    </row>
    <row r="786" ht="15" spans="1:8">
      <c r="A786" s="19">
        <v>45350</v>
      </c>
      <c r="B786" s="20">
        <v>947</v>
      </c>
      <c r="C786" s="21">
        <v>0</v>
      </c>
      <c r="D786" s="22"/>
      <c r="E786" s="33"/>
      <c r="F786" s="22"/>
      <c r="G786" s="22"/>
      <c r="H786" s="50"/>
    </row>
    <row r="787" ht="15" spans="1:8">
      <c r="A787" s="19">
        <v>45351</v>
      </c>
      <c r="B787" s="26">
        <v>946</v>
      </c>
      <c r="C787" s="28">
        <v>-0.0011</v>
      </c>
      <c r="D787" s="28"/>
      <c r="E787" s="33"/>
      <c r="F787" s="28"/>
      <c r="G787" s="28"/>
      <c r="H787" s="51"/>
    </row>
    <row r="788" ht="15" spans="1:8">
      <c r="A788" s="19">
        <v>45352</v>
      </c>
      <c r="B788" s="20">
        <v>947</v>
      </c>
      <c r="C788" s="24">
        <v>0.0011</v>
      </c>
      <c r="D788" s="22"/>
      <c r="E788" s="33"/>
      <c r="F788" s="22"/>
      <c r="G788" s="22"/>
      <c r="H788" s="50"/>
    </row>
    <row r="789" ht="15" spans="1:8">
      <c r="A789" s="19">
        <v>45353</v>
      </c>
      <c r="B789" s="26">
        <v>946</v>
      </c>
      <c r="C789" s="28">
        <v>-0.0011</v>
      </c>
      <c r="D789" s="28"/>
      <c r="E789" s="33"/>
      <c r="F789" s="28"/>
      <c r="G789" s="28"/>
      <c r="H789" s="51"/>
    </row>
    <row r="790" ht="15" spans="1:8">
      <c r="A790" s="19">
        <v>45354</v>
      </c>
      <c r="B790" s="20">
        <v>946</v>
      </c>
      <c r="C790" s="21">
        <v>0</v>
      </c>
      <c r="D790" s="22"/>
      <c r="E790" s="33"/>
      <c r="F790" s="22"/>
      <c r="G790" s="22"/>
      <c r="H790" s="50"/>
    </row>
    <row r="791" ht="15" spans="1:8">
      <c r="A791" s="19">
        <v>45355</v>
      </c>
      <c r="B791" s="26">
        <v>946</v>
      </c>
      <c r="C791" s="27">
        <v>0</v>
      </c>
      <c r="D791" s="28"/>
      <c r="E791" s="33"/>
      <c r="F791" s="28"/>
      <c r="G791" s="28"/>
      <c r="H791" s="51"/>
    </row>
    <row r="792" ht="15" spans="1:8">
      <c r="A792" s="19">
        <v>45356</v>
      </c>
      <c r="B792" s="20">
        <v>945</v>
      </c>
      <c r="C792" s="22">
        <v>-0.0011</v>
      </c>
      <c r="D792" s="22"/>
      <c r="E792" s="33"/>
      <c r="F792" s="22"/>
      <c r="G792" s="22"/>
      <c r="H792" s="50"/>
    </row>
    <row r="793" ht="15" spans="1:8">
      <c r="A793" s="19">
        <v>45357</v>
      </c>
      <c r="B793" s="26">
        <v>943</v>
      </c>
      <c r="C793" s="28">
        <v>-0.0021</v>
      </c>
      <c r="D793" s="28"/>
      <c r="E793" s="33"/>
      <c r="F793" s="28"/>
      <c r="G793" s="28"/>
      <c r="H793" s="51"/>
    </row>
    <row r="794" ht="15" spans="1:8">
      <c r="A794" s="19">
        <v>45358</v>
      </c>
      <c r="B794" s="20">
        <v>944</v>
      </c>
      <c r="C794" s="24">
        <v>0.0011</v>
      </c>
      <c r="D794" s="22"/>
      <c r="E794" s="33"/>
      <c r="F794" s="22"/>
      <c r="G794" s="22"/>
      <c r="H794" s="50"/>
    </row>
    <row r="795" ht="15" spans="1:8">
      <c r="A795" s="19">
        <v>45359</v>
      </c>
      <c r="B795" s="26">
        <v>944</v>
      </c>
      <c r="C795" s="27">
        <v>0</v>
      </c>
      <c r="D795" s="28"/>
      <c r="E795" s="33"/>
      <c r="F795" s="28"/>
      <c r="G795" s="28"/>
      <c r="H795" s="51"/>
    </row>
    <row r="796" ht="15" spans="1:8">
      <c r="A796" s="19">
        <v>45360</v>
      </c>
      <c r="B796" s="20">
        <v>943</v>
      </c>
      <c r="C796" s="22">
        <v>-0.0011</v>
      </c>
      <c r="D796" s="22"/>
      <c r="E796" s="33"/>
      <c r="F796" s="22"/>
      <c r="G796" s="22"/>
      <c r="H796" s="50"/>
    </row>
    <row r="797" ht="15" spans="1:8">
      <c r="A797" s="19">
        <v>45361</v>
      </c>
      <c r="B797" s="26">
        <v>943</v>
      </c>
      <c r="C797" s="27">
        <v>0</v>
      </c>
      <c r="D797" s="28"/>
      <c r="E797" s="33"/>
      <c r="F797" s="28"/>
      <c r="G797" s="28"/>
      <c r="H797" s="51"/>
    </row>
    <row r="798" ht="15" spans="1:8">
      <c r="A798" s="19">
        <v>45362</v>
      </c>
      <c r="B798" s="20">
        <v>943</v>
      </c>
      <c r="C798" s="21">
        <v>0</v>
      </c>
      <c r="D798" s="22"/>
      <c r="E798" s="33"/>
      <c r="F798" s="22"/>
      <c r="G798" s="22"/>
      <c r="H798" s="50"/>
    </row>
    <row r="799" ht="15" spans="1:8">
      <c r="A799" s="19">
        <v>45363</v>
      </c>
      <c r="B799" s="26">
        <v>943</v>
      </c>
      <c r="C799" s="27">
        <v>0</v>
      </c>
      <c r="D799" s="28"/>
      <c r="E799" s="33"/>
      <c r="F799" s="28"/>
      <c r="G799" s="28"/>
      <c r="H799" s="51"/>
    </row>
    <row r="800" ht="15" spans="1:8">
      <c r="A800" s="19">
        <v>45364</v>
      </c>
      <c r="B800" s="20">
        <v>941</v>
      </c>
      <c r="C800" s="22">
        <v>-0.0021</v>
      </c>
      <c r="D800" s="22"/>
      <c r="E800" s="33"/>
      <c r="F800" s="22"/>
      <c r="G800" s="22"/>
      <c r="H800" s="50"/>
    </row>
    <row r="801" ht="15" spans="1:8">
      <c r="A801" s="19">
        <v>45365</v>
      </c>
      <c r="B801" s="26">
        <v>942</v>
      </c>
      <c r="C801" s="29">
        <v>0.0011</v>
      </c>
      <c r="D801" s="28"/>
      <c r="E801" s="33"/>
      <c r="F801" s="28"/>
      <c r="G801" s="28"/>
      <c r="H801" s="51"/>
    </row>
    <row r="802" ht="15" spans="1:8">
      <c r="A802" s="19">
        <v>45366</v>
      </c>
      <c r="B802" s="20">
        <v>940</v>
      </c>
      <c r="C802" s="22">
        <v>-0.0021</v>
      </c>
      <c r="D802" s="22"/>
      <c r="E802" s="33"/>
      <c r="F802" s="22"/>
      <c r="G802" s="22"/>
      <c r="H802" s="50"/>
    </row>
    <row r="803" ht="15" spans="1:8">
      <c r="A803" s="19">
        <v>45367</v>
      </c>
      <c r="B803" s="26">
        <v>940</v>
      </c>
      <c r="C803" s="27">
        <v>0</v>
      </c>
      <c r="D803" s="28"/>
      <c r="E803" s="33"/>
      <c r="F803" s="28"/>
      <c r="G803" s="28"/>
      <c r="H803" s="51"/>
    </row>
    <row r="804" ht="15" spans="1:8">
      <c r="A804" s="19">
        <v>45368</v>
      </c>
      <c r="B804" s="20">
        <v>940</v>
      </c>
      <c r="C804" s="21">
        <v>0</v>
      </c>
      <c r="D804" s="22"/>
      <c r="E804" s="33"/>
      <c r="F804" s="22"/>
      <c r="G804" s="22"/>
      <c r="H804" s="50"/>
    </row>
    <row r="805" ht="15" spans="1:8">
      <c r="A805" s="19">
        <v>45369</v>
      </c>
      <c r="B805" s="26">
        <v>941</v>
      </c>
      <c r="C805" s="29">
        <v>0.0011</v>
      </c>
      <c r="D805" s="28"/>
      <c r="E805" s="33"/>
      <c r="F805" s="28"/>
      <c r="G805" s="28"/>
      <c r="H805" s="51"/>
    </row>
    <row r="806" ht="15" spans="1:8">
      <c r="A806" s="19">
        <v>45370</v>
      </c>
      <c r="B806" s="20">
        <v>942</v>
      </c>
      <c r="C806" s="24">
        <v>0.0011</v>
      </c>
      <c r="D806" s="22"/>
      <c r="E806" s="33"/>
      <c r="F806" s="22"/>
      <c r="G806" s="22"/>
      <c r="H806" s="50"/>
    </row>
    <row r="807" ht="15" spans="1:8">
      <c r="A807" s="19">
        <v>45371</v>
      </c>
      <c r="B807" s="26">
        <v>942</v>
      </c>
      <c r="C807" s="27">
        <v>0</v>
      </c>
      <c r="D807" s="28"/>
      <c r="E807" s="33"/>
      <c r="F807" s="28"/>
      <c r="G807" s="28"/>
      <c r="H807" s="51"/>
    </row>
    <row r="808" ht="15" spans="1:8">
      <c r="A808" s="19">
        <v>45372</v>
      </c>
      <c r="B808" s="20">
        <v>942</v>
      </c>
      <c r="C808" s="21">
        <v>0</v>
      </c>
      <c r="D808" s="22"/>
      <c r="E808" s="33"/>
      <c r="F808" s="22"/>
      <c r="G808" s="22"/>
      <c r="H808" s="50"/>
    </row>
    <row r="809" ht="15" spans="1:8">
      <c r="A809" s="19">
        <v>45373</v>
      </c>
      <c r="B809" s="26">
        <v>940</v>
      </c>
      <c r="C809" s="28">
        <v>-0.0021</v>
      </c>
      <c r="D809" s="28"/>
      <c r="E809" s="33"/>
      <c r="F809" s="28"/>
      <c r="G809" s="28"/>
      <c r="H809" s="51"/>
    </row>
    <row r="810" ht="15" spans="1:8">
      <c r="A810" s="19">
        <v>45374</v>
      </c>
      <c r="B810" s="20">
        <v>939</v>
      </c>
      <c r="C810" s="22">
        <v>-0.0011</v>
      </c>
      <c r="D810" s="22"/>
      <c r="E810" s="33"/>
      <c r="F810" s="22"/>
      <c r="G810" s="22"/>
      <c r="H810" s="50"/>
    </row>
    <row r="811" ht="15" spans="1:8">
      <c r="A811" s="19">
        <v>45375</v>
      </c>
      <c r="B811" s="26">
        <v>939</v>
      </c>
      <c r="C811" s="27">
        <v>0</v>
      </c>
      <c r="D811" s="28"/>
      <c r="E811" s="33"/>
      <c r="F811" s="28"/>
      <c r="G811" s="28"/>
      <c r="H811" s="51"/>
    </row>
    <row r="812" ht="15" spans="1:8">
      <c r="A812" s="19">
        <v>45376</v>
      </c>
      <c r="B812" s="20">
        <v>937</v>
      </c>
      <c r="C812" s="22">
        <v>-0.0021</v>
      </c>
      <c r="D812" s="22"/>
      <c r="E812" s="33"/>
      <c r="F812" s="22"/>
      <c r="G812" s="22"/>
      <c r="H812" s="50"/>
    </row>
    <row r="813" ht="15" spans="1:8">
      <c r="A813" s="19">
        <v>45377</v>
      </c>
      <c r="B813" s="26">
        <v>935</v>
      </c>
      <c r="C813" s="28">
        <v>-0.0021</v>
      </c>
      <c r="D813" s="28"/>
      <c r="E813" s="33"/>
      <c r="F813" s="28"/>
      <c r="G813" s="28"/>
      <c r="H813" s="51"/>
    </row>
    <row r="814" ht="15" spans="1:8">
      <c r="A814" s="19">
        <v>45378</v>
      </c>
      <c r="B814" s="20">
        <v>932</v>
      </c>
      <c r="C814" s="22">
        <v>-0.0032</v>
      </c>
      <c r="D814" s="22"/>
      <c r="E814" s="33"/>
      <c r="F814" s="22"/>
      <c r="G814" s="22"/>
      <c r="H814" s="50"/>
    </row>
    <row r="815" ht="15" spans="1:8">
      <c r="A815" s="35">
        <v>45379</v>
      </c>
      <c r="B815" s="36">
        <v>931</v>
      </c>
      <c r="C815" s="38">
        <v>-0.0011</v>
      </c>
      <c r="D815" s="38"/>
      <c r="E815" s="47"/>
      <c r="F815" s="38"/>
      <c r="G815" s="38"/>
      <c r="H815" s="52"/>
    </row>
    <row r="816" ht="15" spans="1:8">
      <c r="A816" s="12">
        <v>45380</v>
      </c>
      <c r="B816" s="42">
        <v>931</v>
      </c>
      <c r="C816" s="48">
        <v>0</v>
      </c>
      <c r="D816" s="43"/>
      <c r="E816" s="49"/>
      <c r="F816" s="43"/>
      <c r="G816" s="43"/>
      <c r="H816" s="53"/>
    </row>
    <row r="817" ht="15" spans="1:8">
      <c r="A817" s="19">
        <v>45381</v>
      </c>
      <c r="B817" s="26">
        <v>931</v>
      </c>
      <c r="C817" s="27">
        <v>0</v>
      </c>
      <c r="D817" s="28"/>
      <c r="E817" s="33"/>
      <c r="F817" s="28"/>
      <c r="G817" s="28"/>
      <c r="H817" s="51"/>
    </row>
    <row r="818" ht="15" spans="1:8">
      <c r="A818" s="19">
        <v>45382</v>
      </c>
      <c r="B818" s="20">
        <v>931</v>
      </c>
      <c r="C818" s="21">
        <v>0</v>
      </c>
      <c r="D818" s="22"/>
      <c r="E818" s="33"/>
      <c r="F818" s="22"/>
      <c r="G818" s="22"/>
      <c r="H818" s="50"/>
    </row>
    <row r="819" ht="15" spans="1:8">
      <c r="A819" s="19">
        <v>45383</v>
      </c>
      <c r="B819" s="26">
        <v>932</v>
      </c>
      <c r="C819" s="29">
        <v>0.0011</v>
      </c>
      <c r="D819" s="28"/>
      <c r="E819" s="33"/>
      <c r="F819" s="28"/>
      <c r="G819" s="28"/>
      <c r="H819" s="51"/>
    </row>
    <row r="820" ht="15" spans="1:8">
      <c r="A820" s="19">
        <v>45384</v>
      </c>
      <c r="B820" s="20">
        <v>933</v>
      </c>
      <c r="C820" s="24">
        <v>0.0011</v>
      </c>
      <c r="D820" s="22"/>
      <c r="E820" s="33"/>
      <c r="F820" s="22"/>
      <c r="G820" s="22"/>
      <c r="H820" s="50"/>
    </row>
    <row r="821" ht="15" spans="1:8">
      <c r="A821" s="19">
        <v>45385</v>
      </c>
      <c r="B821" s="26">
        <v>934</v>
      </c>
      <c r="C821" s="29">
        <v>0.0011</v>
      </c>
      <c r="D821" s="28"/>
      <c r="E821" s="33"/>
      <c r="F821" s="28"/>
      <c r="G821" s="28"/>
      <c r="H821" s="51"/>
    </row>
    <row r="822" ht="15" spans="1:8">
      <c r="A822" s="19">
        <v>45386</v>
      </c>
      <c r="B822" s="20">
        <v>933</v>
      </c>
      <c r="C822" s="22">
        <v>-0.0011</v>
      </c>
      <c r="D822" s="22"/>
      <c r="E822" s="33"/>
      <c r="F822" s="22"/>
      <c r="G822" s="22"/>
      <c r="H822" s="50"/>
    </row>
    <row r="823" ht="15" spans="1:8">
      <c r="A823" s="19">
        <v>45387</v>
      </c>
      <c r="B823" s="26">
        <v>933</v>
      </c>
      <c r="C823" s="27">
        <v>0</v>
      </c>
      <c r="D823" s="28"/>
      <c r="E823" s="33"/>
      <c r="F823" s="28"/>
      <c r="G823" s="28"/>
      <c r="H823" s="51"/>
    </row>
    <row r="824" ht="15" spans="1:8">
      <c r="A824" s="19">
        <v>45388</v>
      </c>
      <c r="B824" s="20">
        <v>933</v>
      </c>
      <c r="C824" s="21">
        <v>0</v>
      </c>
      <c r="D824" s="22"/>
      <c r="E824" s="33"/>
      <c r="F824" s="22"/>
      <c r="G824" s="22"/>
      <c r="H824" s="50"/>
    </row>
    <row r="825" ht="15" spans="1:8">
      <c r="A825" s="19">
        <v>45389</v>
      </c>
      <c r="B825" s="26">
        <v>933</v>
      </c>
      <c r="C825" s="27">
        <v>0</v>
      </c>
      <c r="D825" s="28"/>
      <c r="E825" s="33"/>
      <c r="F825" s="28"/>
      <c r="G825" s="28"/>
      <c r="H825" s="51"/>
    </row>
    <row r="826" ht="15" spans="1:8">
      <c r="A826" s="19">
        <v>45390</v>
      </c>
      <c r="B826" s="20">
        <v>935</v>
      </c>
      <c r="C826" s="24">
        <v>0.0021</v>
      </c>
      <c r="D826" s="22"/>
      <c r="E826" s="33"/>
      <c r="F826" s="22"/>
      <c r="G826" s="22"/>
      <c r="H826" s="50"/>
    </row>
    <row r="827" ht="15" spans="1:8">
      <c r="A827" s="19">
        <v>45391</v>
      </c>
      <c r="B827" s="26">
        <v>936</v>
      </c>
      <c r="C827" s="29">
        <v>0.0011</v>
      </c>
      <c r="D827" s="28"/>
      <c r="E827" s="33"/>
      <c r="F827" s="28"/>
      <c r="G827" s="28"/>
      <c r="H827" s="51"/>
    </row>
    <row r="828" ht="15" spans="1:8">
      <c r="A828" s="19">
        <v>45392</v>
      </c>
      <c r="B828" s="20">
        <v>937</v>
      </c>
      <c r="C828" s="24">
        <v>0.0011</v>
      </c>
      <c r="D828" s="22"/>
      <c r="E828" s="33"/>
      <c r="F828" s="22"/>
      <c r="G828" s="22"/>
      <c r="H828" s="50"/>
    </row>
    <row r="829" ht="15" spans="1:8">
      <c r="A829" s="19">
        <v>45393</v>
      </c>
      <c r="B829" s="26">
        <v>939</v>
      </c>
      <c r="C829" s="29">
        <v>0.0021</v>
      </c>
      <c r="D829" s="28"/>
      <c r="E829" s="33"/>
      <c r="F829" s="28"/>
      <c r="G829" s="28"/>
      <c r="H829" s="51"/>
    </row>
    <row r="830" ht="15" spans="1:8">
      <c r="A830" s="31">
        <v>45394</v>
      </c>
      <c r="B830" s="32">
        <v>939</v>
      </c>
      <c r="C830" s="46">
        <v>0</v>
      </c>
      <c r="D830" s="33"/>
      <c r="E830" s="33"/>
      <c r="F830" s="33"/>
      <c r="G830" s="33"/>
      <c r="H830" s="54"/>
    </row>
    <row r="831" ht="15" spans="1:8">
      <c r="A831" s="19">
        <v>45395</v>
      </c>
      <c r="B831" s="26">
        <v>939</v>
      </c>
      <c r="C831" s="27">
        <v>0</v>
      </c>
      <c r="D831" s="28"/>
      <c r="E831" s="33"/>
      <c r="F831" s="28"/>
      <c r="G831" s="28"/>
      <c r="H831" s="51"/>
    </row>
    <row r="832" ht="15" spans="1:8">
      <c r="A832" s="19">
        <v>45396</v>
      </c>
      <c r="B832" s="20">
        <v>940</v>
      </c>
      <c r="C832" s="24">
        <v>0.0011</v>
      </c>
      <c r="D832" s="22"/>
      <c r="E832" s="33"/>
      <c r="F832" s="22"/>
      <c r="G832" s="22"/>
      <c r="H832" s="50"/>
    </row>
    <row r="833" ht="15" spans="1:8">
      <c r="A833" s="19">
        <v>45397</v>
      </c>
      <c r="B833" s="26">
        <v>942</v>
      </c>
      <c r="C833" s="29">
        <v>0.0021</v>
      </c>
      <c r="D833" s="28"/>
      <c r="E833" s="33"/>
      <c r="F833" s="28"/>
      <c r="G833" s="28"/>
      <c r="H833" s="51"/>
    </row>
    <row r="834" ht="15" spans="1:8">
      <c r="A834" s="19">
        <v>45398</v>
      </c>
      <c r="B834" s="20">
        <v>943</v>
      </c>
      <c r="C834" s="24">
        <v>0.0011</v>
      </c>
      <c r="D834" s="24"/>
      <c r="E834" s="33"/>
      <c r="F834" s="22"/>
      <c r="G834" s="22"/>
      <c r="H834" s="50"/>
    </row>
    <row r="835" ht="15" spans="1:8">
      <c r="A835" s="19">
        <v>45399</v>
      </c>
      <c r="B835" s="26">
        <v>943</v>
      </c>
      <c r="C835" s="27">
        <v>0</v>
      </c>
      <c r="D835" s="27"/>
      <c r="E835" s="33"/>
      <c r="F835" s="28"/>
      <c r="G835" s="28"/>
      <c r="H835" s="51"/>
    </row>
    <row r="836" ht="15" spans="1:8">
      <c r="A836" s="19">
        <v>45400</v>
      </c>
      <c r="B836" s="20">
        <v>944</v>
      </c>
      <c r="C836" s="24">
        <v>0.0011</v>
      </c>
      <c r="D836" s="24"/>
      <c r="E836" s="33"/>
      <c r="F836" s="22"/>
      <c r="G836" s="22"/>
      <c r="H836" s="50"/>
    </row>
    <row r="837" ht="15" spans="1:8">
      <c r="A837" s="19">
        <v>45401</v>
      </c>
      <c r="B837" s="26">
        <v>946</v>
      </c>
      <c r="C837" s="29">
        <v>0.0021</v>
      </c>
      <c r="D837" s="29"/>
      <c r="E837" s="33"/>
      <c r="F837" s="28"/>
      <c r="G837" s="28"/>
      <c r="H837" s="51"/>
    </row>
    <row r="838" ht="15" spans="1:8">
      <c r="A838" s="19">
        <v>45402</v>
      </c>
      <c r="B838" s="20">
        <v>946</v>
      </c>
      <c r="C838" s="21">
        <v>0</v>
      </c>
      <c r="D838" s="24"/>
      <c r="E838" s="33"/>
      <c r="F838" s="22"/>
      <c r="G838" s="22"/>
      <c r="H838" s="50"/>
    </row>
    <row r="839" ht="15" spans="1:8">
      <c r="A839" s="19">
        <v>45403</v>
      </c>
      <c r="B839" s="26">
        <v>946</v>
      </c>
      <c r="C839" s="27">
        <v>0</v>
      </c>
      <c r="D839" s="29"/>
      <c r="E839" s="33"/>
      <c r="F839" s="28"/>
      <c r="G839" s="28"/>
      <c r="H839" s="51"/>
    </row>
    <row r="840" ht="15" spans="1:8">
      <c r="A840" s="19">
        <v>45404</v>
      </c>
      <c r="B840" s="20">
        <v>949</v>
      </c>
      <c r="C840" s="24">
        <v>0.0032</v>
      </c>
      <c r="D840" s="24"/>
      <c r="E840" s="33"/>
      <c r="F840" s="22"/>
      <c r="G840" s="22"/>
      <c r="H840" s="50"/>
    </row>
    <row r="841" ht="15" spans="1:8">
      <c r="A841" s="19">
        <v>45405</v>
      </c>
      <c r="B841" s="26">
        <v>948</v>
      </c>
      <c r="C841" s="28">
        <v>-0.0011</v>
      </c>
      <c r="D841" s="29"/>
      <c r="E841" s="33"/>
      <c r="F841" s="28"/>
      <c r="G841" s="28"/>
      <c r="H841" s="51"/>
    </row>
    <row r="842" ht="15" spans="1:8">
      <c r="A842" s="19">
        <v>45406</v>
      </c>
      <c r="B842" s="20">
        <v>946</v>
      </c>
      <c r="C842" s="22">
        <v>-0.0021</v>
      </c>
      <c r="D842" s="24"/>
      <c r="E842" s="33"/>
      <c r="F842" s="22"/>
      <c r="G842" s="22"/>
      <c r="H842" s="50"/>
    </row>
    <row r="843" ht="15" spans="1:8">
      <c r="A843" s="19">
        <v>45407</v>
      </c>
      <c r="B843" s="26">
        <v>946</v>
      </c>
      <c r="C843" s="27">
        <v>0</v>
      </c>
      <c r="D843" s="29"/>
      <c r="E843" s="33"/>
      <c r="F843" s="28"/>
      <c r="G843" s="28"/>
      <c r="H843" s="51"/>
    </row>
    <row r="844" ht="15" spans="1:8">
      <c r="A844" s="19">
        <v>45408</v>
      </c>
      <c r="B844" s="20">
        <v>948</v>
      </c>
      <c r="C844" s="24">
        <v>0.0021</v>
      </c>
      <c r="D844" s="24"/>
      <c r="E844" s="33"/>
      <c r="F844" s="22"/>
      <c r="G844" s="22"/>
      <c r="H844" s="50"/>
    </row>
    <row r="845" ht="15" spans="1:8">
      <c r="A845" s="19">
        <v>45409</v>
      </c>
      <c r="B845" s="26">
        <v>947</v>
      </c>
      <c r="C845" s="28">
        <v>-0.0011</v>
      </c>
      <c r="D845" s="29"/>
      <c r="E845" s="33"/>
      <c r="F845" s="28"/>
      <c r="G845" s="28"/>
      <c r="H845" s="51"/>
    </row>
    <row r="846" ht="15" spans="1:8">
      <c r="A846" s="19">
        <v>45410</v>
      </c>
      <c r="B846" s="20">
        <v>948</v>
      </c>
      <c r="C846" s="24">
        <v>0.0011</v>
      </c>
      <c r="D846" s="24"/>
      <c r="E846" s="33"/>
      <c r="F846" s="22"/>
      <c r="G846" s="22"/>
      <c r="H846" s="50"/>
    </row>
    <row r="847" ht="15" spans="1:8">
      <c r="A847" s="19">
        <v>45411</v>
      </c>
      <c r="B847" s="26">
        <v>948</v>
      </c>
      <c r="C847" s="27">
        <v>0</v>
      </c>
      <c r="D847" s="29"/>
      <c r="E847" s="33"/>
      <c r="F847" s="28"/>
      <c r="G847" s="28"/>
      <c r="H847" s="51"/>
    </row>
    <row r="848" ht="15" spans="1:8">
      <c r="A848" s="19">
        <v>45412</v>
      </c>
      <c r="B848" s="20">
        <v>949</v>
      </c>
      <c r="C848" s="24">
        <v>0.0011</v>
      </c>
      <c r="D848" s="24"/>
      <c r="E848" s="33"/>
      <c r="F848" s="22"/>
      <c r="G848" s="22"/>
      <c r="H848" s="50"/>
    </row>
    <row r="849" ht="15" spans="1:8">
      <c r="A849" s="19">
        <v>45413</v>
      </c>
      <c r="B849" s="26">
        <v>949</v>
      </c>
      <c r="C849" s="27">
        <v>0</v>
      </c>
      <c r="D849" s="29"/>
      <c r="E849" s="33"/>
      <c r="F849" s="28"/>
      <c r="G849" s="28"/>
      <c r="H849" s="51"/>
    </row>
    <row r="850" ht="15" spans="1:8">
      <c r="A850" s="19">
        <v>45414</v>
      </c>
      <c r="B850" s="20">
        <v>949</v>
      </c>
      <c r="C850" s="21">
        <v>0</v>
      </c>
      <c r="D850" s="24"/>
      <c r="E850" s="33"/>
      <c r="F850" s="22"/>
      <c r="G850" s="22"/>
      <c r="H850" s="50"/>
    </row>
    <row r="851" ht="15" spans="1:8">
      <c r="A851" s="19">
        <v>45415</v>
      </c>
      <c r="B851" s="26">
        <v>949</v>
      </c>
      <c r="C851" s="27">
        <v>0</v>
      </c>
      <c r="D851" s="29"/>
      <c r="E851" s="33"/>
      <c r="F851" s="28"/>
      <c r="G851" s="28"/>
      <c r="H851" s="51"/>
    </row>
    <row r="852" ht="15" spans="1:8">
      <c r="A852" s="19">
        <v>45416</v>
      </c>
      <c r="B852" s="20">
        <v>949</v>
      </c>
      <c r="C852" s="21">
        <v>0</v>
      </c>
      <c r="D852" s="24"/>
      <c r="E852" s="33"/>
      <c r="F852" s="22"/>
      <c r="G852" s="22"/>
      <c r="H852" s="50"/>
    </row>
    <row r="853" ht="15" spans="1:8">
      <c r="A853" s="19">
        <v>45417</v>
      </c>
      <c r="B853" s="26">
        <v>949</v>
      </c>
      <c r="C853" s="27">
        <v>0</v>
      </c>
      <c r="D853" s="29"/>
      <c r="E853" s="33"/>
      <c r="F853" s="28"/>
      <c r="G853" s="28"/>
      <c r="H853" s="51"/>
    </row>
    <row r="854" ht="15" spans="1:8">
      <c r="A854" s="19">
        <v>45418</v>
      </c>
      <c r="B854" s="20">
        <v>948</v>
      </c>
      <c r="C854" s="22">
        <v>-0.0011</v>
      </c>
      <c r="D854" s="24"/>
      <c r="E854" s="33"/>
      <c r="F854" s="22"/>
      <c r="G854" s="22"/>
      <c r="H854" s="50"/>
    </row>
    <row r="855" ht="15" spans="1:8">
      <c r="A855" s="19">
        <v>45419</v>
      </c>
      <c r="B855" s="26">
        <v>949</v>
      </c>
      <c r="C855" s="29">
        <v>0.0011</v>
      </c>
      <c r="D855" s="29"/>
      <c r="E855" s="33"/>
      <c r="F855" s="28"/>
      <c r="G855" s="28"/>
      <c r="H855" s="51"/>
    </row>
    <row r="856" ht="15" spans="1:8">
      <c r="A856" s="19">
        <v>45420</v>
      </c>
      <c r="B856" s="20">
        <v>948</v>
      </c>
      <c r="C856" s="22">
        <v>-0.0011</v>
      </c>
      <c r="D856" s="24"/>
      <c r="E856" s="33"/>
      <c r="F856" s="22"/>
      <c r="G856" s="22"/>
      <c r="H856" s="50"/>
    </row>
    <row r="857" ht="15" spans="1:8">
      <c r="A857" s="19">
        <v>45421</v>
      </c>
      <c r="B857" s="26">
        <v>948</v>
      </c>
      <c r="C857" s="27">
        <v>0</v>
      </c>
      <c r="D857" s="29"/>
      <c r="E857" s="33"/>
      <c r="F857" s="28"/>
      <c r="G857" s="28"/>
      <c r="H857" s="51"/>
    </row>
    <row r="858" ht="15" spans="1:8">
      <c r="A858" s="19">
        <v>45422</v>
      </c>
      <c r="B858" s="20">
        <v>948</v>
      </c>
      <c r="C858" s="21">
        <v>0</v>
      </c>
      <c r="D858" s="24"/>
      <c r="E858" s="33"/>
      <c r="F858" s="22"/>
      <c r="G858" s="22"/>
      <c r="H858" s="50"/>
    </row>
    <row r="859" ht="15" spans="1:8">
      <c r="A859" s="19">
        <v>45423</v>
      </c>
      <c r="B859" s="26">
        <v>948</v>
      </c>
      <c r="C859" s="27">
        <v>0</v>
      </c>
      <c r="D859" s="29"/>
      <c r="E859" s="33"/>
      <c r="F859" s="28"/>
      <c r="G859" s="28"/>
      <c r="H859" s="51"/>
    </row>
    <row r="860" ht="15" spans="1:8">
      <c r="A860" s="19">
        <v>45424</v>
      </c>
      <c r="B860" s="20">
        <v>948</v>
      </c>
      <c r="C860" s="21">
        <v>0</v>
      </c>
      <c r="D860" s="24"/>
      <c r="E860" s="33"/>
      <c r="F860" s="24"/>
      <c r="G860" s="22"/>
      <c r="H860" s="50"/>
    </row>
    <row r="861" ht="15" spans="1:8">
      <c r="A861" s="19">
        <v>45425</v>
      </c>
      <c r="B861" s="26">
        <v>948</v>
      </c>
      <c r="C861" s="27">
        <v>0</v>
      </c>
      <c r="D861" s="29"/>
      <c r="E861" s="33"/>
      <c r="F861" s="29"/>
      <c r="G861" s="28"/>
      <c r="H861" s="51"/>
    </row>
    <row r="862" ht="15" spans="1:8">
      <c r="A862" s="19">
        <v>45426</v>
      </c>
      <c r="B862" s="20">
        <v>951</v>
      </c>
      <c r="C862" s="24">
        <v>0.0032</v>
      </c>
      <c r="D862" s="24"/>
      <c r="E862" s="33"/>
      <c r="F862" s="24"/>
      <c r="G862" s="22"/>
      <c r="H862" s="50"/>
    </row>
    <row r="863" ht="15" spans="1:8">
      <c r="A863" s="19">
        <v>45427</v>
      </c>
      <c r="B863" s="26">
        <v>951</v>
      </c>
      <c r="C863" s="27">
        <v>0</v>
      </c>
      <c r="D863" s="29"/>
      <c r="E863" s="33"/>
      <c r="F863" s="29"/>
      <c r="G863" s="28"/>
      <c r="H863" s="51"/>
    </row>
    <row r="864" ht="15" spans="1:8">
      <c r="A864" s="19">
        <v>45428</v>
      </c>
      <c r="B864" s="20">
        <v>951</v>
      </c>
      <c r="C864" s="21">
        <v>0</v>
      </c>
      <c r="D864" s="24"/>
      <c r="E864" s="33"/>
      <c r="F864" s="24"/>
      <c r="G864" s="22"/>
      <c r="H864" s="50"/>
    </row>
    <row r="865" ht="15" spans="1:8">
      <c r="A865" s="19">
        <v>45429</v>
      </c>
      <c r="B865" s="26">
        <v>952</v>
      </c>
      <c r="C865" s="29">
        <v>0.0011</v>
      </c>
      <c r="D865" s="29"/>
      <c r="E865" s="33"/>
      <c r="F865" s="29"/>
      <c r="G865" s="28"/>
      <c r="H865" s="51"/>
    </row>
    <row r="866" ht="15" spans="1:8">
      <c r="A866" s="19">
        <v>45430</v>
      </c>
      <c r="B866" s="20">
        <v>952</v>
      </c>
      <c r="C866" s="21">
        <v>0</v>
      </c>
      <c r="D866" s="24"/>
      <c r="E866" s="33"/>
      <c r="F866" s="24"/>
      <c r="G866" s="22"/>
      <c r="H866" s="50"/>
    </row>
    <row r="867" ht="15" spans="1:8">
      <c r="A867" s="19">
        <v>45431</v>
      </c>
      <c r="B867" s="26">
        <v>952</v>
      </c>
      <c r="C867" s="27">
        <v>0</v>
      </c>
      <c r="D867" s="29"/>
      <c r="E867" s="33"/>
      <c r="F867" s="29"/>
      <c r="G867" s="28"/>
      <c r="H867" s="51"/>
    </row>
    <row r="868" ht="15" spans="1:8">
      <c r="A868" s="19">
        <v>45432</v>
      </c>
      <c r="B868" s="20">
        <v>957</v>
      </c>
      <c r="C868" s="24">
        <v>0.0053</v>
      </c>
      <c r="D868" s="24"/>
      <c r="E868" s="33"/>
      <c r="F868" s="24"/>
      <c r="G868" s="22"/>
      <c r="H868" s="50"/>
    </row>
    <row r="869" ht="15" spans="1:8">
      <c r="A869" s="19">
        <v>45433</v>
      </c>
      <c r="B869" s="26">
        <v>957</v>
      </c>
      <c r="C869" s="27">
        <v>0</v>
      </c>
      <c r="D869" s="29"/>
      <c r="E869" s="33"/>
      <c r="F869" s="29"/>
      <c r="G869" s="28"/>
      <c r="H869" s="51"/>
    </row>
    <row r="870" ht="15" spans="1:8">
      <c r="A870" s="19">
        <v>45434</v>
      </c>
      <c r="B870" s="20">
        <v>958</v>
      </c>
      <c r="C870" s="24">
        <v>0.001</v>
      </c>
      <c r="D870" s="24"/>
      <c r="E870" s="33"/>
      <c r="F870" s="24"/>
      <c r="G870" s="22"/>
      <c r="H870" s="50"/>
    </row>
    <row r="871" ht="15" spans="1:8">
      <c r="A871" s="19">
        <v>45435</v>
      </c>
      <c r="B871" s="26">
        <v>956</v>
      </c>
      <c r="C871" s="28">
        <v>-0.0021</v>
      </c>
      <c r="D871" s="29"/>
      <c r="E871" s="33"/>
      <c r="F871" s="29"/>
      <c r="G871" s="28"/>
      <c r="H871" s="51"/>
    </row>
    <row r="872" ht="15" spans="1:8">
      <c r="A872" s="19">
        <v>45436</v>
      </c>
      <c r="B872" s="20">
        <v>955</v>
      </c>
      <c r="C872" s="22">
        <v>-0.001</v>
      </c>
      <c r="D872" s="24"/>
      <c r="E872" s="33"/>
      <c r="F872" s="24"/>
      <c r="G872" s="22"/>
      <c r="H872" s="50"/>
    </row>
    <row r="873" ht="15" spans="1:8">
      <c r="A873" s="19">
        <v>45437</v>
      </c>
      <c r="B873" s="26">
        <v>956</v>
      </c>
      <c r="C873" s="29">
        <v>0.001</v>
      </c>
      <c r="D873" s="29"/>
      <c r="E873" s="33"/>
      <c r="F873" s="29"/>
      <c r="G873" s="28"/>
      <c r="H873" s="51"/>
    </row>
    <row r="874" ht="15" spans="1:8">
      <c r="A874" s="19">
        <v>45438</v>
      </c>
      <c r="B874" s="20">
        <v>956</v>
      </c>
      <c r="C874" s="21">
        <v>0</v>
      </c>
      <c r="D874" s="24"/>
      <c r="E874" s="33"/>
      <c r="F874" s="24"/>
      <c r="G874" s="22"/>
      <c r="H874" s="50"/>
    </row>
    <row r="875" ht="15" spans="1:8">
      <c r="A875" s="19">
        <v>45439</v>
      </c>
      <c r="B875" s="26">
        <v>956</v>
      </c>
      <c r="C875" s="27">
        <v>0</v>
      </c>
      <c r="D875" s="29"/>
      <c r="E875" s="33"/>
      <c r="F875" s="29"/>
      <c r="G875" s="28"/>
      <c r="H875" s="51"/>
    </row>
    <row r="876" ht="15" spans="1:8">
      <c r="A876" s="19">
        <v>45440</v>
      </c>
      <c r="B876" s="20">
        <v>959</v>
      </c>
      <c r="C876" s="24">
        <v>0.0031</v>
      </c>
      <c r="D876" s="24"/>
      <c r="E876" s="23"/>
      <c r="F876" s="24"/>
      <c r="G876" s="22"/>
      <c r="H876" s="50"/>
    </row>
    <row r="877" ht="15" spans="1:8">
      <c r="A877" s="19">
        <v>45441</v>
      </c>
      <c r="B877" s="26">
        <v>959</v>
      </c>
      <c r="C877" s="27">
        <v>0</v>
      </c>
      <c r="D877" s="29"/>
      <c r="E877" s="23"/>
      <c r="F877" s="29"/>
      <c r="G877" s="28"/>
      <c r="H877" s="51"/>
    </row>
    <row r="878" ht="15" spans="1:8">
      <c r="A878" s="19">
        <v>45442</v>
      </c>
      <c r="B878" s="20">
        <v>960</v>
      </c>
      <c r="C878" s="24">
        <v>0.001</v>
      </c>
      <c r="D878" s="24"/>
      <c r="E878" s="23"/>
      <c r="F878" s="24"/>
      <c r="G878" s="22"/>
      <c r="H878" s="50"/>
    </row>
    <row r="879" ht="15" spans="1:8">
      <c r="A879" s="19">
        <v>45443</v>
      </c>
      <c r="B879" s="26">
        <v>959</v>
      </c>
      <c r="C879" s="28">
        <v>-0.001</v>
      </c>
      <c r="D879" s="29"/>
      <c r="E879" s="23"/>
      <c r="F879" s="29"/>
      <c r="G879" s="28"/>
      <c r="H879" s="51"/>
    </row>
    <row r="880" ht="15" spans="1:8">
      <c r="A880" s="19">
        <v>45444</v>
      </c>
      <c r="B880" s="20">
        <v>959</v>
      </c>
      <c r="C880" s="21">
        <v>0</v>
      </c>
      <c r="D880" s="24"/>
      <c r="E880" s="23"/>
      <c r="F880" s="24"/>
      <c r="G880" s="22"/>
      <c r="H880" s="50"/>
    </row>
    <row r="881" ht="15" spans="1:8">
      <c r="A881" s="19">
        <v>45445</v>
      </c>
      <c r="B881" s="26">
        <v>959</v>
      </c>
      <c r="C881" s="27">
        <v>0</v>
      </c>
      <c r="D881" s="29"/>
      <c r="E881" s="23"/>
      <c r="F881" s="29"/>
      <c r="G881" s="28"/>
      <c r="H881" s="51"/>
    </row>
    <row r="882" ht="15" spans="1:8">
      <c r="A882" s="19">
        <v>45446</v>
      </c>
      <c r="B882" s="20">
        <v>957</v>
      </c>
      <c r="C882" s="22">
        <v>-0.0021</v>
      </c>
      <c r="D882" s="24"/>
      <c r="E882" s="46"/>
      <c r="F882" s="24"/>
      <c r="G882" s="22"/>
      <c r="H882" s="50"/>
    </row>
    <row r="883" ht="15" spans="1:8">
      <c r="A883" s="19">
        <v>45447</v>
      </c>
      <c r="B883" s="26">
        <v>956</v>
      </c>
      <c r="C883" s="28">
        <v>-0.001</v>
      </c>
      <c r="D883" s="29"/>
      <c r="E883" s="33"/>
      <c r="F883" s="29"/>
      <c r="G883" s="28"/>
      <c r="H883" s="51"/>
    </row>
    <row r="884" ht="15" spans="1:8">
      <c r="A884" s="19">
        <v>45448</v>
      </c>
      <c r="B884" s="20">
        <v>955</v>
      </c>
      <c r="C884" s="22">
        <v>-0.001</v>
      </c>
      <c r="D884" s="24"/>
      <c r="E884" s="33"/>
      <c r="F884" s="24"/>
      <c r="G884" s="22"/>
      <c r="H884" s="50"/>
    </row>
    <row r="885" ht="15" spans="1:8">
      <c r="A885" s="19">
        <v>45449</v>
      </c>
      <c r="B885" s="26">
        <v>955</v>
      </c>
      <c r="C885" s="27">
        <v>0</v>
      </c>
      <c r="D885" s="29"/>
      <c r="E885" s="46"/>
      <c r="F885" s="29"/>
      <c r="G885" s="28"/>
      <c r="H885" s="51"/>
    </row>
    <row r="886" ht="15" spans="1:8">
      <c r="A886" s="19">
        <v>45450</v>
      </c>
      <c r="B886" s="20">
        <v>956</v>
      </c>
      <c r="C886" s="24">
        <v>0.001</v>
      </c>
      <c r="D886" s="24"/>
      <c r="E886" s="23"/>
      <c r="F886" s="24"/>
      <c r="G886" s="22"/>
      <c r="H886" s="50"/>
    </row>
    <row r="887" ht="15" spans="1:8">
      <c r="A887" s="19">
        <v>45451</v>
      </c>
      <c r="B887" s="26">
        <v>956</v>
      </c>
      <c r="C887" s="27">
        <v>0</v>
      </c>
      <c r="D887" s="29"/>
      <c r="E887" s="46"/>
      <c r="F887" s="29"/>
      <c r="G887" s="28"/>
      <c r="H887" s="51"/>
    </row>
    <row r="888" ht="15" spans="1:8">
      <c r="A888" s="19">
        <v>45452</v>
      </c>
      <c r="B888" s="20">
        <v>956</v>
      </c>
      <c r="C888" s="21">
        <v>0</v>
      </c>
      <c r="D888" s="24"/>
      <c r="E888" s="46"/>
      <c r="F888" s="24"/>
      <c r="G888" s="22"/>
      <c r="H888" s="50"/>
    </row>
    <row r="889" ht="15" spans="1:8">
      <c r="A889" s="19">
        <v>45453</v>
      </c>
      <c r="B889" s="26">
        <v>956</v>
      </c>
      <c r="C889" s="27">
        <v>0</v>
      </c>
      <c r="D889" s="29"/>
      <c r="E889" s="46"/>
      <c r="F889" s="29"/>
      <c r="G889" s="28"/>
      <c r="H889" s="51"/>
    </row>
    <row r="890" ht="15" spans="1:8">
      <c r="A890" s="19">
        <v>45454</v>
      </c>
      <c r="B890" s="20">
        <v>955</v>
      </c>
      <c r="C890" s="22">
        <v>-0.001</v>
      </c>
      <c r="D890" s="24"/>
      <c r="E890" s="23"/>
      <c r="F890" s="24"/>
      <c r="G890" s="22"/>
      <c r="H890" s="50"/>
    </row>
    <row r="891" ht="15" spans="1:8">
      <c r="A891" s="19">
        <v>45455</v>
      </c>
      <c r="B891" s="26">
        <v>955</v>
      </c>
      <c r="C891" s="27">
        <v>0</v>
      </c>
      <c r="D891" s="29"/>
      <c r="E891" s="23"/>
      <c r="F891" s="29"/>
      <c r="G891" s="28"/>
      <c r="H891" s="51"/>
    </row>
    <row r="892" ht="15" spans="1:8">
      <c r="A892" s="19">
        <v>45456</v>
      </c>
      <c r="B892" s="20">
        <v>955</v>
      </c>
      <c r="C892" s="21">
        <v>0</v>
      </c>
      <c r="D892" s="24"/>
      <c r="E892" s="23"/>
      <c r="F892" s="24"/>
      <c r="G892" s="22"/>
      <c r="H892" s="50"/>
    </row>
    <row r="893" ht="15" spans="1:8">
      <c r="A893" s="19">
        <v>45457</v>
      </c>
      <c r="B893" s="26">
        <v>954</v>
      </c>
      <c r="C893" s="28">
        <v>-0.001</v>
      </c>
      <c r="D893" s="29"/>
      <c r="E893" s="46"/>
      <c r="F893" s="29"/>
      <c r="G893" s="28"/>
      <c r="H893" s="51"/>
    </row>
    <row r="894" ht="15" spans="1:8">
      <c r="A894" s="19">
        <v>45458</v>
      </c>
      <c r="B894" s="20">
        <v>954</v>
      </c>
      <c r="C894" s="21">
        <v>0</v>
      </c>
      <c r="D894" s="24"/>
      <c r="E894" s="46"/>
      <c r="F894" s="24"/>
      <c r="G894" s="22"/>
      <c r="H894" s="50"/>
    </row>
    <row r="895" ht="15" spans="1:8">
      <c r="A895" s="19">
        <v>45459</v>
      </c>
      <c r="B895" s="26">
        <v>954</v>
      </c>
      <c r="C895" s="27">
        <v>0</v>
      </c>
      <c r="D895" s="29"/>
      <c r="E895" s="46"/>
      <c r="F895" s="29"/>
      <c r="G895" s="28"/>
      <c r="H895" s="51"/>
    </row>
    <row r="896" ht="15" spans="1:8">
      <c r="A896" s="19">
        <v>45460</v>
      </c>
      <c r="B896" s="20">
        <v>953</v>
      </c>
      <c r="C896" s="22">
        <v>-0.001</v>
      </c>
      <c r="D896" s="24"/>
      <c r="E896" s="33"/>
      <c r="F896" s="24"/>
      <c r="G896" s="22"/>
      <c r="H896" s="50"/>
    </row>
    <row r="897" ht="15" spans="1:8">
      <c r="A897" s="19">
        <v>45461</v>
      </c>
      <c r="B897" s="26">
        <v>952</v>
      </c>
      <c r="C897" s="28">
        <v>-0.001</v>
      </c>
      <c r="D897" s="29"/>
      <c r="E897" s="33"/>
      <c r="F897" s="29"/>
      <c r="G897" s="28"/>
      <c r="H897" s="51"/>
    </row>
    <row r="898" ht="15" spans="1:8">
      <c r="A898" s="19">
        <v>45462</v>
      </c>
      <c r="B898" s="20">
        <v>952</v>
      </c>
      <c r="C898" s="21">
        <v>0</v>
      </c>
      <c r="D898" s="24"/>
      <c r="E898" s="33"/>
      <c r="F898" s="24"/>
      <c r="G898" s="22"/>
      <c r="H898" s="50"/>
    </row>
    <row r="899" ht="15" spans="1:8">
      <c r="A899" s="19">
        <v>45463</v>
      </c>
      <c r="B899" s="26">
        <v>952</v>
      </c>
      <c r="C899" s="27">
        <v>0</v>
      </c>
      <c r="D899" s="29"/>
      <c r="E899" s="33"/>
      <c r="F899" s="29"/>
      <c r="G899" s="28"/>
      <c r="H899" s="51"/>
    </row>
    <row r="900" ht="15" spans="1:8">
      <c r="A900" s="19">
        <v>45464</v>
      </c>
      <c r="B900" s="20">
        <v>951</v>
      </c>
      <c r="C900" s="22">
        <v>-0.0011</v>
      </c>
      <c r="D900" s="24"/>
      <c r="E900" s="33"/>
      <c r="F900" s="24"/>
      <c r="G900" s="22"/>
      <c r="H900" s="50"/>
    </row>
    <row r="901" ht="15" spans="1:8">
      <c r="A901" s="19">
        <v>45465</v>
      </c>
      <c r="B901" s="26">
        <v>951</v>
      </c>
      <c r="C901" s="27">
        <v>0</v>
      </c>
      <c r="D901" s="29"/>
      <c r="E901" s="33"/>
      <c r="F901" s="29"/>
      <c r="G901" s="28"/>
      <c r="H901" s="51"/>
    </row>
    <row r="902" ht="15" spans="1:8">
      <c r="A902" s="19">
        <v>45466</v>
      </c>
      <c r="B902" s="20">
        <v>951</v>
      </c>
      <c r="C902" s="21">
        <v>0</v>
      </c>
      <c r="D902" s="24"/>
      <c r="E902" s="33"/>
      <c r="F902" s="24"/>
      <c r="G902" s="22"/>
      <c r="H902" s="50"/>
    </row>
    <row r="903" ht="15" spans="1:8">
      <c r="A903" s="19">
        <v>45467</v>
      </c>
      <c r="B903" s="26">
        <v>950</v>
      </c>
      <c r="C903" s="28">
        <v>-0.0011</v>
      </c>
      <c r="D903" s="29"/>
      <c r="E903" s="33"/>
      <c r="F903" s="29"/>
      <c r="G903" s="28"/>
      <c r="H903" s="51"/>
    </row>
    <row r="904" ht="15" spans="1:8">
      <c r="A904" s="19">
        <v>45468</v>
      </c>
      <c r="B904" s="20">
        <v>949</v>
      </c>
      <c r="C904" s="22">
        <v>-0.0011</v>
      </c>
      <c r="D904" s="24"/>
      <c r="E904" s="33"/>
      <c r="F904" s="24"/>
      <c r="G904" s="22"/>
      <c r="H904" s="50"/>
    </row>
    <row r="905" ht="15" spans="1:8">
      <c r="A905" s="19">
        <v>45469</v>
      </c>
      <c r="B905" s="26">
        <v>947</v>
      </c>
      <c r="C905" s="28">
        <v>-0.0021</v>
      </c>
      <c r="D905" s="29"/>
      <c r="E905" s="33"/>
      <c r="F905" s="29"/>
      <c r="G905" s="28"/>
      <c r="H905" s="51"/>
    </row>
    <row r="906" ht="15" spans="1:8">
      <c r="A906" s="19">
        <v>45470</v>
      </c>
      <c r="B906" s="20">
        <v>947</v>
      </c>
      <c r="C906" s="21">
        <v>0</v>
      </c>
      <c r="D906" s="24"/>
      <c r="E906" s="33"/>
      <c r="F906" s="24"/>
      <c r="G906" s="22"/>
      <c r="H906" s="50"/>
    </row>
    <row r="907" ht="15" spans="1:8">
      <c r="A907" s="19">
        <v>45471</v>
      </c>
      <c r="B907" s="26">
        <v>948</v>
      </c>
      <c r="C907" s="29">
        <v>0.0011</v>
      </c>
      <c r="D907" s="29"/>
      <c r="E907" s="33"/>
      <c r="F907" s="29"/>
      <c r="G907" s="28"/>
      <c r="H907" s="51"/>
    </row>
    <row r="908" ht="15" spans="1:8">
      <c r="A908" s="19">
        <v>45472</v>
      </c>
      <c r="B908" s="20">
        <v>948</v>
      </c>
      <c r="C908" s="21">
        <v>0</v>
      </c>
      <c r="D908" s="24"/>
      <c r="E908" s="33"/>
      <c r="F908" s="24"/>
      <c r="G908" s="22"/>
      <c r="H908" s="50"/>
    </row>
    <row r="909" ht="15" spans="1:8">
      <c r="A909" s="19">
        <v>45473</v>
      </c>
      <c r="B909" s="26">
        <v>948</v>
      </c>
      <c r="C909" s="27">
        <v>0</v>
      </c>
      <c r="D909" s="29"/>
      <c r="E909" s="33"/>
      <c r="F909" s="29"/>
      <c r="G909" s="28"/>
      <c r="H909" s="51"/>
    </row>
    <row r="910" ht="15" spans="1:8">
      <c r="A910" s="19">
        <v>45474</v>
      </c>
      <c r="B910" s="20">
        <v>943</v>
      </c>
      <c r="C910" s="22">
        <v>-0.0053</v>
      </c>
      <c r="D910" s="24"/>
      <c r="E910" s="33"/>
      <c r="F910" s="24"/>
      <c r="G910" s="22"/>
      <c r="H910" s="50"/>
    </row>
    <row r="911" ht="15" spans="1:8">
      <c r="A911" s="19">
        <v>45475</v>
      </c>
      <c r="B911" s="26">
        <v>943</v>
      </c>
      <c r="C911" s="27">
        <v>0</v>
      </c>
      <c r="D911" s="29"/>
      <c r="E911" s="33"/>
      <c r="F911" s="29"/>
      <c r="G911" s="28"/>
      <c r="H911" s="51"/>
    </row>
    <row r="912" ht="15" spans="1:8">
      <c r="A912" s="19">
        <v>45476</v>
      </c>
      <c r="B912" s="20">
        <v>942</v>
      </c>
      <c r="C912" s="22">
        <v>-0.0011</v>
      </c>
      <c r="D912" s="24"/>
      <c r="E912" s="33"/>
      <c r="F912" s="24"/>
      <c r="G912" s="22"/>
      <c r="H912" s="50"/>
    </row>
    <row r="913" ht="15" spans="1:8">
      <c r="A913" s="19">
        <v>45477</v>
      </c>
      <c r="B913" s="26">
        <v>942</v>
      </c>
      <c r="C913" s="27">
        <v>0</v>
      </c>
      <c r="D913" s="29"/>
      <c r="E913" s="33"/>
      <c r="F913" s="29"/>
      <c r="G913" s="28"/>
      <c r="H913" s="51"/>
    </row>
    <row r="914" ht="15" spans="1:8">
      <c r="A914" s="19">
        <v>45478</v>
      </c>
      <c r="B914" s="20">
        <v>942</v>
      </c>
      <c r="C914" s="21">
        <v>0</v>
      </c>
      <c r="D914" s="24"/>
      <c r="E914" s="33"/>
      <c r="F914" s="24"/>
      <c r="G914" s="22"/>
      <c r="H914" s="50"/>
    </row>
    <row r="915" ht="15" spans="1:8">
      <c r="A915" s="35">
        <v>45479</v>
      </c>
      <c r="B915" s="36">
        <v>942</v>
      </c>
      <c r="C915" s="37">
        <v>0</v>
      </c>
      <c r="D915" s="40"/>
      <c r="E915" s="47"/>
      <c r="F915" s="40"/>
      <c r="G915" s="38"/>
      <c r="H915" s="52"/>
    </row>
    <row r="916" ht="15" spans="1:8">
      <c r="A916" s="55">
        <v>45480</v>
      </c>
      <c r="B916" s="56">
        <v>942</v>
      </c>
      <c r="C916" s="57">
        <v>0</v>
      </c>
      <c r="D916" s="44"/>
      <c r="E916" s="43"/>
      <c r="F916" s="44"/>
      <c r="G916" s="43"/>
      <c r="H916" s="53"/>
    </row>
    <row r="917" ht="15" spans="1:8">
      <c r="A917" s="58">
        <v>45481</v>
      </c>
      <c r="B917" s="59">
        <v>942</v>
      </c>
      <c r="C917" s="60">
        <v>0</v>
      </c>
      <c r="D917" s="29"/>
      <c r="E917" s="28"/>
      <c r="F917" s="29"/>
      <c r="G917" s="28"/>
      <c r="H917" s="51"/>
    </row>
    <row r="918" ht="15" spans="1:8">
      <c r="A918" s="58">
        <v>45482</v>
      </c>
      <c r="B918" s="61">
        <v>939</v>
      </c>
      <c r="C918" s="22">
        <v>-0.0032</v>
      </c>
      <c r="D918" s="24"/>
      <c r="E918" s="22"/>
      <c r="F918" s="24"/>
      <c r="G918" s="22"/>
      <c r="H918" s="50"/>
    </row>
    <row r="919" ht="15" spans="1:8">
      <c r="A919" s="58">
        <v>45483</v>
      </c>
      <c r="B919" s="59">
        <v>936</v>
      </c>
      <c r="C919" s="28">
        <v>-0.0032</v>
      </c>
      <c r="D919" s="28"/>
      <c r="E919" s="28"/>
      <c r="F919" s="29"/>
      <c r="G919" s="28"/>
      <c r="H919" s="51"/>
    </row>
    <row r="920" ht="15" spans="1:8">
      <c r="A920" s="58">
        <v>45484</v>
      </c>
      <c r="B920" s="61">
        <v>936</v>
      </c>
      <c r="C920" s="62">
        <v>0</v>
      </c>
      <c r="D920" s="22"/>
      <c r="E920" s="22"/>
      <c r="F920" s="24"/>
      <c r="G920" s="22"/>
      <c r="H920" s="50"/>
    </row>
    <row r="921" ht="15" spans="1:8">
      <c r="A921" s="58">
        <v>45485</v>
      </c>
      <c r="B921" s="59">
        <v>937</v>
      </c>
      <c r="C921" s="29">
        <v>0.0011</v>
      </c>
      <c r="D921" s="28"/>
      <c r="E921" s="28"/>
      <c r="F921" s="29"/>
      <c r="G921" s="28"/>
      <c r="H921" s="51"/>
    </row>
    <row r="922" ht="15" spans="1:8">
      <c r="A922" s="58">
        <v>45486</v>
      </c>
      <c r="B922" s="61">
        <v>936</v>
      </c>
      <c r="C922" s="22">
        <v>-0.0011</v>
      </c>
      <c r="D922" s="22"/>
      <c r="E922" s="22"/>
      <c r="F922" s="24"/>
      <c r="G922" s="22"/>
      <c r="H922" s="50"/>
    </row>
    <row r="923" ht="15" spans="1:8">
      <c r="A923" s="58">
        <v>45487</v>
      </c>
      <c r="B923" s="59">
        <v>936</v>
      </c>
      <c r="C923" s="60">
        <v>0</v>
      </c>
      <c r="D923" s="28"/>
      <c r="E923" s="28"/>
      <c r="F923" s="29"/>
      <c r="G923" s="28"/>
      <c r="H923" s="51"/>
    </row>
    <row r="924" ht="15" spans="1:8">
      <c r="A924" s="58">
        <v>45488</v>
      </c>
      <c r="B924" s="61">
        <v>935</v>
      </c>
      <c r="C924" s="22">
        <v>-0.0011</v>
      </c>
      <c r="D924" s="22"/>
      <c r="E924" s="22"/>
      <c r="F924" s="24"/>
      <c r="G924" s="22"/>
      <c r="H924" s="50"/>
    </row>
    <row r="925" ht="15" spans="1:8">
      <c r="A925" s="58">
        <v>45489</v>
      </c>
      <c r="B925" s="59">
        <v>933</v>
      </c>
      <c r="C925" s="28">
        <v>-0.0021</v>
      </c>
      <c r="D925" s="28"/>
      <c r="E925" s="28"/>
      <c r="F925" s="29"/>
      <c r="G925" s="28"/>
      <c r="H925" s="51"/>
    </row>
    <row r="926" ht="15" spans="1:8">
      <c r="A926" s="58">
        <v>45490</v>
      </c>
      <c r="B926" s="61">
        <v>932</v>
      </c>
      <c r="C926" s="22">
        <v>-0.0011</v>
      </c>
      <c r="D926" s="22"/>
      <c r="E926" s="22"/>
      <c r="F926" s="24"/>
      <c r="G926" s="22"/>
      <c r="H926" s="50"/>
    </row>
    <row r="927" ht="15" spans="1:8">
      <c r="A927" s="58">
        <v>45491</v>
      </c>
      <c r="B927" s="59">
        <v>930</v>
      </c>
      <c r="C927" s="28">
        <v>-0.0021</v>
      </c>
      <c r="D927" s="28"/>
      <c r="E927" s="28"/>
      <c r="F927" s="29"/>
      <c r="G927" s="28"/>
      <c r="H927" s="51"/>
    </row>
    <row r="928" ht="15" spans="1:8">
      <c r="A928" s="58">
        <v>45492</v>
      </c>
      <c r="B928" s="61">
        <v>929</v>
      </c>
      <c r="C928" s="22">
        <v>-0.0011</v>
      </c>
      <c r="D928" s="22"/>
      <c r="E928" s="22"/>
      <c r="F928" s="24"/>
      <c r="G928" s="22"/>
      <c r="H928" s="50"/>
    </row>
    <row r="929" ht="15" spans="1:8">
      <c r="A929" s="58">
        <v>45493</v>
      </c>
      <c r="B929" s="59">
        <v>928</v>
      </c>
      <c r="C929" s="28">
        <v>-0.0011</v>
      </c>
      <c r="D929" s="28"/>
      <c r="E929" s="28"/>
      <c r="F929" s="29"/>
      <c r="G929" s="28"/>
      <c r="H929" s="51"/>
    </row>
    <row r="930" ht="15" spans="1:8">
      <c r="A930" s="58">
        <v>45494</v>
      </c>
      <c r="B930" s="61">
        <v>928</v>
      </c>
      <c r="C930" s="62">
        <v>0</v>
      </c>
      <c r="D930" s="22"/>
      <c r="E930" s="22"/>
      <c r="F930" s="24"/>
      <c r="G930" s="22"/>
      <c r="H930" s="50"/>
    </row>
    <row r="931" ht="15" spans="1:8">
      <c r="A931" s="58">
        <v>45495</v>
      </c>
      <c r="B931" s="59">
        <v>927</v>
      </c>
      <c r="C931" s="28">
        <v>-0.0011</v>
      </c>
      <c r="D931" s="28"/>
      <c r="E931" s="28"/>
      <c r="F931" s="29"/>
      <c r="G931" s="28"/>
      <c r="H931" s="51"/>
    </row>
    <row r="932" ht="15" spans="1:8">
      <c r="A932" s="58">
        <v>45496</v>
      </c>
      <c r="B932" s="61">
        <v>926</v>
      </c>
      <c r="C932" s="22">
        <v>-0.0011</v>
      </c>
      <c r="D932" s="22"/>
      <c r="E932" s="22"/>
      <c r="F932" s="24"/>
      <c r="G932" s="22"/>
      <c r="H932" s="50"/>
    </row>
    <row r="933" ht="15" spans="1:8">
      <c r="A933" s="58">
        <v>45497</v>
      </c>
      <c r="B933" s="59">
        <v>924</v>
      </c>
      <c r="C933" s="28">
        <v>-0.0022</v>
      </c>
      <c r="D933" s="28"/>
      <c r="E933" s="28"/>
      <c r="F933" s="60"/>
      <c r="G933" s="28"/>
      <c r="H933" s="51"/>
    </row>
    <row r="934" ht="15" spans="1:8">
      <c r="A934" s="58">
        <v>45498</v>
      </c>
      <c r="B934" s="61">
        <v>921</v>
      </c>
      <c r="C934" s="22">
        <v>-0.0032</v>
      </c>
      <c r="D934" s="22"/>
      <c r="E934" s="22"/>
      <c r="F934" s="22"/>
      <c r="G934" s="22"/>
      <c r="H934" s="50"/>
    </row>
    <row r="935" ht="15" spans="1:8">
      <c r="A935" s="58">
        <v>45499</v>
      </c>
      <c r="B935" s="59">
        <v>921</v>
      </c>
      <c r="C935" s="60">
        <v>0</v>
      </c>
      <c r="D935" s="28"/>
      <c r="E935" s="28"/>
      <c r="F935" s="28"/>
      <c r="G935" s="28"/>
      <c r="H935" s="51"/>
    </row>
    <row r="936" ht="15" spans="1:8">
      <c r="A936" s="58">
        <v>45500</v>
      </c>
      <c r="B936" s="61">
        <v>921</v>
      </c>
      <c r="C936" s="62">
        <v>0</v>
      </c>
      <c r="D936" s="22"/>
      <c r="E936" s="22"/>
      <c r="F936" s="22"/>
      <c r="G936" s="22"/>
      <c r="H936" s="50"/>
    </row>
    <row r="937" ht="15" spans="1:8">
      <c r="A937" s="58">
        <v>45501</v>
      </c>
      <c r="B937" s="59">
        <v>921</v>
      </c>
      <c r="C937" s="60">
        <v>0</v>
      </c>
      <c r="D937" s="28"/>
      <c r="E937" s="28"/>
      <c r="F937" s="28"/>
      <c r="G937" s="28"/>
      <c r="H937" s="51"/>
    </row>
    <row r="938" ht="15" spans="1:8">
      <c r="A938" s="58">
        <v>45502</v>
      </c>
      <c r="B938" s="61">
        <v>919</v>
      </c>
      <c r="C938" s="22">
        <v>-0.0022</v>
      </c>
      <c r="D938" s="22"/>
      <c r="E938" s="22"/>
      <c r="F938" s="22"/>
      <c r="G938" s="22"/>
      <c r="H938" s="50"/>
    </row>
    <row r="939" ht="15" spans="1:8">
      <c r="A939" s="58">
        <v>45503</v>
      </c>
      <c r="B939" s="59">
        <v>915</v>
      </c>
      <c r="C939" s="28">
        <v>-0.0044</v>
      </c>
      <c r="D939" s="28"/>
      <c r="E939" s="28"/>
      <c r="F939" s="28"/>
      <c r="G939" s="28"/>
      <c r="H939" s="51"/>
    </row>
    <row r="940" ht="15" spans="1:8">
      <c r="A940" s="58">
        <v>45504</v>
      </c>
      <c r="B940" s="61">
        <v>915</v>
      </c>
      <c r="C940" s="62">
        <v>0</v>
      </c>
      <c r="D940" s="22"/>
      <c r="E940" s="22"/>
      <c r="F940" s="22"/>
      <c r="G940" s="22"/>
      <c r="H940" s="50"/>
    </row>
    <row r="941" ht="15" spans="1:8">
      <c r="A941" s="58">
        <v>45505</v>
      </c>
      <c r="B941" s="59">
        <v>915</v>
      </c>
      <c r="C941" s="60">
        <v>0</v>
      </c>
      <c r="D941" s="28"/>
      <c r="E941" s="28"/>
      <c r="F941" s="28"/>
      <c r="G941" s="28"/>
      <c r="H941" s="51"/>
    </row>
    <row r="942" ht="15" spans="1:8">
      <c r="A942" s="58">
        <v>45506</v>
      </c>
      <c r="B942" s="61">
        <v>914</v>
      </c>
      <c r="C942" s="22">
        <v>-0.0011</v>
      </c>
      <c r="D942" s="22"/>
      <c r="E942" s="22"/>
      <c r="F942" s="22"/>
      <c r="G942" s="22"/>
      <c r="H942" s="50"/>
    </row>
    <row r="943" ht="15" spans="1:8">
      <c r="A943" s="58">
        <v>45507</v>
      </c>
      <c r="B943" s="59">
        <v>913</v>
      </c>
      <c r="C943" s="28">
        <v>-0.0011</v>
      </c>
      <c r="D943" s="28"/>
      <c r="E943" s="28"/>
      <c r="F943" s="28"/>
      <c r="G943" s="28"/>
      <c r="H943" s="51"/>
    </row>
    <row r="944" ht="15" spans="1:8">
      <c r="A944" s="58">
        <v>45508</v>
      </c>
      <c r="B944" s="61">
        <v>913</v>
      </c>
      <c r="C944" s="62">
        <v>0</v>
      </c>
      <c r="D944" s="22"/>
      <c r="E944" s="22"/>
      <c r="F944" s="22"/>
      <c r="G944" s="22"/>
      <c r="H944" s="50"/>
    </row>
    <row r="945" ht="15" spans="1:8">
      <c r="A945" s="58">
        <v>45509</v>
      </c>
      <c r="B945" s="59">
        <v>912</v>
      </c>
      <c r="C945" s="28">
        <v>-0.0011</v>
      </c>
      <c r="D945" s="28"/>
      <c r="E945" s="28"/>
      <c r="F945" s="28"/>
      <c r="G945" s="28"/>
      <c r="H945" s="51"/>
    </row>
    <row r="946" ht="15" spans="1:8">
      <c r="A946" s="58">
        <v>45510</v>
      </c>
      <c r="B946" s="61">
        <v>908</v>
      </c>
      <c r="C946" s="22">
        <v>-0.0044</v>
      </c>
      <c r="D946" s="22"/>
      <c r="E946" s="22"/>
      <c r="F946" s="22"/>
      <c r="G946" s="22"/>
      <c r="H946" s="50"/>
    </row>
    <row r="947" ht="15" spans="1:8">
      <c r="A947" s="58">
        <v>45511</v>
      </c>
      <c r="B947" s="59">
        <v>906</v>
      </c>
      <c r="C947" s="28">
        <v>-0.0022</v>
      </c>
      <c r="D947" s="28"/>
      <c r="E947" s="28"/>
      <c r="F947" s="28"/>
      <c r="G947" s="28"/>
      <c r="H947" s="51"/>
    </row>
    <row r="948" ht="15" spans="1:8">
      <c r="A948" s="58">
        <v>45512</v>
      </c>
      <c r="B948" s="61">
        <v>905</v>
      </c>
      <c r="C948" s="22">
        <v>-0.0011</v>
      </c>
      <c r="D948" s="22"/>
      <c r="E948" s="22"/>
      <c r="F948" s="22"/>
      <c r="G948" s="22"/>
      <c r="H948" s="50"/>
    </row>
    <row r="949" ht="15" spans="1:8">
      <c r="A949" s="58">
        <v>45513</v>
      </c>
      <c r="B949" s="59">
        <v>906</v>
      </c>
      <c r="C949" s="29">
        <v>0.0011</v>
      </c>
      <c r="D949" s="28"/>
      <c r="E949" s="28"/>
      <c r="F949" s="28"/>
      <c r="G949" s="28"/>
      <c r="H949" s="51"/>
    </row>
    <row r="950" ht="15" spans="1:8">
      <c r="A950" s="58">
        <v>45514</v>
      </c>
      <c r="B950" s="61">
        <v>906</v>
      </c>
      <c r="C950" s="62">
        <v>0</v>
      </c>
      <c r="D950" s="22"/>
      <c r="E950" s="22"/>
      <c r="F950" s="22"/>
      <c r="G950" s="22"/>
      <c r="H950" s="50"/>
    </row>
    <row r="951" ht="15" spans="1:8">
      <c r="A951" s="58">
        <v>45515</v>
      </c>
      <c r="B951" s="59">
        <v>906</v>
      </c>
      <c r="C951" s="60">
        <v>0</v>
      </c>
      <c r="D951" s="28"/>
      <c r="E951" s="28"/>
      <c r="F951" s="28"/>
      <c r="G951" s="28"/>
      <c r="H951" s="51"/>
    </row>
    <row r="952" ht="15" spans="1:8">
      <c r="A952" s="58">
        <v>45516</v>
      </c>
      <c r="B952" s="61">
        <v>904</v>
      </c>
      <c r="C952" s="22">
        <v>-0.0022</v>
      </c>
      <c r="D952" s="22"/>
      <c r="E952" s="22"/>
      <c r="F952" s="22"/>
      <c r="G952" s="22"/>
      <c r="H952" s="50"/>
    </row>
    <row r="953" ht="15" spans="1:8">
      <c r="A953" s="58">
        <v>45517</v>
      </c>
      <c r="B953" s="59">
        <v>902</v>
      </c>
      <c r="C953" s="28">
        <v>-0.0022</v>
      </c>
      <c r="D953" s="28"/>
      <c r="E953" s="28"/>
      <c r="F953" s="28"/>
      <c r="G953" s="28"/>
      <c r="H953" s="51"/>
    </row>
    <row r="954" ht="15" spans="1:8">
      <c r="A954" s="58">
        <v>45518</v>
      </c>
      <c r="B954" s="61">
        <v>900</v>
      </c>
      <c r="C954" s="22">
        <v>-0.0022</v>
      </c>
      <c r="D954" s="22"/>
      <c r="E954" s="22"/>
      <c r="F954" s="22"/>
      <c r="G954" s="22"/>
      <c r="H954" s="50"/>
    </row>
    <row r="955" ht="15" spans="1:8">
      <c r="A955" s="58">
        <v>45519</v>
      </c>
      <c r="B955" s="59">
        <v>899</v>
      </c>
      <c r="C955" s="28">
        <v>-0.0011</v>
      </c>
      <c r="D955" s="28"/>
      <c r="E955" s="28"/>
      <c r="F955" s="28"/>
      <c r="G955" s="28"/>
      <c r="H955" s="51"/>
    </row>
    <row r="956" ht="15" spans="1:8">
      <c r="A956" s="58">
        <v>45520</v>
      </c>
      <c r="B956" s="61">
        <v>899</v>
      </c>
      <c r="C956" s="62">
        <v>0</v>
      </c>
      <c r="D956" s="22"/>
      <c r="E956" s="22"/>
      <c r="F956" s="22"/>
      <c r="G956" s="22"/>
      <c r="H956" s="50"/>
    </row>
    <row r="957" ht="15" spans="1:8">
      <c r="A957" s="58">
        <v>45521</v>
      </c>
      <c r="B957" s="59">
        <v>899</v>
      </c>
      <c r="C957" s="60">
        <v>0</v>
      </c>
      <c r="D957" s="28"/>
      <c r="E957" s="28"/>
      <c r="F957" s="28"/>
      <c r="G957" s="28"/>
      <c r="H957" s="51"/>
    </row>
    <row r="958" ht="15" spans="1:8">
      <c r="A958" s="58">
        <v>45522</v>
      </c>
      <c r="B958" s="61">
        <v>899</v>
      </c>
      <c r="C958" s="62">
        <v>0</v>
      </c>
      <c r="D958" s="22"/>
      <c r="E958" s="22"/>
      <c r="F958" s="22"/>
      <c r="G958" s="22"/>
      <c r="H958" s="50"/>
    </row>
    <row r="959" ht="15" spans="1:8">
      <c r="A959" s="58">
        <v>45523</v>
      </c>
      <c r="B959" s="59">
        <v>898</v>
      </c>
      <c r="C959" s="28">
        <v>-0.0011</v>
      </c>
      <c r="D959" s="28"/>
      <c r="E959" s="28"/>
      <c r="F959" s="28"/>
      <c r="G959" s="28"/>
      <c r="H959" s="51"/>
    </row>
    <row r="960" ht="15" spans="1:8">
      <c r="A960" s="58">
        <v>45524</v>
      </c>
      <c r="B960" s="61">
        <v>896</v>
      </c>
      <c r="C960" s="22">
        <v>-0.0022</v>
      </c>
      <c r="D960" s="22"/>
      <c r="E960" s="22"/>
      <c r="F960" s="22"/>
      <c r="G960" s="22"/>
      <c r="H960" s="50"/>
    </row>
    <row r="961" ht="15" spans="1:8">
      <c r="A961" s="58">
        <v>45525</v>
      </c>
      <c r="B961" s="59">
        <v>897</v>
      </c>
      <c r="C961" s="29">
        <v>0.0011</v>
      </c>
      <c r="D961" s="28"/>
      <c r="E961" s="28"/>
      <c r="F961" s="28"/>
      <c r="G961" s="28"/>
      <c r="H961" s="51"/>
    </row>
    <row r="962" ht="15" spans="1:8">
      <c r="A962" s="58">
        <v>45526</v>
      </c>
      <c r="B962" s="61">
        <v>897</v>
      </c>
      <c r="C962" s="62">
        <v>0</v>
      </c>
      <c r="D962" s="22"/>
      <c r="E962" s="22"/>
      <c r="F962" s="22"/>
      <c r="G962" s="22"/>
      <c r="H962" s="50"/>
    </row>
    <row r="963" ht="15" spans="1:8">
      <c r="A963" s="58">
        <v>45527</v>
      </c>
      <c r="B963" s="59">
        <v>895</v>
      </c>
      <c r="C963" s="28">
        <v>-0.0022</v>
      </c>
      <c r="D963" s="28"/>
      <c r="E963" s="28"/>
      <c r="F963" s="28"/>
      <c r="G963" s="28"/>
      <c r="H963" s="51"/>
    </row>
    <row r="964" ht="15" spans="1:8">
      <c r="A964" s="58">
        <v>45528</v>
      </c>
      <c r="B964" s="61">
        <v>895</v>
      </c>
      <c r="C964" s="62">
        <v>0</v>
      </c>
      <c r="D964" s="22"/>
      <c r="E964" s="22"/>
      <c r="F964" s="22"/>
      <c r="G964" s="22"/>
      <c r="H964" s="50"/>
    </row>
    <row r="965" ht="15" spans="1:8">
      <c r="A965" s="58">
        <v>45529</v>
      </c>
      <c r="B965" s="59">
        <v>895</v>
      </c>
      <c r="C965" s="60">
        <v>0</v>
      </c>
      <c r="D965" s="28"/>
      <c r="E965" s="28"/>
      <c r="F965" s="28"/>
      <c r="G965" s="28"/>
      <c r="H965" s="51"/>
    </row>
    <row r="966" ht="15" spans="1:8">
      <c r="A966" s="58">
        <v>45530</v>
      </c>
      <c r="B966" s="61">
        <v>896</v>
      </c>
      <c r="C966" s="24">
        <v>0.0011</v>
      </c>
      <c r="D966" s="22"/>
      <c r="E966" s="22"/>
      <c r="F966" s="22"/>
      <c r="G966" s="22"/>
      <c r="H966" s="50"/>
    </row>
    <row r="967" ht="15" spans="1:8">
      <c r="A967" s="58">
        <v>45531</v>
      </c>
      <c r="B967" s="59">
        <v>896</v>
      </c>
      <c r="C967" s="60">
        <v>0</v>
      </c>
      <c r="D967" s="28"/>
      <c r="E967" s="28"/>
      <c r="F967" s="28"/>
      <c r="G967" s="28"/>
      <c r="H967" s="51"/>
    </row>
    <row r="968" ht="15" spans="1:8">
      <c r="A968" s="58">
        <v>45532</v>
      </c>
      <c r="B968" s="61">
        <v>897</v>
      </c>
      <c r="C968" s="24">
        <v>0.0011</v>
      </c>
      <c r="D968" s="22"/>
      <c r="E968" s="22"/>
      <c r="F968" s="22"/>
      <c r="G968" s="22"/>
      <c r="H968" s="50"/>
    </row>
    <row r="969" ht="15" spans="1:8">
      <c r="A969" s="58">
        <v>45533</v>
      </c>
      <c r="B969" s="59">
        <v>895</v>
      </c>
      <c r="C969" s="28">
        <v>-0.0022</v>
      </c>
      <c r="D969" s="28"/>
      <c r="E969" s="28"/>
      <c r="F969" s="28"/>
      <c r="G969" s="28"/>
      <c r="H969" s="51"/>
    </row>
    <row r="970" ht="15" spans="1:8">
      <c r="A970" s="58">
        <v>45534</v>
      </c>
      <c r="B970" s="61">
        <v>896</v>
      </c>
      <c r="C970" s="24">
        <v>0.0011</v>
      </c>
      <c r="D970" s="22"/>
      <c r="E970" s="22"/>
      <c r="F970" s="22"/>
      <c r="G970" s="22"/>
      <c r="H970" s="50"/>
    </row>
    <row r="971" ht="15" spans="1:8">
      <c r="A971" s="58">
        <v>45535</v>
      </c>
      <c r="B971" s="59">
        <v>896</v>
      </c>
      <c r="C971" s="60">
        <v>0</v>
      </c>
      <c r="D971" s="28"/>
      <c r="E971" s="28"/>
      <c r="F971" s="28"/>
      <c r="G971" s="28"/>
      <c r="H971" s="51"/>
    </row>
    <row r="972" ht="15" spans="1:8">
      <c r="A972" s="58">
        <v>45536</v>
      </c>
      <c r="B972" s="61">
        <v>896</v>
      </c>
      <c r="C972" s="62">
        <v>0</v>
      </c>
      <c r="D972" s="22"/>
      <c r="E972" s="22"/>
      <c r="F972" s="22"/>
      <c r="G972" s="22"/>
      <c r="H972" s="50"/>
    </row>
    <row r="973" ht="15" spans="1:8">
      <c r="A973" s="58">
        <v>45537</v>
      </c>
      <c r="B973" s="59">
        <v>894</v>
      </c>
      <c r="C973" s="28">
        <v>-0.0022</v>
      </c>
      <c r="D973" s="28"/>
      <c r="E973" s="28"/>
      <c r="F973" s="28"/>
      <c r="G973" s="28"/>
      <c r="H973" s="51"/>
    </row>
    <row r="974" ht="15" spans="1:8">
      <c r="A974" s="58">
        <v>45538</v>
      </c>
      <c r="B974" s="61">
        <v>892</v>
      </c>
      <c r="C974" s="22">
        <v>-0.0022</v>
      </c>
      <c r="D974" s="22"/>
      <c r="E974" s="22"/>
      <c r="F974" s="22"/>
      <c r="G974" s="22"/>
      <c r="H974" s="50"/>
    </row>
    <row r="975" ht="15" spans="1:8">
      <c r="A975" s="58">
        <v>45539</v>
      </c>
      <c r="B975" s="59">
        <v>889</v>
      </c>
      <c r="C975" s="28">
        <v>-0.0034</v>
      </c>
      <c r="D975" s="28"/>
      <c r="E975" s="28"/>
      <c r="F975" s="28"/>
      <c r="G975" s="28"/>
      <c r="H975" s="51"/>
    </row>
    <row r="976" ht="15" spans="1:8">
      <c r="A976" s="58">
        <v>45540</v>
      </c>
      <c r="B976" s="61">
        <v>887</v>
      </c>
      <c r="C976" s="22">
        <v>-0.0022</v>
      </c>
      <c r="D976" s="22"/>
      <c r="E976" s="22"/>
      <c r="F976" s="22"/>
      <c r="G976" s="22"/>
      <c r="H976" s="50"/>
    </row>
    <row r="977" ht="15" spans="1:8">
      <c r="A977" s="58">
        <v>45541</v>
      </c>
      <c r="B977" s="59">
        <v>885</v>
      </c>
      <c r="C977" s="28">
        <v>-0.0023</v>
      </c>
      <c r="D977" s="28"/>
      <c r="E977" s="28"/>
      <c r="F977" s="28"/>
      <c r="G977" s="28"/>
      <c r="H977" s="51"/>
    </row>
    <row r="978" ht="15" spans="1:8">
      <c r="A978" s="58">
        <v>45542</v>
      </c>
      <c r="B978" s="61">
        <v>885</v>
      </c>
      <c r="C978" s="62">
        <v>0</v>
      </c>
      <c r="D978" s="22"/>
      <c r="E978" s="22"/>
      <c r="F978" s="22"/>
      <c r="G978" s="22"/>
      <c r="H978" s="50"/>
    </row>
    <row r="979" ht="15" spans="1:8">
      <c r="A979" s="58">
        <v>45543</v>
      </c>
      <c r="B979" s="59">
        <v>885</v>
      </c>
      <c r="C979" s="60">
        <v>0</v>
      </c>
      <c r="D979" s="28"/>
      <c r="E979" s="28"/>
      <c r="F979" s="28"/>
      <c r="G979" s="28"/>
      <c r="H979" s="51"/>
    </row>
    <row r="980" ht="15" spans="1:8">
      <c r="A980" s="58">
        <v>45544</v>
      </c>
      <c r="B980" s="61">
        <v>882</v>
      </c>
      <c r="C980" s="22">
        <v>-0.0034</v>
      </c>
      <c r="D980" s="22"/>
      <c r="E980" s="22"/>
      <c r="F980" s="22"/>
      <c r="G980" s="22"/>
      <c r="H980" s="50"/>
    </row>
    <row r="981" ht="15" spans="1:8">
      <c r="A981" s="58">
        <v>45545</v>
      </c>
      <c r="B981" s="59">
        <v>880</v>
      </c>
      <c r="C981" s="28">
        <v>-0.0023</v>
      </c>
      <c r="D981" s="28"/>
      <c r="E981" s="28"/>
      <c r="F981" s="28"/>
      <c r="G981" s="28"/>
      <c r="H981" s="51"/>
    </row>
    <row r="982" ht="15" spans="1:8">
      <c r="A982" s="58">
        <v>45546</v>
      </c>
      <c r="B982" s="61">
        <v>879</v>
      </c>
      <c r="C982" s="22">
        <v>-0.0011</v>
      </c>
      <c r="D982" s="22"/>
      <c r="E982" s="22"/>
      <c r="F982" s="22"/>
      <c r="G982" s="22"/>
      <c r="H982" s="50"/>
    </row>
    <row r="983" ht="15" spans="1:8">
      <c r="A983" s="58">
        <v>45547</v>
      </c>
      <c r="B983" s="59">
        <v>880</v>
      </c>
      <c r="C983" s="29">
        <v>0.0011</v>
      </c>
      <c r="D983" s="28"/>
      <c r="E983" s="28"/>
      <c r="F983" s="28"/>
      <c r="G983" s="28"/>
      <c r="H983" s="51"/>
    </row>
    <row r="984" ht="15" spans="1:8">
      <c r="A984" s="58">
        <v>45548</v>
      </c>
      <c r="B984" s="61">
        <v>881</v>
      </c>
      <c r="C984" s="24">
        <v>0.0011</v>
      </c>
      <c r="D984" s="22"/>
      <c r="E984" s="22"/>
      <c r="F984" s="22"/>
      <c r="G984" s="22"/>
      <c r="H984" s="50"/>
    </row>
    <row r="985" ht="15" spans="1:8">
      <c r="A985" s="58">
        <v>45549</v>
      </c>
      <c r="B985" s="59">
        <v>880</v>
      </c>
      <c r="C985" s="28">
        <v>-0.0011</v>
      </c>
      <c r="D985" s="28"/>
      <c r="E985" s="28"/>
      <c r="F985" s="28"/>
      <c r="G985" s="28"/>
      <c r="H985" s="51"/>
    </row>
    <row r="986" ht="15" spans="1:8">
      <c r="A986" s="58">
        <v>45550</v>
      </c>
      <c r="B986" s="61">
        <v>880</v>
      </c>
      <c r="C986" s="62">
        <v>0</v>
      </c>
      <c r="D986" s="22"/>
      <c r="E986" s="22"/>
      <c r="F986" s="22"/>
      <c r="G986" s="22"/>
      <c r="H986" s="50"/>
    </row>
    <row r="987" ht="15" spans="1:8">
      <c r="A987" s="58">
        <v>45551</v>
      </c>
      <c r="B987" s="59">
        <v>880</v>
      </c>
      <c r="C987" s="60">
        <v>0</v>
      </c>
      <c r="D987" s="28"/>
      <c r="E987" s="28"/>
      <c r="F987" s="28"/>
      <c r="G987" s="28"/>
      <c r="H987" s="51"/>
    </row>
    <row r="988" ht="15" spans="1:8">
      <c r="A988" s="58">
        <v>45552</v>
      </c>
      <c r="B988" s="61">
        <v>880</v>
      </c>
      <c r="C988" s="62">
        <v>0</v>
      </c>
      <c r="D988" s="22"/>
      <c r="E988" s="22"/>
      <c r="F988" s="22"/>
      <c r="G988" s="22"/>
      <c r="H988" s="50"/>
    </row>
    <row r="989" ht="15" spans="1:8">
      <c r="A989" s="58">
        <v>45553</v>
      </c>
      <c r="B989" s="59">
        <v>880</v>
      </c>
      <c r="C989" s="60">
        <v>0</v>
      </c>
      <c r="D989" s="28"/>
      <c r="E989" s="28"/>
      <c r="F989" s="28"/>
      <c r="G989" s="28"/>
      <c r="H989" s="51"/>
    </row>
    <row r="990" ht="15" spans="1:8">
      <c r="A990" s="58">
        <v>45554</v>
      </c>
      <c r="B990" s="61">
        <v>880</v>
      </c>
      <c r="C990" s="62">
        <v>0</v>
      </c>
      <c r="D990" s="22"/>
      <c r="E990" s="22"/>
      <c r="F990" s="22"/>
      <c r="G990" s="22"/>
      <c r="H990" s="50"/>
    </row>
    <row r="991" ht="15" spans="1:8">
      <c r="A991" s="58">
        <v>45555</v>
      </c>
      <c r="B991" s="59">
        <v>881</v>
      </c>
      <c r="C991" s="29">
        <v>0.0011</v>
      </c>
      <c r="D991" s="28"/>
      <c r="E991" s="28"/>
      <c r="F991" s="28"/>
      <c r="G991" s="28"/>
      <c r="H991" s="51"/>
    </row>
    <row r="992" ht="15" spans="1:8">
      <c r="A992" s="58">
        <v>45556</v>
      </c>
      <c r="B992" s="61">
        <v>881</v>
      </c>
      <c r="C992" s="62">
        <v>0</v>
      </c>
      <c r="D992" s="22"/>
      <c r="E992" s="22"/>
      <c r="F992" s="22"/>
      <c r="G992" s="22"/>
      <c r="H992" s="50"/>
    </row>
    <row r="993" ht="15" spans="1:8">
      <c r="A993" s="58">
        <v>45557</v>
      </c>
      <c r="B993" s="59">
        <v>881</v>
      </c>
      <c r="C993" s="60">
        <v>0</v>
      </c>
      <c r="D993" s="28"/>
      <c r="E993" s="28"/>
      <c r="F993" s="28"/>
      <c r="G993" s="28"/>
      <c r="H993" s="51"/>
    </row>
    <row r="994" ht="15" spans="1:8">
      <c r="A994" s="58">
        <v>45558</v>
      </c>
      <c r="B994" s="61">
        <v>879</v>
      </c>
      <c r="C994" s="22">
        <v>-0.0023</v>
      </c>
      <c r="D994" s="22"/>
      <c r="E994" s="22"/>
      <c r="F994" s="22"/>
      <c r="G994" s="22"/>
      <c r="H994" s="50"/>
    </row>
    <row r="995" ht="15" spans="1:8">
      <c r="A995" s="58">
        <v>45559</v>
      </c>
      <c r="B995" s="59">
        <v>877</v>
      </c>
      <c r="C995" s="28">
        <v>-0.0023</v>
      </c>
      <c r="D995" s="28"/>
      <c r="E995" s="28"/>
      <c r="F995" s="28"/>
      <c r="G995" s="28"/>
      <c r="H995" s="51"/>
    </row>
    <row r="996" ht="15" spans="1:8">
      <c r="A996" s="58">
        <v>45560</v>
      </c>
      <c r="B996" s="61">
        <v>879</v>
      </c>
      <c r="C996" s="24">
        <v>0.0023</v>
      </c>
      <c r="D996" s="22"/>
      <c r="E996" s="22"/>
      <c r="F996" s="22"/>
      <c r="G996" s="22"/>
      <c r="H996" s="50"/>
    </row>
    <row r="997" ht="15" spans="1:8">
      <c r="A997" s="58">
        <v>45561</v>
      </c>
      <c r="B997" s="59">
        <v>881</v>
      </c>
      <c r="C997" s="29">
        <v>0.0023</v>
      </c>
      <c r="D997" s="28"/>
      <c r="E997" s="28"/>
      <c r="F997" s="28"/>
      <c r="G997" s="28"/>
      <c r="H997" s="51"/>
    </row>
    <row r="998" ht="15" spans="1:8">
      <c r="A998" s="58">
        <v>45562</v>
      </c>
      <c r="B998" s="61">
        <v>882</v>
      </c>
      <c r="C998" s="24">
        <v>0.0011</v>
      </c>
      <c r="D998" s="22"/>
      <c r="E998" s="22"/>
      <c r="F998" s="22"/>
      <c r="G998" s="22"/>
      <c r="H998" s="50"/>
    </row>
    <row r="999" ht="15" spans="1:8">
      <c r="A999" s="58">
        <v>45563</v>
      </c>
      <c r="B999" s="59">
        <v>882</v>
      </c>
      <c r="C999" s="60">
        <v>0</v>
      </c>
      <c r="D999" s="28"/>
      <c r="E999" s="28"/>
      <c r="F999" s="28"/>
      <c r="G999" s="28"/>
      <c r="H999" s="51"/>
    </row>
    <row r="1000" ht="15" spans="1:8">
      <c r="A1000" s="58">
        <v>45564</v>
      </c>
      <c r="B1000" s="61">
        <v>884</v>
      </c>
      <c r="C1000" s="24">
        <v>0.0023</v>
      </c>
      <c r="D1000" s="22"/>
      <c r="E1000" s="22"/>
      <c r="F1000" s="22"/>
      <c r="G1000" s="22"/>
      <c r="H1000" s="50"/>
    </row>
    <row r="1001" ht="15" spans="1:8">
      <c r="A1001" s="58">
        <v>45565</v>
      </c>
      <c r="B1001" s="59">
        <v>888</v>
      </c>
      <c r="C1001" s="29">
        <v>0.0045</v>
      </c>
      <c r="D1001" s="28"/>
      <c r="E1001" s="28"/>
      <c r="F1001" s="28"/>
      <c r="G1001" s="28"/>
      <c r="H1001" s="51"/>
    </row>
    <row r="1002" ht="15" spans="1:8">
      <c r="A1002" s="58">
        <v>45566</v>
      </c>
      <c r="B1002" s="61">
        <v>888</v>
      </c>
      <c r="C1002" s="62">
        <v>0</v>
      </c>
      <c r="D1002" s="22"/>
      <c r="E1002" s="22"/>
      <c r="F1002" s="22"/>
      <c r="G1002" s="22"/>
      <c r="H1002" s="50"/>
    </row>
    <row r="1003" ht="15" spans="1:8">
      <c r="A1003" s="58">
        <v>45567</v>
      </c>
      <c r="B1003" s="59">
        <v>888</v>
      </c>
      <c r="C1003" s="60">
        <v>0</v>
      </c>
      <c r="D1003" s="28"/>
      <c r="E1003" s="28"/>
      <c r="F1003" s="28"/>
      <c r="G1003" s="28"/>
      <c r="H1003" s="51"/>
    </row>
    <row r="1004" ht="15" spans="1:8">
      <c r="A1004" s="58">
        <v>45568</v>
      </c>
      <c r="B1004" s="61">
        <v>888</v>
      </c>
      <c r="C1004" s="62">
        <v>0</v>
      </c>
      <c r="D1004" s="22"/>
      <c r="E1004" s="22"/>
      <c r="F1004" s="22"/>
      <c r="G1004" s="22"/>
      <c r="H1004" s="50"/>
    </row>
    <row r="1005" ht="15" spans="1:8">
      <c r="A1005" s="58">
        <v>45569</v>
      </c>
      <c r="B1005" s="59">
        <v>888</v>
      </c>
      <c r="C1005" s="60">
        <v>0</v>
      </c>
      <c r="D1005" s="28"/>
      <c r="E1005" s="28"/>
      <c r="F1005" s="28"/>
      <c r="G1005" s="28"/>
      <c r="H1005" s="51"/>
    </row>
    <row r="1006" ht="15" spans="1:8">
      <c r="A1006" s="58">
        <v>45570</v>
      </c>
      <c r="B1006" s="61">
        <v>888</v>
      </c>
      <c r="C1006" s="62">
        <v>0</v>
      </c>
      <c r="D1006" s="22"/>
      <c r="E1006" s="22"/>
      <c r="F1006" s="22"/>
      <c r="G1006" s="22"/>
      <c r="H1006" s="50"/>
    </row>
    <row r="1007" ht="15" spans="1:8">
      <c r="A1007" s="58">
        <v>45571</v>
      </c>
      <c r="B1007" s="59">
        <v>888</v>
      </c>
      <c r="C1007" s="60">
        <v>0</v>
      </c>
      <c r="D1007" s="28"/>
      <c r="E1007" s="28"/>
      <c r="F1007" s="28"/>
      <c r="G1007" s="28"/>
      <c r="H1007" s="51"/>
    </row>
    <row r="1008" ht="15" spans="1:8">
      <c r="A1008" s="58">
        <v>45572</v>
      </c>
      <c r="B1008" s="61">
        <v>888</v>
      </c>
      <c r="C1008" s="62">
        <v>0</v>
      </c>
      <c r="D1008" s="22"/>
      <c r="E1008" s="22"/>
      <c r="F1008" s="22"/>
      <c r="G1008" s="22"/>
      <c r="H1008" s="50"/>
    </row>
    <row r="1009" ht="15" spans="1:8">
      <c r="A1009" s="58">
        <v>45573</v>
      </c>
      <c r="B1009" s="59">
        <v>899</v>
      </c>
      <c r="C1009" s="29">
        <v>0.0124</v>
      </c>
      <c r="D1009" s="28"/>
      <c r="E1009" s="28"/>
      <c r="F1009" s="28"/>
      <c r="G1009" s="28"/>
      <c r="H1009" s="51"/>
    </row>
    <row r="1010" ht="15" spans="1:8">
      <c r="A1010" s="58">
        <v>45574</v>
      </c>
      <c r="B1010" s="61">
        <v>900</v>
      </c>
      <c r="C1010" s="24">
        <v>0.0011</v>
      </c>
      <c r="D1010" s="22"/>
      <c r="E1010" s="22"/>
      <c r="F1010" s="22"/>
      <c r="G1010" s="22"/>
      <c r="H1010" s="50"/>
    </row>
    <row r="1011" ht="15" spans="1:8">
      <c r="A1011" s="58">
        <v>45575</v>
      </c>
      <c r="B1011" s="59">
        <v>901</v>
      </c>
      <c r="C1011" s="29">
        <v>0.0011</v>
      </c>
      <c r="D1011" s="28"/>
      <c r="E1011" s="28"/>
      <c r="F1011" s="28"/>
      <c r="G1011" s="28"/>
      <c r="H1011" s="51"/>
    </row>
    <row r="1012" ht="15" spans="1:8">
      <c r="A1012" s="58">
        <v>45576</v>
      </c>
      <c r="B1012" s="61">
        <v>902</v>
      </c>
      <c r="C1012" s="24">
        <v>0.0011</v>
      </c>
      <c r="D1012" s="22"/>
      <c r="E1012" s="22"/>
      <c r="F1012" s="22"/>
      <c r="G1012" s="22"/>
      <c r="H1012" s="50"/>
    </row>
    <row r="1013" ht="15" spans="1:8">
      <c r="A1013" s="58">
        <v>45577</v>
      </c>
      <c r="B1013" s="59">
        <v>903</v>
      </c>
      <c r="C1013" s="29">
        <v>0.0011</v>
      </c>
      <c r="D1013" s="28"/>
      <c r="E1013" s="28"/>
      <c r="F1013" s="28"/>
      <c r="G1013" s="28"/>
      <c r="H1013" s="51"/>
    </row>
    <row r="1014" ht="15" spans="1:8">
      <c r="A1014" s="58">
        <v>45578</v>
      </c>
      <c r="B1014" s="61">
        <v>903</v>
      </c>
      <c r="C1014" s="62">
        <v>0</v>
      </c>
      <c r="D1014" s="22"/>
      <c r="E1014" s="22"/>
      <c r="F1014" s="22"/>
      <c r="G1014" s="22"/>
      <c r="H1014" s="50"/>
    </row>
    <row r="1015" ht="15" spans="1:8">
      <c r="A1015" s="63">
        <v>45579</v>
      </c>
      <c r="B1015" s="64">
        <v>903</v>
      </c>
      <c r="C1015" s="65">
        <v>0</v>
      </c>
      <c r="D1015" s="38"/>
      <c r="E1015" s="38"/>
      <c r="F1015" s="38"/>
      <c r="G1015" s="38"/>
      <c r="H1015" s="52"/>
    </row>
    <row r="1016" ht="15" spans="1:8">
      <c r="A1016" s="55">
        <v>45580</v>
      </c>
      <c r="B1016" s="56">
        <v>901</v>
      </c>
      <c r="C1016" s="43">
        <v>-0.0022</v>
      </c>
      <c r="D1016" s="43"/>
      <c r="E1016" s="43"/>
      <c r="F1016" s="43"/>
      <c r="G1016" s="43"/>
      <c r="H1016" s="53"/>
    </row>
    <row r="1017" ht="15" spans="1:8">
      <c r="A1017" s="58">
        <v>45581</v>
      </c>
      <c r="B1017" s="59">
        <v>900</v>
      </c>
      <c r="C1017" s="28">
        <v>-0.0011</v>
      </c>
      <c r="D1017" s="28"/>
      <c r="E1017" s="28"/>
      <c r="F1017" s="28"/>
      <c r="G1017" s="28"/>
      <c r="H1017" s="51"/>
    </row>
    <row r="1018" ht="15" spans="1:8">
      <c r="A1018" s="58">
        <v>45582</v>
      </c>
      <c r="B1018" s="61">
        <v>899</v>
      </c>
      <c r="C1018" s="22">
        <v>-0.0011</v>
      </c>
      <c r="D1018" s="22"/>
      <c r="E1018" s="22"/>
      <c r="F1018" s="22"/>
      <c r="G1018" s="22"/>
      <c r="H1018" s="50"/>
    </row>
    <row r="1019" ht="15" spans="1:8">
      <c r="A1019" s="58">
        <v>45583</v>
      </c>
      <c r="B1019" s="59">
        <v>896</v>
      </c>
      <c r="C1019" s="28">
        <v>-0.0033</v>
      </c>
      <c r="D1019" s="28"/>
      <c r="E1019" s="28"/>
      <c r="F1019" s="28"/>
      <c r="G1019" s="28"/>
      <c r="H1019" s="51"/>
    </row>
    <row r="1020" ht="15" spans="1:8">
      <c r="A1020" s="58">
        <v>45584</v>
      </c>
      <c r="B1020" s="61">
        <v>895</v>
      </c>
      <c r="C1020" s="22">
        <v>-0.0011</v>
      </c>
      <c r="D1020" s="22"/>
      <c r="E1020" s="22"/>
      <c r="F1020" s="22"/>
      <c r="G1020" s="22"/>
      <c r="H1020" s="50"/>
    </row>
    <row r="1021" ht="15" spans="1:8">
      <c r="A1021" s="58">
        <v>45585</v>
      </c>
      <c r="B1021" s="59">
        <v>895</v>
      </c>
      <c r="C1021" s="60">
        <v>0</v>
      </c>
      <c r="D1021" s="28"/>
      <c r="E1021" s="28"/>
      <c r="F1021" s="28"/>
      <c r="G1021" s="28"/>
      <c r="H1021" s="51"/>
    </row>
    <row r="1022" ht="15" spans="1:8">
      <c r="A1022" s="58">
        <v>45586</v>
      </c>
      <c r="B1022" s="61">
        <v>894</v>
      </c>
      <c r="C1022" s="22">
        <v>-0.0011</v>
      </c>
      <c r="D1022" s="22"/>
      <c r="E1022" s="22"/>
      <c r="F1022" s="22"/>
      <c r="G1022" s="22"/>
      <c r="H1022" s="50"/>
    </row>
    <row r="1023" ht="15" spans="1:8">
      <c r="A1023" s="58">
        <v>45587</v>
      </c>
      <c r="B1023" s="59">
        <v>892</v>
      </c>
      <c r="C1023" s="28">
        <v>-0.0022</v>
      </c>
      <c r="D1023" s="28"/>
      <c r="E1023" s="28"/>
      <c r="F1023" s="28"/>
      <c r="G1023" s="28"/>
      <c r="H1023" s="51"/>
    </row>
    <row r="1024" ht="15" spans="1:8">
      <c r="A1024" s="58">
        <v>45588</v>
      </c>
      <c r="B1024" s="61">
        <v>895</v>
      </c>
      <c r="C1024" s="24">
        <v>0.0034</v>
      </c>
      <c r="D1024" s="22"/>
      <c r="E1024" s="22"/>
      <c r="F1024" s="22"/>
      <c r="G1024" s="22"/>
      <c r="H1024" s="50"/>
    </row>
    <row r="1025" ht="15" spans="1:8">
      <c r="A1025" s="58">
        <v>45589</v>
      </c>
      <c r="B1025" s="59">
        <v>894</v>
      </c>
      <c r="C1025" s="28">
        <v>-0.0011</v>
      </c>
      <c r="D1025" s="28"/>
      <c r="E1025" s="28"/>
      <c r="F1025" s="28"/>
      <c r="G1025" s="28"/>
      <c r="H1025" s="51"/>
    </row>
    <row r="1026" ht="15" spans="1:8">
      <c r="A1026" s="58">
        <v>45590</v>
      </c>
      <c r="B1026" s="61">
        <v>894</v>
      </c>
      <c r="C1026" s="62">
        <v>0</v>
      </c>
      <c r="D1026" s="22"/>
      <c r="E1026" s="22"/>
      <c r="F1026" s="22"/>
      <c r="G1026" s="22"/>
      <c r="H1026" s="50"/>
    </row>
    <row r="1027" ht="15" spans="1:8">
      <c r="A1027" s="58">
        <v>45591</v>
      </c>
      <c r="B1027" s="59">
        <v>894</v>
      </c>
      <c r="C1027" s="60">
        <v>0</v>
      </c>
      <c r="D1027" s="28"/>
      <c r="E1027" s="28"/>
      <c r="F1027" s="28"/>
      <c r="G1027" s="28"/>
      <c r="H1027" s="51"/>
    </row>
    <row r="1028" ht="15" spans="1:8">
      <c r="A1028" s="58">
        <v>45592</v>
      </c>
      <c r="B1028" s="61">
        <v>894</v>
      </c>
      <c r="C1028" s="62">
        <v>0</v>
      </c>
      <c r="D1028" s="22"/>
      <c r="E1028" s="22"/>
      <c r="F1028" s="22"/>
      <c r="G1028" s="22"/>
      <c r="H1028" s="50"/>
    </row>
    <row r="1029" ht="15" spans="1:8">
      <c r="A1029" s="58">
        <v>45593</v>
      </c>
      <c r="B1029" s="59">
        <v>895</v>
      </c>
      <c r="C1029" s="29">
        <v>0.0011</v>
      </c>
      <c r="D1029" s="28"/>
      <c r="E1029" s="28"/>
      <c r="F1029" s="28"/>
      <c r="G1029" s="28"/>
      <c r="H1029" s="51"/>
    </row>
    <row r="1030" ht="15" spans="1:8">
      <c r="A1030" s="58">
        <v>45594</v>
      </c>
      <c r="B1030" s="61">
        <v>893</v>
      </c>
      <c r="C1030" s="22">
        <v>-0.0022</v>
      </c>
      <c r="D1030" s="22"/>
      <c r="E1030" s="22"/>
      <c r="F1030" s="22"/>
      <c r="G1030" s="22"/>
      <c r="H1030" s="50"/>
    </row>
    <row r="1031" ht="15" spans="1:8">
      <c r="A1031" s="58">
        <v>45595</v>
      </c>
      <c r="B1031" s="59">
        <v>893</v>
      </c>
      <c r="C1031" s="60">
        <v>0</v>
      </c>
      <c r="D1031" s="28"/>
      <c r="E1031" s="28"/>
      <c r="F1031" s="28"/>
      <c r="G1031" s="28"/>
      <c r="H1031" s="51"/>
    </row>
    <row r="1032" ht="15" spans="1:8">
      <c r="A1032" s="58">
        <v>45596</v>
      </c>
      <c r="B1032" s="61">
        <v>892</v>
      </c>
      <c r="C1032" s="22">
        <v>-0.0011</v>
      </c>
      <c r="D1032" s="22"/>
      <c r="E1032" s="22"/>
      <c r="F1032" s="22"/>
      <c r="G1032" s="22"/>
      <c r="H1032" s="50"/>
    </row>
    <row r="1033" ht="15" spans="1:8">
      <c r="A1033" s="58">
        <v>45597</v>
      </c>
      <c r="B1033" s="59">
        <v>893</v>
      </c>
      <c r="C1033" s="29">
        <v>0.0011</v>
      </c>
      <c r="D1033" s="28"/>
      <c r="E1033" s="28"/>
      <c r="F1033" s="28"/>
      <c r="G1033" s="28"/>
      <c r="H1033" s="51"/>
    </row>
    <row r="1034" ht="15" spans="1:8">
      <c r="A1034" s="58">
        <v>45598</v>
      </c>
      <c r="B1034" s="61">
        <v>893</v>
      </c>
      <c r="C1034" s="62">
        <v>0</v>
      </c>
      <c r="D1034" s="22"/>
      <c r="E1034" s="22"/>
      <c r="F1034" s="22"/>
      <c r="G1034" s="22"/>
      <c r="H1034" s="50"/>
    </row>
    <row r="1035" ht="15" spans="1:8">
      <c r="A1035" s="58">
        <v>45599</v>
      </c>
      <c r="B1035" s="59">
        <v>893</v>
      </c>
      <c r="C1035" s="60">
        <v>0</v>
      </c>
      <c r="D1035" s="28"/>
      <c r="E1035" s="28"/>
      <c r="F1035" s="28"/>
      <c r="G1035" s="28"/>
      <c r="H1035" s="51"/>
    </row>
    <row r="1036" ht="15" spans="1:8">
      <c r="A1036" s="58">
        <v>45600</v>
      </c>
      <c r="B1036" s="61">
        <v>894</v>
      </c>
      <c r="C1036" s="24">
        <v>0.0011</v>
      </c>
      <c r="D1036" s="22"/>
      <c r="E1036" s="22"/>
      <c r="F1036" s="22"/>
      <c r="G1036" s="22"/>
      <c r="H1036" s="50"/>
    </row>
    <row r="1037" ht="15" spans="1:8">
      <c r="A1037" s="58">
        <v>45601</v>
      </c>
      <c r="B1037" s="59">
        <v>893</v>
      </c>
      <c r="C1037" s="28">
        <v>-0.0011</v>
      </c>
      <c r="D1037" s="28"/>
      <c r="E1037" s="28"/>
      <c r="F1037" s="28"/>
      <c r="G1037" s="28"/>
      <c r="H1037" s="51"/>
    </row>
    <row r="1038" ht="15" spans="1:8">
      <c r="A1038" s="58">
        <v>45602</v>
      </c>
      <c r="B1038" s="61">
        <v>895</v>
      </c>
      <c r="C1038" s="24">
        <v>0.0022</v>
      </c>
      <c r="D1038" s="22"/>
      <c r="E1038" s="22"/>
      <c r="F1038" s="22"/>
      <c r="G1038" s="22"/>
      <c r="H1038" s="50"/>
    </row>
    <row r="1039" ht="15" spans="1:8">
      <c r="A1039" s="58">
        <v>45603</v>
      </c>
      <c r="B1039" s="59">
        <v>896</v>
      </c>
      <c r="C1039" s="29">
        <v>0.0011</v>
      </c>
      <c r="D1039" s="28"/>
      <c r="E1039" s="28"/>
      <c r="F1039" s="28"/>
      <c r="G1039" s="28"/>
      <c r="H1039" s="51"/>
    </row>
    <row r="1040" ht="15" spans="1:8">
      <c r="A1040" s="58">
        <v>45604</v>
      </c>
      <c r="B1040" s="61">
        <v>898</v>
      </c>
      <c r="C1040" s="24">
        <v>0.0022</v>
      </c>
      <c r="D1040" s="22"/>
      <c r="E1040" s="22"/>
      <c r="F1040" s="22"/>
      <c r="G1040" s="22"/>
      <c r="H1040" s="50"/>
    </row>
    <row r="1041" ht="15" spans="1:8">
      <c r="A1041" s="58">
        <v>45605</v>
      </c>
      <c r="B1041" s="59">
        <v>898</v>
      </c>
      <c r="C1041" s="60">
        <v>0</v>
      </c>
      <c r="D1041" s="28"/>
      <c r="E1041" s="28"/>
      <c r="F1041" s="28"/>
      <c r="G1041" s="28"/>
      <c r="H1041" s="51"/>
    </row>
    <row r="1042" ht="15" spans="1:8">
      <c r="A1042" s="58">
        <v>45606</v>
      </c>
      <c r="B1042" s="61">
        <v>898</v>
      </c>
      <c r="C1042" s="62">
        <v>0</v>
      </c>
      <c r="D1042" s="22"/>
      <c r="E1042" s="22"/>
      <c r="F1042" s="22"/>
      <c r="G1042" s="22"/>
      <c r="H1042" s="50"/>
    </row>
    <row r="1043" ht="15" spans="1:8">
      <c r="A1043" s="58">
        <v>45607</v>
      </c>
      <c r="B1043" s="59">
        <v>897</v>
      </c>
      <c r="C1043" s="28">
        <v>-0.0011</v>
      </c>
      <c r="D1043" s="28"/>
      <c r="E1043" s="28"/>
      <c r="F1043" s="28"/>
      <c r="G1043" s="28"/>
      <c r="H1043" s="51"/>
    </row>
    <row r="1044" ht="15" spans="1:8">
      <c r="A1044" s="58">
        <v>45608</v>
      </c>
      <c r="B1044" s="61">
        <v>897</v>
      </c>
      <c r="C1044" s="62">
        <v>0</v>
      </c>
      <c r="D1044" s="22"/>
      <c r="E1044" s="22"/>
      <c r="F1044" s="22"/>
      <c r="G1044" s="22"/>
      <c r="H1044" s="50"/>
    </row>
    <row r="1045" ht="15" spans="1:8">
      <c r="A1045" s="58">
        <v>45609</v>
      </c>
      <c r="B1045" s="59">
        <v>894</v>
      </c>
      <c r="C1045" s="28">
        <v>-0.0033</v>
      </c>
      <c r="D1045" s="28"/>
      <c r="E1045" s="28"/>
      <c r="F1045" s="28"/>
      <c r="G1045" s="28"/>
      <c r="H1045" s="51"/>
    </row>
    <row r="1046" ht="15" spans="1:8">
      <c r="A1046" s="58">
        <v>45610</v>
      </c>
      <c r="B1046" s="61">
        <v>893</v>
      </c>
      <c r="C1046" s="22">
        <v>-0.0011</v>
      </c>
      <c r="D1046" s="22"/>
      <c r="E1046" s="22"/>
      <c r="F1046" s="22"/>
      <c r="G1046" s="22"/>
      <c r="H1046" s="50"/>
    </row>
    <row r="1047" ht="15" spans="1:8">
      <c r="A1047" s="58">
        <v>45611</v>
      </c>
      <c r="B1047" s="59">
        <v>893</v>
      </c>
      <c r="C1047" s="60">
        <v>0</v>
      </c>
      <c r="D1047" s="28"/>
      <c r="E1047" s="28"/>
      <c r="F1047" s="28"/>
      <c r="G1047" s="28"/>
      <c r="H1047" s="51"/>
    </row>
    <row r="1048" ht="15" spans="1:8">
      <c r="A1048" s="58">
        <v>45612</v>
      </c>
      <c r="B1048" s="61">
        <v>893</v>
      </c>
      <c r="C1048" s="62">
        <v>0</v>
      </c>
      <c r="D1048" s="22"/>
      <c r="E1048" s="22"/>
      <c r="F1048" s="22"/>
      <c r="G1048" s="22"/>
      <c r="H1048" s="50"/>
    </row>
    <row r="1049" ht="15" spans="1:8">
      <c r="A1049" s="58">
        <v>45613</v>
      </c>
      <c r="B1049" s="59">
        <v>893</v>
      </c>
      <c r="C1049" s="60">
        <v>0</v>
      </c>
      <c r="D1049" s="28"/>
      <c r="E1049" s="28"/>
      <c r="F1049" s="28"/>
      <c r="G1049" s="28"/>
      <c r="H1049" s="51"/>
    </row>
    <row r="1050" ht="15" spans="1:8">
      <c r="A1050" s="58">
        <v>45614</v>
      </c>
      <c r="B1050" s="61">
        <v>891</v>
      </c>
      <c r="C1050" s="22">
        <v>-0.0022</v>
      </c>
      <c r="D1050" s="22"/>
      <c r="E1050" s="22"/>
      <c r="F1050" s="22"/>
      <c r="G1050" s="22"/>
      <c r="H1050" s="50"/>
    </row>
    <row r="1051" ht="15" spans="1:8">
      <c r="A1051" s="58">
        <v>45615</v>
      </c>
      <c r="B1051" s="59">
        <v>891</v>
      </c>
      <c r="C1051" s="60">
        <v>0</v>
      </c>
      <c r="D1051" s="28"/>
      <c r="E1051" s="28"/>
      <c r="F1051" s="28"/>
      <c r="G1051" s="28"/>
      <c r="H1051" s="51"/>
    </row>
    <row r="1052" ht="15" spans="1:8">
      <c r="A1052" s="58">
        <v>45616</v>
      </c>
      <c r="B1052" s="61">
        <v>891</v>
      </c>
      <c r="C1052" s="62">
        <v>0</v>
      </c>
      <c r="D1052" s="22"/>
      <c r="E1052" s="22"/>
      <c r="F1052" s="22"/>
      <c r="G1052" s="22"/>
      <c r="H1052" s="50"/>
    </row>
    <row r="1053" ht="15" spans="1:8">
      <c r="A1053" s="58">
        <v>45617</v>
      </c>
      <c r="B1053" s="59">
        <v>890</v>
      </c>
      <c r="C1053" s="28">
        <v>-0.0011</v>
      </c>
      <c r="D1053" s="28"/>
      <c r="E1053" s="28"/>
      <c r="F1053" s="28"/>
      <c r="G1053" s="28"/>
      <c r="H1053" s="51"/>
    </row>
    <row r="1054" ht="15" spans="1:8">
      <c r="A1054" s="58">
        <v>45618</v>
      </c>
      <c r="B1054" s="61">
        <v>889</v>
      </c>
      <c r="C1054" s="22">
        <v>-0.0011</v>
      </c>
      <c r="D1054" s="22"/>
      <c r="E1054" s="22"/>
      <c r="F1054" s="22"/>
      <c r="G1054" s="22"/>
      <c r="H1054" s="50"/>
    </row>
    <row r="1055" ht="15" spans="1:8">
      <c r="A1055" s="58">
        <v>45619</v>
      </c>
      <c r="B1055" s="59">
        <v>889</v>
      </c>
      <c r="C1055" s="60">
        <v>0</v>
      </c>
      <c r="D1055" s="28"/>
      <c r="E1055" s="28"/>
      <c r="F1055" s="28"/>
      <c r="G1055" s="28"/>
      <c r="H1055" s="51"/>
    </row>
    <row r="1056" ht="15" spans="1:8">
      <c r="A1056" s="58">
        <v>45620</v>
      </c>
      <c r="B1056" s="61">
        <v>889</v>
      </c>
      <c r="C1056" s="62">
        <v>0</v>
      </c>
      <c r="D1056" s="22"/>
      <c r="E1056" s="22"/>
      <c r="F1056" s="22"/>
      <c r="G1056" s="22"/>
      <c r="H1056" s="50"/>
    </row>
    <row r="1057" ht="15" spans="1:8">
      <c r="A1057" s="58">
        <v>45621</v>
      </c>
      <c r="B1057" s="59">
        <v>890</v>
      </c>
      <c r="C1057" s="29">
        <v>0.0011</v>
      </c>
      <c r="D1057" s="28"/>
      <c r="E1057" s="28"/>
      <c r="F1057" s="28"/>
      <c r="G1057" s="28"/>
      <c r="H1057" s="51"/>
    </row>
    <row r="1058" ht="15" spans="1:8">
      <c r="A1058" s="58">
        <v>45622</v>
      </c>
      <c r="B1058" s="61">
        <v>890</v>
      </c>
      <c r="C1058" s="62">
        <v>0</v>
      </c>
      <c r="D1058" s="22"/>
      <c r="E1058" s="22"/>
      <c r="F1058" s="22"/>
      <c r="G1058" s="22"/>
      <c r="H1058" s="50"/>
    </row>
    <row r="1059" ht="15" spans="1:8">
      <c r="A1059" s="58">
        <v>45623</v>
      </c>
      <c r="B1059" s="59">
        <v>889</v>
      </c>
      <c r="C1059" s="28">
        <v>-0.0011</v>
      </c>
      <c r="D1059" s="28"/>
      <c r="E1059" s="28"/>
      <c r="F1059" s="28"/>
      <c r="G1059" s="28"/>
      <c r="H1059" s="51"/>
    </row>
    <row r="1060" ht="15" spans="1:8">
      <c r="A1060" s="58">
        <v>45624</v>
      </c>
      <c r="B1060" s="61">
        <v>890</v>
      </c>
      <c r="C1060" s="24">
        <v>0.0011</v>
      </c>
      <c r="D1060" s="22"/>
      <c r="E1060" s="22"/>
      <c r="F1060" s="22"/>
      <c r="G1060" s="22"/>
      <c r="H1060" s="50"/>
    </row>
    <row r="1061" ht="15" spans="1:8">
      <c r="A1061" s="58">
        <v>45625</v>
      </c>
      <c r="B1061" s="59">
        <v>890</v>
      </c>
      <c r="C1061" s="60">
        <v>0</v>
      </c>
      <c r="D1061" s="28"/>
      <c r="E1061" s="28"/>
      <c r="F1061" s="28"/>
      <c r="G1061" s="28"/>
      <c r="H1061" s="51"/>
    </row>
    <row r="1062" ht="15" spans="1:8">
      <c r="A1062" s="58">
        <v>45626</v>
      </c>
      <c r="B1062" s="61">
        <v>890</v>
      </c>
      <c r="C1062" s="62">
        <v>0</v>
      </c>
      <c r="D1062" s="22"/>
      <c r="E1062" s="22"/>
      <c r="F1062" s="22"/>
      <c r="G1062" s="22"/>
      <c r="H1062" s="50"/>
    </row>
    <row r="1063" ht="15" spans="1:8">
      <c r="A1063" s="58">
        <v>45627</v>
      </c>
      <c r="B1063" s="59">
        <v>890</v>
      </c>
      <c r="C1063" s="60">
        <v>0</v>
      </c>
      <c r="D1063" s="28"/>
      <c r="E1063" s="28"/>
      <c r="F1063" s="28"/>
      <c r="G1063" s="28"/>
      <c r="H1063" s="51"/>
    </row>
    <row r="1064" ht="15" spans="1:8">
      <c r="A1064" s="58">
        <v>45628</v>
      </c>
      <c r="B1064" s="61">
        <v>891</v>
      </c>
      <c r="C1064" s="24">
        <v>0.0011</v>
      </c>
      <c r="D1064" s="22"/>
      <c r="E1064" s="22"/>
      <c r="F1064" s="22"/>
      <c r="G1064" s="22"/>
      <c r="H1064" s="50"/>
    </row>
    <row r="1065" ht="15" spans="1:8">
      <c r="A1065" s="58">
        <v>45629</v>
      </c>
      <c r="B1065" s="59">
        <v>891</v>
      </c>
      <c r="C1065" s="60">
        <v>0</v>
      </c>
      <c r="D1065" s="28"/>
      <c r="E1065" s="28"/>
      <c r="F1065" s="28"/>
      <c r="G1065" s="28"/>
      <c r="H1065" s="51"/>
    </row>
    <row r="1066" ht="15" spans="1:8">
      <c r="A1066" s="58">
        <v>45630</v>
      </c>
      <c r="B1066" s="61">
        <v>891</v>
      </c>
      <c r="C1066" s="62">
        <v>0</v>
      </c>
      <c r="D1066" s="24"/>
      <c r="E1066" s="22"/>
      <c r="F1066" s="22"/>
      <c r="G1066" s="22"/>
      <c r="H1066" s="50"/>
    </row>
    <row r="1067" ht="15" spans="1:8">
      <c r="A1067" s="58">
        <v>45631</v>
      </c>
      <c r="B1067" s="59">
        <v>892</v>
      </c>
      <c r="C1067" s="29">
        <v>0.0011</v>
      </c>
      <c r="D1067" s="29"/>
      <c r="E1067" s="28"/>
      <c r="F1067" s="28"/>
      <c r="G1067" s="28"/>
      <c r="H1067" s="51"/>
    </row>
    <row r="1068" ht="15" spans="1:8">
      <c r="A1068" s="58">
        <v>45632</v>
      </c>
      <c r="B1068" s="61">
        <v>891</v>
      </c>
      <c r="C1068" s="22">
        <v>-0.0011</v>
      </c>
      <c r="D1068" s="24"/>
      <c r="E1068" s="22"/>
      <c r="F1068" s="22"/>
      <c r="G1068" s="22"/>
      <c r="H1068" s="50"/>
    </row>
    <row r="1069" ht="15" spans="1:8">
      <c r="A1069" s="58">
        <v>45633</v>
      </c>
      <c r="B1069" s="59">
        <v>891</v>
      </c>
      <c r="C1069" s="60">
        <v>0</v>
      </c>
      <c r="D1069" s="29"/>
      <c r="E1069" s="28"/>
      <c r="F1069" s="28"/>
      <c r="G1069" s="28"/>
      <c r="H1069" s="51"/>
    </row>
    <row r="1070" ht="15" spans="1:8">
      <c r="A1070" s="58">
        <v>45634</v>
      </c>
      <c r="B1070" s="61">
        <v>892</v>
      </c>
      <c r="C1070" s="24">
        <v>0.0011</v>
      </c>
      <c r="D1070" s="24"/>
      <c r="E1070" s="22"/>
      <c r="F1070" s="22"/>
      <c r="G1070" s="22"/>
      <c r="H1070" s="50"/>
    </row>
    <row r="1071" ht="15" spans="1:8">
      <c r="A1071" s="58">
        <v>45635</v>
      </c>
      <c r="B1071" s="59">
        <v>891</v>
      </c>
      <c r="C1071" s="28">
        <v>-0.0011</v>
      </c>
      <c r="D1071" s="29"/>
      <c r="E1071" s="28"/>
      <c r="F1071" s="28"/>
      <c r="G1071" s="28"/>
      <c r="H1071" s="51"/>
    </row>
    <row r="1072" ht="15" spans="1:8">
      <c r="A1072" s="58">
        <v>45636</v>
      </c>
      <c r="B1072" s="61">
        <v>892</v>
      </c>
      <c r="C1072" s="24">
        <v>0.0011</v>
      </c>
      <c r="D1072" s="24"/>
      <c r="E1072" s="22"/>
      <c r="F1072" s="22"/>
      <c r="G1072" s="22"/>
      <c r="H1072" s="50"/>
    </row>
    <row r="1073" ht="15" spans="1:8">
      <c r="A1073" s="58">
        <v>45637</v>
      </c>
      <c r="B1073" s="59">
        <v>892</v>
      </c>
      <c r="C1073" s="60">
        <v>0</v>
      </c>
      <c r="D1073" s="29"/>
      <c r="E1073" s="28"/>
      <c r="F1073" s="28"/>
      <c r="G1073" s="28"/>
      <c r="H1073" s="51"/>
    </row>
    <row r="1074" ht="15" spans="1:8">
      <c r="A1074" s="58">
        <v>45638</v>
      </c>
      <c r="B1074" s="61">
        <v>892</v>
      </c>
      <c r="C1074" s="62">
        <v>0</v>
      </c>
      <c r="D1074" s="24"/>
      <c r="E1074" s="22"/>
      <c r="F1074" s="22"/>
      <c r="G1074" s="22"/>
      <c r="H1074" s="50"/>
    </row>
    <row r="1075" ht="15" spans="1:8">
      <c r="A1075" s="58">
        <v>45639</v>
      </c>
      <c r="B1075" s="59">
        <v>891</v>
      </c>
      <c r="C1075" s="28">
        <v>-0.0011</v>
      </c>
      <c r="D1075" s="29"/>
      <c r="E1075" s="28"/>
      <c r="F1075" s="28"/>
      <c r="G1075" s="28"/>
      <c r="H1075" s="51"/>
    </row>
    <row r="1076" ht="15" spans="1:8">
      <c r="A1076" s="58">
        <v>45640</v>
      </c>
      <c r="B1076" s="61">
        <v>891</v>
      </c>
      <c r="C1076" s="62">
        <v>0</v>
      </c>
      <c r="D1076" s="24"/>
      <c r="E1076" s="22"/>
      <c r="F1076" s="22"/>
      <c r="G1076" s="22"/>
      <c r="H1076" s="50"/>
    </row>
    <row r="1077" ht="15" spans="1:8">
      <c r="A1077" s="58">
        <v>45641</v>
      </c>
      <c r="B1077" s="59">
        <v>891</v>
      </c>
      <c r="C1077" s="60">
        <v>0</v>
      </c>
      <c r="D1077" s="29"/>
      <c r="E1077" s="28"/>
      <c r="F1077" s="28"/>
      <c r="G1077" s="28"/>
      <c r="H1077" s="51"/>
    </row>
    <row r="1078" ht="15" spans="1:8">
      <c r="A1078" s="58">
        <v>45642</v>
      </c>
      <c r="B1078" s="61">
        <v>890</v>
      </c>
      <c r="C1078" s="22">
        <v>-0.0011</v>
      </c>
      <c r="D1078" s="24"/>
      <c r="E1078" s="22"/>
      <c r="F1078" s="22"/>
      <c r="G1078" s="22"/>
      <c r="H1078" s="50"/>
    </row>
    <row r="1079" ht="15" spans="1:8">
      <c r="A1079" s="58">
        <v>45643</v>
      </c>
      <c r="B1079" s="59">
        <v>889</v>
      </c>
      <c r="C1079" s="28">
        <v>-0.0011</v>
      </c>
      <c r="D1079" s="29"/>
      <c r="E1079" s="28"/>
      <c r="F1079" s="28"/>
      <c r="G1079" s="28"/>
      <c r="H1079" s="51"/>
    </row>
    <row r="1080" ht="15" spans="1:8">
      <c r="A1080" s="58">
        <v>45644</v>
      </c>
      <c r="B1080" s="61">
        <v>886</v>
      </c>
      <c r="C1080" s="22">
        <v>-0.0034</v>
      </c>
      <c r="D1080" s="24"/>
      <c r="E1080" s="22"/>
      <c r="F1080" s="22"/>
      <c r="G1080" s="22"/>
      <c r="H1080" s="50"/>
    </row>
    <row r="1081" ht="15" spans="1:8">
      <c r="A1081" s="58">
        <v>45645</v>
      </c>
      <c r="B1081" s="59">
        <v>884</v>
      </c>
      <c r="C1081" s="28">
        <v>-0.0023</v>
      </c>
      <c r="D1081" s="29"/>
      <c r="E1081" s="28"/>
      <c r="F1081" s="28"/>
      <c r="G1081" s="28"/>
      <c r="H1081" s="51"/>
    </row>
    <row r="1082" ht="15" spans="1:8">
      <c r="A1082" s="58">
        <v>45646</v>
      </c>
      <c r="B1082" s="61">
        <v>884</v>
      </c>
      <c r="C1082" s="62">
        <v>0</v>
      </c>
      <c r="D1082" s="24"/>
      <c r="E1082" s="22"/>
      <c r="F1082" s="22"/>
      <c r="G1082" s="22"/>
      <c r="H1082" s="50"/>
    </row>
    <row r="1083" ht="15" spans="1:8">
      <c r="A1083" s="58">
        <v>45647</v>
      </c>
      <c r="B1083" s="59">
        <v>884</v>
      </c>
      <c r="C1083" s="60">
        <v>0</v>
      </c>
      <c r="D1083" s="29"/>
      <c r="E1083" s="28"/>
      <c r="F1083" s="28"/>
      <c r="G1083" s="28"/>
      <c r="H1083" s="51"/>
    </row>
    <row r="1084" ht="15" spans="1:8">
      <c r="A1084" s="58">
        <v>45648</v>
      </c>
      <c r="B1084" s="61">
        <v>884</v>
      </c>
      <c r="C1084" s="62">
        <v>0</v>
      </c>
      <c r="D1084" s="24"/>
      <c r="E1084" s="22"/>
      <c r="F1084" s="22"/>
      <c r="G1084" s="22"/>
      <c r="H1084" s="50"/>
    </row>
    <row r="1085" ht="15" spans="1:8">
      <c r="A1085" s="58">
        <v>45649</v>
      </c>
      <c r="B1085" s="59">
        <v>884</v>
      </c>
      <c r="C1085" s="60">
        <v>0</v>
      </c>
      <c r="D1085" s="29"/>
      <c r="E1085" s="28"/>
      <c r="F1085" s="28"/>
      <c r="G1085" s="28"/>
      <c r="H1085" s="51"/>
    </row>
    <row r="1086" ht="15" spans="1:8">
      <c r="A1086" s="58">
        <v>45650</v>
      </c>
      <c r="B1086" s="61">
        <v>884</v>
      </c>
      <c r="C1086" s="62">
        <v>0</v>
      </c>
      <c r="D1086" s="24"/>
      <c r="E1086" s="22"/>
      <c r="F1086" s="22"/>
      <c r="G1086" s="22"/>
      <c r="H1086" s="50"/>
    </row>
    <row r="1087" ht="15" spans="1:8">
      <c r="A1087" s="58">
        <v>45651</v>
      </c>
      <c r="B1087" s="59">
        <v>884</v>
      </c>
      <c r="C1087" s="60">
        <v>0</v>
      </c>
      <c r="D1087" s="29"/>
      <c r="E1087" s="28"/>
      <c r="F1087" s="28"/>
      <c r="G1087" s="28"/>
      <c r="H1087" s="51"/>
    </row>
    <row r="1088" ht="15" spans="1:8">
      <c r="A1088" s="58">
        <v>45652</v>
      </c>
      <c r="B1088" s="61">
        <v>885</v>
      </c>
      <c r="C1088" s="24">
        <v>0.0011</v>
      </c>
      <c r="D1088" s="24"/>
      <c r="E1088" s="22"/>
      <c r="F1088" s="22"/>
      <c r="G1088" s="22"/>
      <c r="H1088" s="50"/>
    </row>
    <row r="1089" ht="15" spans="1:8">
      <c r="A1089" s="58">
        <v>45653</v>
      </c>
      <c r="B1089" s="59">
        <v>884</v>
      </c>
      <c r="C1089" s="28">
        <v>-0.0011</v>
      </c>
      <c r="D1089" s="29"/>
      <c r="E1089" s="28"/>
      <c r="F1089" s="28"/>
      <c r="G1089" s="28"/>
      <c r="H1089" s="51"/>
    </row>
    <row r="1090" ht="15" spans="1:8">
      <c r="A1090" s="58">
        <v>45654</v>
      </c>
      <c r="B1090" s="61">
        <v>883</v>
      </c>
      <c r="C1090" s="22">
        <v>-0.0011</v>
      </c>
      <c r="D1090" s="24"/>
      <c r="E1090" s="22"/>
      <c r="F1090" s="22"/>
      <c r="G1090" s="22"/>
      <c r="H1090" s="50"/>
    </row>
    <row r="1091" ht="15" spans="1:8">
      <c r="A1091" s="58">
        <v>45655</v>
      </c>
      <c r="B1091" s="59">
        <v>883</v>
      </c>
      <c r="C1091" s="60">
        <v>0</v>
      </c>
      <c r="D1091" s="28"/>
      <c r="E1091" s="28"/>
      <c r="F1091" s="28"/>
      <c r="G1091" s="28"/>
      <c r="H1091" s="51"/>
    </row>
    <row r="1092" ht="15" spans="1:8">
      <c r="A1092" s="58">
        <v>45656</v>
      </c>
      <c r="B1092" s="61">
        <v>882</v>
      </c>
      <c r="C1092" s="22">
        <v>-0.0011</v>
      </c>
      <c r="D1092" s="22"/>
      <c r="E1092" s="22"/>
      <c r="F1092" s="22"/>
      <c r="G1092" s="22"/>
      <c r="H1092" s="50"/>
    </row>
    <row r="1093" ht="15" spans="1:8">
      <c r="A1093" s="58">
        <v>45657</v>
      </c>
      <c r="B1093" s="59">
        <v>881</v>
      </c>
      <c r="C1093" s="28">
        <v>-0.0011</v>
      </c>
      <c r="D1093" s="28"/>
      <c r="E1093" s="28"/>
      <c r="F1093" s="28"/>
      <c r="G1093" s="28"/>
      <c r="H1093" s="51"/>
    </row>
    <row r="1094" ht="15" spans="1:8">
      <c r="A1094" s="58">
        <v>45658</v>
      </c>
      <c r="B1094" s="61">
        <v>881</v>
      </c>
      <c r="C1094" s="62">
        <v>0</v>
      </c>
      <c r="D1094" s="22"/>
      <c r="E1094" s="22"/>
      <c r="F1094" s="22"/>
      <c r="G1094" s="22"/>
      <c r="H1094" s="50"/>
    </row>
    <row r="1095" ht="15" spans="1:8">
      <c r="A1095" s="58">
        <v>45659</v>
      </c>
      <c r="B1095" s="59">
        <v>881</v>
      </c>
      <c r="C1095" s="60">
        <v>0</v>
      </c>
      <c r="D1095" s="28"/>
      <c r="E1095" s="28"/>
      <c r="F1095" s="28"/>
      <c r="G1095" s="28"/>
      <c r="H1095" s="51"/>
    </row>
    <row r="1096" ht="15" spans="1:8">
      <c r="A1096" s="58">
        <v>45660</v>
      </c>
      <c r="B1096" s="61">
        <v>879</v>
      </c>
      <c r="C1096" s="22">
        <v>-0.0023</v>
      </c>
      <c r="D1096" s="22"/>
      <c r="E1096" s="22"/>
      <c r="F1096" s="22"/>
      <c r="G1096" s="22"/>
      <c r="H1096" s="50"/>
    </row>
    <row r="1097" ht="15" spans="1:8">
      <c r="A1097" s="58">
        <v>45661</v>
      </c>
      <c r="B1097" s="59">
        <v>879</v>
      </c>
      <c r="C1097" s="60">
        <v>0</v>
      </c>
      <c r="D1097" s="28"/>
      <c r="E1097" s="28"/>
      <c r="F1097" s="28"/>
      <c r="G1097" s="28"/>
      <c r="H1097" s="51"/>
    </row>
    <row r="1098" ht="15" spans="1:8">
      <c r="A1098" s="58">
        <v>45662</v>
      </c>
      <c r="B1098" s="61">
        <v>879</v>
      </c>
      <c r="C1098" s="62">
        <v>0</v>
      </c>
      <c r="D1098" s="22"/>
      <c r="E1098" s="22"/>
      <c r="F1098" s="22"/>
      <c r="G1098" s="22"/>
      <c r="H1098" s="50"/>
    </row>
    <row r="1099" ht="15" spans="1:8">
      <c r="A1099" s="58">
        <v>45663</v>
      </c>
      <c r="B1099" s="59">
        <v>878</v>
      </c>
      <c r="C1099" s="28">
        <v>-0.0011</v>
      </c>
      <c r="D1099" s="28"/>
      <c r="E1099" s="28"/>
      <c r="F1099" s="28"/>
      <c r="G1099" s="28"/>
      <c r="H1099" s="51"/>
    </row>
    <row r="1100" ht="15" spans="1:8">
      <c r="A1100" s="58">
        <v>45664</v>
      </c>
      <c r="B1100" s="61">
        <v>877</v>
      </c>
      <c r="C1100" s="22">
        <v>-0.0011</v>
      </c>
      <c r="D1100" s="22"/>
      <c r="E1100" s="22"/>
      <c r="F1100" s="22"/>
      <c r="G1100" s="22"/>
      <c r="H1100" s="50"/>
    </row>
    <row r="1101" ht="15" spans="1:8">
      <c r="A1101" s="58">
        <v>45665</v>
      </c>
      <c r="B1101" s="59">
        <v>877</v>
      </c>
      <c r="C1101" s="60">
        <v>0</v>
      </c>
      <c r="D1101" s="28"/>
      <c r="E1101" s="28"/>
      <c r="F1101" s="28"/>
      <c r="G1101" s="28"/>
      <c r="H1101" s="51"/>
    </row>
    <row r="1102" ht="15" spans="1:8">
      <c r="A1102" s="58">
        <v>45666</v>
      </c>
      <c r="B1102" s="61">
        <v>877</v>
      </c>
      <c r="C1102" s="62">
        <v>0</v>
      </c>
      <c r="D1102" s="22"/>
      <c r="E1102" s="22"/>
      <c r="F1102" s="22"/>
      <c r="G1102" s="22"/>
      <c r="H1102" s="50"/>
    </row>
    <row r="1103" ht="15" spans="1:8">
      <c r="A1103" s="58">
        <v>45667</v>
      </c>
      <c r="B1103" s="59">
        <v>879</v>
      </c>
      <c r="C1103" s="29">
        <v>0.0023</v>
      </c>
      <c r="D1103" s="28"/>
      <c r="E1103" s="28"/>
      <c r="F1103" s="28"/>
      <c r="G1103" s="28"/>
      <c r="H1103" s="51"/>
    </row>
    <row r="1104" ht="15" spans="1:8">
      <c r="A1104" s="58">
        <v>45668</v>
      </c>
      <c r="B1104" s="61">
        <v>879</v>
      </c>
      <c r="C1104" s="62">
        <v>0</v>
      </c>
      <c r="D1104" s="22"/>
      <c r="E1104" s="22"/>
      <c r="F1104" s="22"/>
      <c r="G1104" s="22"/>
      <c r="H1104" s="50"/>
    </row>
    <row r="1105" ht="15" spans="1:8">
      <c r="A1105" s="58">
        <v>45669</v>
      </c>
      <c r="B1105" s="59">
        <v>879</v>
      </c>
      <c r="C1105" s="60">
        <v>0</v>
      </c>
      <c r="D1105" s="28"/>
      <c r="E1105" s="28"/>
      <c r="F1105" s="28"/>
      <c r="G1105" s="28"/>
      <c r="H1105" s="51"/>
    </row>
    <row r="1106" ht="15" spans="1:8">
      <c r="A1106" s="58">
        <v>45670</v>
      </c>
      <c r="B1106" s="61">
        <v>885</v>
      </c>
      <c r="C1106" s="24">
        <v>0.0068</v>
      </c>
      <c r="D1106" s="22"/>
      <c r="E1106" s="22"/>
      <c r="F1106" s="22"/>
      <c r="G1106" s="22"/>
      <c r="H1106" s="50"/>
    </row>
    <row r="1107" ht="15" spans="1:8">
      <c r="A1107" s="58">
        <v>45671</v>
      </c>
      <c r="B1107" s="59">
        <v>887</v>
      </c>
      <c r="C1107" s="29">
        <v>0.0023</v>
      </c>
      <c r="D1107" s="28"/>
      <c r="E1107" s="28"/>
      <c r="F1107" s="28"/>
      <c r="G1107" s="28"/>
      <c r="H1107" s="51"/>
    </row>
    <row r="1108" ht="15" spans="1:8">
      <c r="A1108" s="58">
        <v>45672</v>
      </c>
      <c r="B1108" s="61">
        <v>888</v>
      </c>
      <c r="C1108" s="24">
        <v>0.0011</v>
      </c>
      <c r="D1108" s="22"/>
      <c r="E1108" s="22"/>
      <c r="F1108" s="22"/>
      <c r="G1108" s="22"/>
      <c r="H1108" s="50"/>
    </row>
    <row r="1109" ht="15" spans="1:8">
      <c r="A1109" s="58">
        <v>45673</v>
      </c>
      <c r="B1109" s="59">
        <v>887</v>
      </c>
      <c r="C1109" s="28">
        <v>-0.0011</v>
      </c>
      <c r="D1109" s="28"/>
      <c r="E1109" s="28"/>
      <c r="F1109" s="28"/>
      <c r="G1109" s="28"/>
      <c r="H1109" s="51"/>
    </row>
    <row r="1110" ht="15" spans="1:8">
      <c r="A1110" s="58">
        <v>45674</v>
      </c>
      <c r="B1110" s="61">
        <v>889</v>
      </c>
      <c r="C1110" s="24">
        <v>0.0023</v>
      </c>
      <c r="D1110" s="22"/>
      <c r="E1110" s="22"/>
      <c r="F1110" s="22"/>
      <c r="G1110" s="22"/>
      <c r="H1110" s="50"/>
    </row>
    <row r="1111" ht="15" spans="1:8">
      <c r="A1111" s="58">
        <v>45675</v>
      </c>
      <c r="B1111" s="59">
        <v>889</v>
      </c>
      <c r="C1111" s="60">
        <v>0</v>
      </c>
      <c r="D1111" s="28"/>
      <c r="E1111" s="28"/>
      <c r="F1111" s="28"/>
      <c r="G1111" s="28"/>
      <c r="H1111" s="51"/>
    </row>
    <row r="1112" ht="15" spans="1:8">
      <c r="A1112" s="58">
        <v>45676</v>
      </c>
      <c r="B1112" s="61">
        <v>889</v>
      </c>
      <c r="C1112" s="62">
        <v>0</v>
      </c>
      <c r="D1112" s="22"/>
      <c r="E1112" s="22"/>
      <c r="F1112" s="22"/>
      <c r="G1112" s="22"/>
      <c r="H1112" s="50"/>
    </row>
    <row r="1113" ht="15" spans="1:8">
      <c r="A1113" s="58">
        <v>45677</v>
      </c>
      <c r="B1113" s="59">
        <v>889</v>
      </c>
      <c r="C1113" s="60">
        <v>0</v>
      </c>
      <c r="D1113" s="28"/>
      <c r="E1113" s="28"/>
      <c r="F1113" s="28"/>
      <c r="G1113" s="28"/>
      <c r="H1113" s="51"/>
    </row>
    <row r="1114" ht="15" spans="1:8">
      <c r="A1114" s="58">
        <v>45678</v>
      </c>
      <c r="B1114" s="61">
        <v>889</v>
      </c>
      <c r="C1114" s="62">
        <v>0</v>
      </c>
      <c r="D1114" s="22"/>
      <c r="E1114" s="22"/>
      <c r="F1114" s="22"/>
      <c r="G1114" s="22"/>
      <c r="H1114" s="50"/>
    </row>
    <row r="1115" ht="15" spans="1:8">
      <c r="A1115" s="63">
        <v>45679</v>
      </c>
      <c r="B1115" s="64">
        <v>888</v>
      </c>
      <c r="C1115" s="38">
        <v>-0.0011</v>
      </c>
      <c r="D1115" s="38"/>
      <c r="E1115" s="38"/>
      <c r="F1115" s="38"/>
      <c r="G1115" s="38"/>
      <c r="H1115" s="52"/>
    </row>
    <row r="1116" ht="15" spans="1:8">
      <c r="A1116" s="55">
        <v>45680</v>
      </c>
      <c r="B1116" s="56">
        <v>887</v>
      </c>
      <c r="C1116" s="43">
        <v>-0.0011</v>
      </c>
      <c r="D1116" s="43"/>
      <c r="E1116" s="43"/>
      <c r="F1116" s="43"/>
      <c r="G1116" s="43"/>
      <c r="H1116" s="66"/>
    </row>
    <row r="1117" ht="15" spans="1:8">
      <c r="A1117" s="58">
        <v>45681</v>
      </c>
      <c r="B1117" s="59">
        <v>887</v>
      </c>
      <c r="C1117" s="60">
        <v>0</v>
      </c>
      <c r="D1117" s="28"/>
      <c r="E1117" s="28"/>
      <c r="F1117" s="28"/>
      <c r="G1117" s="28"/>
      <c r="H1117" s="54"/>
    </row>
    <row r="1118" ht="15" spans="1:8">
      <c r="A1118" s="58">
        <v>45682</v>
      </c>
      <c r="B1118" s="61">
        <v>887</v>
      </c>
      <c r="C1118" s="62">
        <v>0</v>
      </c>
      <c r="D1118" s="22"/>
      <c r="E1118" s="22"/>
      <c r="F1118" s="22"/>
      <c r="G1118" s="22"/>
      <c r="H1118" s="54"/>
    </row>
    <row r="1119" ht="15" spans="1:8">
      <c r="A1119" s="58">
        <v>45683</v>
      </c>
      <c r="B1119" s="59">
        <v>887</v>
      </c>
      <c r="C1119" s="60">
        <v>0</v>
      </c>
      <c r="D1119" s="28"/>
      <c r="E1119" s="28"/>
      <c r="F1119" s="28"/>
      <c r="G1119" s="28"/>
      <c r="H1119" s="54"/>
    </row>
    <row r="1120" ht="15" spans="1:8">
      <c r="A1120" s="58">
        <v>45684</v>
      </c>
      <c r="B1120" s="61">
        <v>887</v>
      </c>
      <c r="C1120" s="62">
        <v>0</v>
      </c>
      <c r="D1120" s="22"/>
      <c r="E1120" s="22"/>
      <c r="F1120" s="22"/>
      <c r="G1120" s="22"/>
      <c r="H1120" s="54"/>
    </row>
    <row r="1121" ht="15" spans="1:8">
      <c r="A1121" s="58">
        <v>45685</v>
      </c>
      <c r="B1121" s="59">
        <v>887</v>
      </c>
      <c r="C1121" s="60">
        <v>0</v>
      </c>
      <c r="D1121" s="28"/>
      <c r="E1121" s="28"/>
      <c r="F1121" s="28"/>
      <c r="G1121" s="28"/>
      <c r="H1121" s="54"/>
    </row>
    <row r="1122" ht="15" spans="1:8">
      <c r="A1122" s="58">
        <v>45686</v>
      </c>
      <c r="B1122" s="61">
        <v>887</v>
      </c>
      <c r="C1122" s="62">
        <v>0</v>
      </c>
      <c r="D1122" s="22"/>
      <c r="E1122" s="22"/>
      <c r="F1122" s="22"/>
      <c r="G1122" s="22"/>
      <c r="H1122" s="54"/>
    </row>
    <row r="1123" ht="15" spans="1:8">
      <c r="A1123" s="58">
        <v>45687</v>
      </c>
      <c r="B1123" s="59">
        <v>887</v>
      </c>
      <c r="C1123" s="60">
        <v>0</v>
      </c>
      <c r="D1123" s="28"/>
      <c r="E1123" s="28"/>
      <c r="F1123" s="28"/>
      <c r="G1123" s="28"/>
      <c r="H1123" s="54"/>
    </row>
    <row r="1124" ht="15" spans="1:8">
      <c r="A1124" s="58">
        <v>45688</v>
      </c>
      <c r="B1124" s="61">
        <v>887</v>
      </c>
      <c r="C1124" s="62">
        <v>0</v>
      </c>
      <c r="D1124" s="22"/>
      <c r="E1124" s="22"/>
      <c r="F1124" s="22"/>
      <c r="G1124" s="22"/>
      <c r="H1124" s="54"/>
    </row>
    <row r="1125" ht="15" spans="1:8">
      <c r="A1125" s="58">
        <v>45689</v>
      </c>
      <c r="B1125" s="59">
        <v>887</v>
      </c>
      <c r="C1125" s="60">
        <v>0</v>
      </c>
      <c r="D1125" s="28"/>
      <c r="E1125" s="28"/>
      <c r="F1125" s="28"/>
      <c r="G1125" s="28"/>
      <c r="H1125" s="54"/>
    </row>
    <row r="1126" ht="15" spans="1:8">
      <c r="A1126" s="58">
        <v>45690</v>
      </c>
      <c r="B1126" s="61">
        <v>887</v>
      </c>
      <c r="C1126" s="62">
        <v>0</v>
      </c>
      <c r="D1126" s="22"/>
      <c r="E1126" s="22"/>
      <c r="F1126" s="22"/>
      <c r="G1126" s="22"/>
      <c r="H1126" s="54"/>
    </row>
    <row r="1127" ht="15" spans="1:8">
      <c r="A1127" s="58">
        <v>45691</v>
      </c>
      <c r="B1127" s="59">
        <v>887</v>
      </c>
      <c r="C1127" s="60">
        <v>0</v>
      </c>
      <c r="D1127" s="28"/>
      <c r="E1127" s="28"/>
      <c r="F1127" s="28"/>
      <c r="G1127" s="28"/>
      <c r="H1127" s="54"/>
    </row>
    <row r="1128" ht="15" spans="1:8">
      <c r="A1128" s="58">
        <v>45692</v>
      </c>
      <c r="B1128" s="61">
        <v>887</v>
      </c>
      <c r="C1128" s="62">
        <v>0</v>
      </c>
      <c r="D1128" s="22"/>
      <c r="E1128" s="22"/>
      <c r="F1128" s="22"/>
      <c r="G1128" s="22"/>
      <c r="H1128" s="54"/>
    </row>
    <row r="1129" ht="15" spans="1:8">
      <c r="A1129" s="58">
        <v>45693</v>
      </c>
      <c r="B1129" s="59">
        <v>891</v>
      </c>
      <c r="C1129" s="29">
        <v>0.0045</v>
      </c>
      <c r="D1129" s="28"/>
      <c r="E1129" s="28"/>
      <c r="F1129" s="28"/>
      <c r="G1129" s="28"/>
      <c r="H1129" s="54"/>
    </row>
    <row r="1130" ht="15" spans="1:8">
      <c r="A1130" s="58">
        <v>45694</v>
      </c>
      <c r="B1130" s="61">
        <v>894</v>
      </c>
      <c r="C1130" s="24">
        <v>0.0034</v>
      </c>
      <c r="D1130" s="22"/>
      <c r="E1130" s="22"/>
      <c r="F1130" s="22"/>
      <c r="G1130" s="22"/>
      <c r="H1130" s="54"/>
    </row>
    <row r="1131" ht="15" spans="1:8">
      <c r="A1131" s="58">
        <v>45695</v>
      </c>
      <c r="B1131" s="59">
        <v>896</v>
      </c>
      <c r="C1131" s="29">
        <v>0.0022</v>
      </c>
      <c r="D1131" s="60"/>
      <c r="E1131" s="28"/>
      <c r="F1131" s="28"/>
      <c r="G1131" s="28"/>
      <c r="H1131" s="54"/>
    </row>
    <row r="1132" ht="15" spans="1:8">
      <c r="A1132" s="58">
        <v>45696</v>
      </c>
      <c r="B1132" s="61">
        <v>897</v>
      </c>
      <c r="C1132" s="24">
        <v>0.0011</v>
      </c>
      <c r="D1132" s="22"/>
      <c r="E1132" s="22"/>
      <c r="F1132" s="22"/>
      <c r="G1132" s="22"/>
      <c r="H1132" s="54"/>
    </row>
    <row r="1133" ht="15" spans="1:8">
      <c r="A1133" s="58">
        <v>45697</v>
      </c>
      <c r="B1133" s="59">
        <v>897</v>
      </c>
      <c r="C1133" s="60">
        <v>0</v>
      </c>
      <c r="D1133" s="28"/>
      <c r="E1133" s="28"/>
      <c r="F1133" s="28"/>
      <c r="G1133" s="28"/>
      <c r="H1133" s="54"/>
    </row>
    <row r="1134" ht="15" spans="1:8">
      <c r="A1134" s="58">
        <v>45698</v>
      </c>
      <c r="B1134" s="61">
        <v>903</v>
      </c>
      <c r="C1134" s="24">
        <v>0.0067</v>
      </c>
      <c r="D1134" s="24"/>
      <c r="E1134" s="22"/>
      <c r="F1134" s="22"/>
      <c r="G1134" s="22"/>
      <c r="H1134" s="54"/>
    </row>
    <row r="1135" ht="15" spans="1:8">
      <c r="A1135" s="58">
        <v>45699</v>
      </c>
      <c r="B1135" s="59">
        <v>904</v>
      </c>
      <c r="C1135" s="29">
        <v>0.0011</v>
      </c>
      <c r="D1135" s="29"/>
      <c r="E1135" s="28"/>
      <c r="F1135" s="28"/>
      <c r="G1135" s="28"/>
      <c r="H1135" s="54"/>
    </row>
    <row r="1136" ht="15" spans="1:8">
      <c r="A1136" s="58">
        <v>45700</v>
      </c>
      <c r="B1136" s="61">
        <v>905</v>
      </c>
      <c r="C1136" s="24">
        <v>0.0011</v>
      </c>
      <c r="D1136" s="24"/>
      <c r="E1136" s="24"/>
      <c r="F1136" s="22"/>
      <c r="G1136" s="22"/>
      <c r="H1136" s="54"/>
    </row>
    <row r="1137" ht="15" spans="1:8">
      <c r="A1137" s="58">
        <v>45701</v>
      </c>
      <c r="B1137" s="59">
        <v>904</v>
      </c>
      <c r="C1137" s="28">
        <v>-0.0011</v>
      </c>
      <c r="D1137" s="29"/>
      <c r="E1137" s="29"/>
      <c r="F1137" s="28"/>
      <c r="G1137" s="28"/>
      <c r="H1137" s="54"/>
    </row>
    <row r="1138" ht="15" spans="1:8">
      <c r="A1138" s="58">
        <v>45702</v>
      </c>
      <c r="B1138" s="61">
        <v>904</v>
      </c>
      <c r="C1138" s="62">
        <v>0</v>
      </c>
      <c r="D1138" s="24"/>
      <c r="E1138" s="24"/>
      <c r="F1138" s="22"/>
      <c r="G1138" s="22"/>
      <c r="H1138" s="54"/>
    </row>
    <row r="1139" ht="15" spans="1:8">
      <c r="A1139" s="58">
        <v>45703</v>
      </c>
      <c r="B1139" s="59">
        <v>904</v>
      </c>
      <c r="C1139" s="60">
        <v>0</v>
      </c>
      <c r="D1139" s="29"/>
      <c r="E1139" s="29"/>
      <c r="F1139" s="28"/>
      <c r="G1139" s="28"/>
      <c r="H1139" s="54"/>
    </row>
    <row r="1140" ht="15" spans="1:8">
      <c r="A1140" s="58">
        <v>45704</v>
      </c>
      <c r="B1140" s="61">
        <v>904</v>
      </c>
      <c r="C1140" s="62">
        <v>0</v>
      </c>
      <c r="D1140" s="24"/>
      <c r="E1140" s="24"/>
      <c r="F1140" s="22"/>
      <c r="G1140" s="22"/>
      <c r="H1140" s="54"/>
    </row>
    <row r="1141" ht="15" spans="1:8">
      <c r="A1141" s="58">
        <v>45705</v>
      </c>
      <c r="B1141" s="59">
        <v>904</v>
      </c>
      <c r="C1141" s="60">
        <v>0</v>
      </c>
      <c r="D1141" s="29"/>
      <c r="E1141" s="29"/>
      <c r="F1141" s="28"/>
      <c r="G1141" s="28"/>
      <c r="H1141" s="54"/>
    </row>
    <row r="1142" ht="15" spans="1:8">
      <c r="A1142" s="58">
        <v>45706</v>
      </c>
      <c r="B1142" s="61">
        <v>903</v>
      </c>
      <c r="C1142" s="22">
        <v>-0.0011</v>
      </c>
      <c r="D1142" s="24"/>
      <c r="E1142" s="24"/>
      <c r="F1142" s="22"/>
      <c r="G1142" s="22"/>
      <c r="H1142" s="54"/>
    </row>
    <row r="1143" ht="15" spans="1:8">
      <c r="A1143" s="58">
        <v>45707</v>
      </c>
      <c r="B1143" s="59">
        <v>905</v>
      </c>
      <c r="C1143" s="29">
        <v>0.0022</v>
      </c>
      <c r="D1143" s="29"/>
      <c r="E1143" s="29"/>
      <c r="F1143" s="28"/>
      <c r="G1143" s="28"/>
      <c r="H1143" s="54"/>
    </row>
    <row r="1144" ht="15" spans="1:8">
      <c r="A1144" s="58">
        <v>45708</v>
      </c>
      <c r="B1144" s="61">
        <v>905</v>
      </c>
      <c r="C1144" s="62">
        <v>0</v>
      </c>
      <c r="D1144" s="24"/>
      <c r="E1144" s="24"/>
      <c r="F1144" s="22"/>
      <c r="G1144" s="22"/>
      <c r="H1144" s="54"/>
    </row>
    <row r="1145" ht="15" spans="1:8">
      <c r="A1145" s="58">
        <v>45709</v>
      </c>
      <c r="B1145" s="59">
        <v>906</v>
      </c>
      <c r="C1145" s="29">
        <v>0.0011</v>
      </c>
      <c r="D1145" s="29"/>
      <c r="E1145" s="29"/>
      <c r="F1145" s="28"/>
      <c r="G1145" s="28"/>
      <c r="H1145" s="54"/>
    </row>
    <row r="1146" ht="15" spans="1:8">
      <c r="A1146" s="58">
        <v>45710</v>
      </c>
      <c r="B1146" s="61">
        <v>906</v>
      </c>
      <c r="C1146" s="62">
        <v>0</v>
      </c>
      <c r="D1146" s="24"/>
      <c r="E1146" s="24"/>
      <c r="F1146" s="22"/>
      <c r="G1146" s="22"/>
      <c r="H1146" s="54"/>
    </row>
    <row r="1147" ht="15" spans="1:8">
      <c r="A1147" s="58">
        <v>45711</v>
      </c>
      <c r="B1147" s="59">
        <v>906</v>
      </c>
      <c r="C1147" s="60">
        <v>0</v>
      </c>
      <c r="D1147" s="29"/>
      <c r="E1147" s="29"/>
      <c r="F1147" s="28"/>
      <c r="G1147" s="28"/>
      <c r="H1147" s="54"/>
    </row>
    <row r="1148" ht="15" spans="1:8">
      <c r="A1148" s="58">
        <v>45712</v>
      </c>
      <c r="B1148" s="61">
        <v>906</v>
      </c>
      <c r="C1148" s="62">
        <v>0</v>
      </c>
      <c r="D1148" s="24"/>
      <c r="E1148" s="24"/>
      <c r="F1148" s="22"/>
      <c r="G1148" s="22"/>
      <c r="H1148" s="54"/>
    </row>
    <row r="1149" ht="15" spans="1:8">
      <c r="A1149" s="58">
        <v>45713</v>
      </c>
      <c r="B1149" s="59">
        <v>905</v>
      </c>
      <c r="C1149" s="28">
        <v>-0.0011</v>
      </c>
      <c r="D1149" s="29"/>
      <c r="E1149" s="29"/>
      <c r="F1149" s="28"/>
      <c r="G1149" s="28"/>
      <c r="H1149" s="54"/>
    </row>
    <row r="1150" ht="15" spans="1:8">
      <c r="A1150" s="58">
        <v>45714</v>
      </c>
      <c r="B1150" s="61">
        <v>905</v>
      </c>
      <c r="C1150" s="62">
        <v>0</v>
      </c>
      <c r="D1150" s="24"/>
      <c r="E1150" s="24"/>
      <c r="F1150" s="22"/>
      <c r="G1150" s="22"/>
      <c r="H1150" s="54"/>
    </row>
    <row r="1151" ht="15" spans="1:8">
      <c r="A1151" s="58">
        <v>45715</v>
      </c>
      <c r="B1151" s="59">
        <v>904</v>
      </c>
      <c r="C1151" s="28">
        <v>-0.0011</v>
      </c>
      <c r="D1151" s="29"/>
      <c r="E1151" s="29"/>
      <c r="F1151" s="28"/>
      <c r="G1151" s="28"/>
      <c r="H1151" s="54"/>
    </row>
    <row r="1152" ht="15" spans="1:8">
      <c r="A1152" s="58">
        <v>45716</v>
      </c>
      <c r="B1152" s="61">
        <v>904</v>
      </c>
      <c r="C1152" s="62">
        <v>0</v>
      </c>
      <c r="D1152" s="24"/>
      <c r="E1152" s="24"/>
      <c r="F1152" s="22"/>
      <c r="G1152" s="22"/>
      <c r="H1152" s="54"/>
    </row>
    <row r="1153" ht="15" spans="1:8">
      <c r="A1153" s="58">
        <v>45717</v>
      </c>
      <c r="B1153" s="59">
        <v>904</v>
      </c>
      <c r="C1153" s="60">
        <v>0</v>
      </c>
      <c r="D1153" s="29"/>
      <c r="E1153" s="29"/>
      <c r="F1153" s="28"/>
      <c r="G1153" s="28"/>
      <c r="H1153" s="54"/>
    </row>
    <row r="1154" ht="15" spans="1:8">
      <c r="A1154" s="58">
        <v>45718</v>
      </c>
      <c r="B1154" s="61">
        <v>904</v>
      </c>
      <c r="C1154" s="62">
        <v>0</v>
      </c>
      <c r="D1154" s="24"/>
      <c r="E1154" s="24"/>
      <c r="F1154" s="22"/>
      <c r="G1154" s="22"/>
      <c r="H1154" s="54"/>
    </row>
    <row r="1155" ht="15" spans="1:8">
      <c r="A1155" s="58">
        <v>45719</v>
      </c>
      <c r="B1155" s="59">
        <v>906</v>
      </c>
      <c r="C1155" s="29">
        <v>0.0022</v>
      </c>
      <c r="D1155" s="29"/>
      <c r="E1155" s="29"/>
      <c r="F1155" s="28"/>
      <c r="G1155" s="28"/>
      <c r="H1155" s="54"/>
    </row>
    <row r="1156" ht="15" spans="1:8">
      <c r="A1156" s="58">
        <v>45720</v>
      </c>
      <c r="B1156" s="61">
        <v>905</v>
      </c>
      <c r="C1156" s="22">
        <v>-0.0011</v>
      </c>
      <c r="D1156" s="24"/>
      <c r="E1156" s="24"/>
      <c r="F1156" s="22"/>
      <c r="G1156" s="22"/>
      <c r="H1156" s="54"/>
    </row>
    <row r="1157" ht="15" spans="1:8">
      <c r="A1157" s="58">
        <v>45721</v>
      </c>
      <c r="B1157" s="59">
        <v>903</v>
      </c>
      <c r="C1157" s="28">
        <v>-0.0022</v>
      </c>
      <c r="D1157" s="29"/>
      <c r="E1157" s="29"/>
      <c r="F1157" s="28"/>
      <c r="G1157" s="28"/>
      <c r="H1157" s="54"/>
    </row>
    <row r="1158" ht="15" spans="1:8">
      <c r="A1158" s="58">
        <v>45722</v>
      </c>
      <c r="B1158" s="61">
        <v>904</v>
      </c>
      <c r="C1158" s="24">
        <v>0.0011</v>
      </c>
      <c r="D1158" s="24"/>
      <c r="E1158" s="24"/>
      <c r="F1158" s="22"/>
      <c r="G1158" s="22"/>
      <c r="H1158" s="54"/>
    </row>
    <row r="1159" ht="15" spans="1:8">
      <c r="A1159" s="58">
        <v>45723</v>
      </c>
      <c r="B1159" s="59">
        <v>904</v>
      </c>
      <c r="C1159" s="60">
        <v>0</v>
      </c>
      <c r="D1159" s="29"/>
      <c r="E1159" s="29"/>
      <c r="F1159" s="28"/>
      <c r="G1159" s="28"/>
      <c r="H1159" s="54"/>
    </row>
    <row r="1160" ht="15" spans="1:8">
      <c r="A1160" s="58">
        <v>45724</v>
      </c>
      <c r="B1160" s="61">
        <v>904</v>
      </c>
      <c r="C1160" s="62">
        <v>0</v>
      </c>
      <c r="D1160" s="24"/>
      <c r="E1160" s="24"/>
      <c r="F1160" s="22"/>
      <c r="G1160" s="22"/>
      <c r="H1160" s="54"/>
    </row>
    <row r="1161" ht="15" spans="1:8">
      <c r="A1161" s="58">
        <v>45725</v>
      </c>
      <c r="B1161" s="59">
        <v>904</v>
      </c>
      <c r="C1161" s="60">
        <v>0</v>
      </c>
      <c r="D1161" s="29"/>
      <c r="E1161" s="29"/>
      <c r="F1161" s="28"/>
      <c r="G1161" s="28"/>
      <c r="H1161" s="54"/>
    </row>
    <row r="1162" ht="15" spans="1:8">
      <c r="A1162" s="58">
        <v>45726</v>
      </c>
      <c r="B1162" s="61">
        <v>905</v>
      </c>
      <c r="C1162" s="24">
        <v>0.0011</v>
      </c>
      <c r="D1162" s="24"/>
      <c r="E1162" s="24"/>
      <c r="F1162" s="22"/>
      <c r="G1162" s="22"/>
      <c r="H1162" s="54"/>
    </row>
    <row r="1163" ht="15" spans="1:8">
      <c r="A1163" s="58">
        <v>45727</v>
      </c>
      <c r="B1163" s="59">
        <v>904</v>
      </c>
      <c r="C1163" s="28">
        <v>-0.0011</v>
      </c>
      <c r="D1163" s="29"/>
      <c r="E1163" s="29"/>
      <c r="F1163" s="28"/>
      <c r="G1163" s="28"/>
      <c r="H1163" s="54"/>
    </row>
    <row r="1164" ht="15" spans="1:8">
      <c r="A1164" s="58">
        <v>45728</v>
      </c>
      <c r="B1164" s="61">
        <v>903</v>
      </c>
      <c r="C1164" s="22">
        <v>-0.0011</v>
      </c>
      <c r="D1164" s="24"/>
      <c r="E1164" s="24"/>
      <c r="F1164" s="22"/>
      <c r="G1164" s="22"/>
      <c r="H1164" s="54"/>
    </row>
    <row r="1165" ht="15" spans="1:8">
      <c r="A1165" s="58">
        <v>45729</v>
      </c>
      <c r="B1165" s="59">
        <v>905</v>
      </c>
      <c r="C1165" s="29">
        <v>0.0022</v>
      </c>
      <c r="D1165" s="29"/>
      <c r="E1165" s="29"/>
      <c r="F1165" s="28"/>
      <c r="G1165" s="28"/>
      <c r="H1165" s="54"/>
    </row>
    <row r="1166" ht="15" spans="1:8">
      <c r="A1166" s="58">
        <v>45730</v>
      </c>
      <c r="B1166" s="61">
        <v>907</v>
      </c>
      <c r="C1166" s="24">
        <v>0.0022</v>
      </c>
      <c r="D1166" s="24"/>
      <c r="E1166" s="24"/>
      <c r="F1166" s="22"/>
      <c r="G1166" s="22"/>
      <c r="H1166" s="54"/>
    </row>
    <row r="1167" ht="15" spans="1:8">
      <c r="A1167" s="58">
        <v>45731</v>
      </c>
      <c r="B1167" s="59">
        <v>907</v>
      </c>
      <c r="C1167" s="60">
        <v>0</v>
      </c>
      <c r="D1167" s="29"/>
      <c r="E1167" s="29"/>
      <c r="F1167" s="28"/>
      <c r="G1167" s="28"/>
      <c r="H1167" s="54"/>
    </row>
    <row r="1168" ht="15" spans="1:8">
      <c r="A1168" s="58">
        <v>45732</v>
      </c>
      <c r="B1168" s="61">
        <v>907</v>
      </c>
      <c r="C1168" s="62">
        <v>0</v>
      </c>
      <c r="D1168" s="24"/>
      <c r="E1168" s="24"/>
      <c r="F1168" s="22"/>
      <c r="G1168" s="22"/>
      <c r="H1168" s="54"/>
    </row>
    <row r="1169" ht="15" spans="1:8">
      <c r="A1169" s="58">
        <v>45733</v>
      </c>
      <c r="B1169" s="59">
        <v>906</v>
      </c>
      <c r="C1169" s="28">
        <v>-0.0011</v>
      </c>
      <c r="D1169" s="29"/>
      <c r="E1169" s="29"/>
      <c r="F1169" s="28"/>
      <c r="G1169" s="28"/>
      <c r="H1169" s="54"/>
    </row>
    <row r="1170" ht="15" spans="1:8">
      <c r="A1170" s="58">
        <v>45734</v>
      </c>
      <c r="B1170" s="61">
        <v>905</v>
      </c>
      <c r="C1170" s="22">
        <v>-0.0011</v>
      </c>
      <c r="D1170" s="24"/>
      <c r="E1170" s="24"/>
      <c r="F1170" s="22"/>
      <c r="G1170" s="22"/>
      <c r="H1170" s="54"/>
    </row>
    <row r="1171" ht="15" spans="1:8">
      <c r="A1171" s="58">
        <v>45735</v>
      </c>
      <c r="B1171" s="59">
        <v>903</v>
      </c>
      <c r="C1171" s="28">
        <v>-0.0022</v>
      </c>
      <c r="D1171" s="29"/>
      <c r="E1171" s="29"/>
      <c r="F1171" s="28"/>
      <c r="G1171" s="28"/>
      <c r="H1171" s="54"/>
    </row>
    <row r="1172" ht="15" spans="1:8">
      <c r="A1172" s="58">
        <v>45736</v>
      </c>
      <c r="B1172" s="61">
        <v>902</v>
      </c>
      <c r="C1172" s="22">
        <v>-0.0011</v>
      </c>
      <c r="D1172" s="24"/>
      <c r="E1172" s="24"/>
      <c r="F1172" s="22"/>
      <c r="G1172" s="22"/>
      <c r="H1172" s="54"/>
    </row>
    <row r="1173" ht="15" spans="1:8">
      <c r="A1173" s="58">
        <v>45737</v>
      </c>
      <c r="B1173" s="59">
        <v>902</v>
      </c>
      <c r="C1173" s="60">
        <v>0</v>
      </c>
      <c r="D1173" s="29"/>
      <c r="E1173" s="29"/>
      <c r="F1173" s="28"/>
      <c r="G1173" s="28"/>
      <c r="H1173" s="54"/>
    </row>
    <row r="1174" ht="15" spans="1:8">
      <c r="A1174" s="58">
        <v>45738</v>
      </c>
      <c r="B1174" s="61">
        <v>902</v>
      </c>
      <c r="C1174" s="62">
        <v>0</v>
      </c>
      <c r="D1174" s="24"/>
      <c r="E1174" s="24"/>
      <c r="F1174" s="22"/>
      <c r="G1174" s="22"/>
      <c r="H1174" s="54"/>
    </row>
    <row r="1175" ht="15" spans="1:8">
      <c r="A1175" s="58">
        <v>45739</v>
      </c>
      <c r="B1175" s="59">
        <v>902</v>
      </c>
      <c r="C1175" s="60">
        <v>0</v>
      </c>
      <c r="D1175" s="29"/>
      <c r="E1175" s="29"/>
      <c r="F1175" s="28"/>
      <c r="G1175" s="28"/>
      <c r="H1175" s="54"/>
    </row>
    <row r="1176" ht="15" spans="1:8">
      <c r="A1176" s="58">
        <v>45740</v>
      </c>
      <c r="B1176" s="61">
        <v>901</v>
      </c>
      <c r="C1176" s="22">
        <v>-0.0011</v>
      </c>
      <c r="D1176" s="24"/>
      <c r="E1176" s="24"/>
      <c r="F1176" s="22"/>
      <c r="G1176" s="22"/>
      <c r="H1176" s="54"/>
    </row>
    <row r="1177" ht="15" spans="1:8">
      <c r="A1177" s="58">
        <v>45741</v>
      </c>
      <c r="B1177" s="59">
        <v>900</v>
      </c>
      <c r="C1177" s="28">
        <v>-0.0011</v>
      </c>
      <c r="D1177" s="29"/>
      <c r="E1177" s="29"/>
      <c r="F1177" s="28"/>
      <c r="G1177" s="28"/>
      <c r="H1177" s="54"/>
    </row>
    <row r="1178" ht="15" spans="1:8">
      <c r="A1178" s="58">
        <v>45742</v>
      </c>
      <c r="B1178" s="61">
        <v>900</v>
      </c>
      <c r="C1178" s="62">
        <v>0</v>
      </c>
      <c r="D1178" s="24"/>
      <c r="E1178" s="24"/>
      <c r="F1178" s="22"/>
      <c r="G1178" s="22"/>
      <c r="H1178" s="54"/>
    </row>
    <row r="1179" ht="15" spans="1:8">
      <c r="A1179" s="58">
        <v>45743</v>
      </c>
      <c r="B1179" s="59">
        <v>900</v>
      </c>
      <c r="C1179" s="60">
        <v>0</v>
      </c>
      <c r="D1179" s="29"/>
      <c r="E1179" s="29"/>
      <c r="F1179" s="28"/>
      <c r="G1179" s="28"/>
      <c r="H1179" s="54"/>
    </row>
    <row r="1180" ht="15" spans="1:8">
      <c r="A1180" s="58">
        <v>45744</v>
      </c>
      <c r="B1180" s="61">
        <v>900</v>
      </c>
      <c r="C1180" s="62">
        <v>0</v>
      </c>
      <c r="D1180" s="24"/>
      <c r="E1180" s="24"/>
      <c r="F1180" s="22"/>
      <c r="G1180" s="22"/>
      <c r="H1180" s="54"/>
    </row>
    <row r="1181" ht="15" spans="1:8">
      <c r="A1181" s="58">
        <v>45745</v>
      </c>
      <c r="B1181" s="59">
        <v>900</v>
      </c>
      <c r="C1181" s="60">
        <v>0</v>
      </c>
      <c r="D1181" s="29"/>
      <c r="E1181" s="29"/>
      <c r="F1181" s="28"/>
      <c r="G1181" s="28"/>
      <c r="H1181" s="54"/>
    </row>
    <row r="1182" ht="15" spans="1:8">
      <c r="A1182" s="58">
        <v>45746</v>
      </c>
      <c r="B1182" s="61">
        <v>900</v>
      </c>
      <c r="C1182" s="62">
        <v>0</v>
      </c>
      <c r="D1182" s="24"/>
      <c r="E1182" s="24"/>
      <c r="F1182" s="22"/>
      <c r="G1182" s="22"/>
      <c r="H1182" s="54"/>
    </row>
    <row r="1183" ht="15" spans="1:8">
      <c r="A1183" s="58">
        <v>45747</v>
      </c>
      <c r="B1183" s="59">
        <v>899</v>
      </c>
      <c r="C1183" s="28">
        <v>-0.0011</v>
      </c>
      <c r="D1183" s="29"/>
      <c r="E1183" s="29"/>
      <c r="F1183" s="28"/>
      <c r="G1183" s="28"/>
      <c r="H1183" s="54"/>
    </row>
    <row r="1184" ht="15" spans="1:8">
      <c r="A1184" s="58">
        <v>45748</v>
      </c>
      <c r="B1184" s="61">
        <v>899</v>
      </c>
      <c r="C1184" s="62">
        <v>0</v>
      </c>
      <c r="D1184" s="24"/>
      <c r="E1184" s="24"/>
      <c r="F1184" s="22"/>
      <c r="G1184" s="22"/>
      <c r="H1184" s="54"/>
    </row>
    <row r="1185" ht="15" spans="1:8">
      <c r="A1185" s="58">
        <v>45749</v>
      </c>
      <c r="B1185" s="59">
        <v>901</v>
      </c>
      <c r="C1185" s="29">
        <v>0.0022</v>
      </c>
      <c r="D1185" s="29"/>
      <c r="E1185" s="29"/>
      <c r="F1185" s="28"/>
      <c r="G1185" s="28"/>
      <c r="H1185" s="54"/>
    </row>
    <row r="1186" ht="15" spans="1:8">
      <c r="A1186" s="58">
        <v>45750</v>
      </c>
      <c r="B1186" s="61">
        <v>901</v>
      </c>
      <c r="C1186" s="62">
        <v>0</v>
      </c>
      <c r="D1186" s="24"/>
      <c r="E1186" s="24"/>
      <c r="F1186" s="22"/>
      <c r="G1186" s="22"/>
      <c r="H1186" s="54"/>
    </row>
    <row r="1187" ht="15" spans="1:8">
      <c r="A1187" s="58">
        <v>45751</v>
      </c>
      <c r="B1187" s="59">
        <v>901</v>
      </c>
      <c r="C1187" s="60">
        <v>0</v>
      </c>
      <c r="D1187" s="29"/>
      <c r="E1187" s="29"/>
      <c r="F1187" s="28"/>
      <c r="G1187" s="28"/>
      <c r="H1187" s="54"/>
    </row>
    <row r="1188" ht="15" spans="1:8">
      <c r="A1188" s="58">
        <v>45752</v>
      </c>
      <c r="B1188" s="61">
        <v>901</v>
      </c>
      <c r="C1188" s="62">
        <v>0</v>
      </c>
      <c r="D1188" s="24"/>
      <c r="E1188" s="24"/>
      <c r="F1188" s="22"/>
      <c r="G1188" s="22"/>
      <c r="H1188" s="54"/>
    </row>
    <row r="1189" ht="15" spans="1:8">
      <c r="A1189" s="58">
        <v>45753</v>
      </c>
      <c r="B1189" s="59">
        <v>901</v>
      </c>
      <c r="C1189" s="60">
        <v>0</v>
      </c>
      <c r="D1189" s="29"/>
      <c r="E1189" s="29"/>
      <c r="F1189" s="28"/>
      <c r="G1189" s="28"/>
      <c r="H1189" s="54"/>
    </row>
    <row r="1190" ht="15" spans="1:8">
      <c r="A1190" s="58">
        <v>45754</v>
      </c>
      <c r="B1190" s="61">
        <v>895</v>
      </c>
      <c r="C1190" s="22">
        <v>-0.0067</v>
      </c>
      <c r="D1190" s="24"/>
      <c r="E1190" s="24"/>
      <c r="F1190" s="22"/>
      <c r="G1190" s="22"/>
      <c r="H1190" s="54"/>
    </row>
    <row r="1191" ht="15" spans="1:8">
      <c r="A1191" s="58">
        <v>45755</v>
      </c>
      <c r="B1191" s="59">
        <v>890</v>
      </c>
      <c r="C1191" s="28">
        <v>-0.0056</v>
      </c>
      <c r="D1191" s="29"/>
      <c r="E1191" s="28"/>
      <c r="F1191" s="28"/>
      <c r="G1191" s="28"/>
      <c r="H1191" s="54"/>
    </row>
    <row r="1192" ht="15" spans="1:8">
      <c r="A1192" s="58">
        <v>45756</v>
      </c>
      <c r="B1192" s="61">
        <v>882</v>
      </c>
      <c r="C1192" s="22">
        <v>-0.009</v>
      </c>
      <c r="D1192" s="24"/>
      <c r="E1192" s="22"/>
      <c r="F1192" s="22"/>
      <c r="G1192" s="22"/>
      <c r="H1192" s="54"/>
    </row>
    <row r="1193" ht="15" spans="1:8">
      <c r="A1193" s="58">
        <v>45757</v>
      </c>
      <c r="B1193" s="59">
        <v>884</v>
      </c>
      <c r="C1193" s="29">
        <v>0.0023</v>
      </c>
      <c r="D1193" s="29"/>
      <c r="E1193" s="28"/>
      <c r="F1193" s="28"/>
      <c r="G1193" s="28"/>
      <c r="H1193" s="54"/>
    </row>
    <row r="1194" ht="15" spans="1:8">
      <c r="A1194" s="58">
        <v>45758</v>
      </c>
      <c r="B1194" s="61">
        <v>884</v>
      </c>
      <c r="C1194" s="62">
        <v>0</v>
      </c>
      <c r="D1194" s="24"/>
      <c r="E1194" s="22"/>
      <c r="F1194" s="22"/>
      <c r="G1194" s="22"/>
      <c r="H1194" s="54"/>
    </row>
    <row r="1195" ht="15" spans="1:8">
      <c r="A1195" s="58">
        <v>45759</v>
      </c>
      <c r="B1195" s="59">
        <v>884</v>
      </c>
      <c r="C1195" s="60">
        <v>0</v>
      </c>
      <c r="D1195" s="29"/>
      <c r="E1195" s="28"/>
      <c r="F1195" s="28"/>
      <c r="G1195" s="28"/>
      <c r="H1195" s="54"/>
    </row>
    <row r="1196" ht="15" spans="1:8">
      <c r="A1196" s="58">
        <v>45760</v>
      </c>
      <c r="B1196" s="61">
        <v>884</v>
      </c>
      <c r="C1196" s="62">
        <v>0</v>
      </c>
      <c r="D1196" s="22"/>
      <c r="E1196" s="22"/>
      <c r="F1196" s="22"/>
      <c r="G1196" s="22"/>
      <c r="H1196" s="54"/>
    </row>
    <row r="1197" ht="15" spans="1:8">
      <c r="A1197" s="58">
        <v>45761</v>
      </c>
      <c r="B1197" s="59">
        <v>885</v>
      </c>
      <c r="C1197" s="29">
        <v>0.0011</v>
      </c>
      <c r="D1197" s="28"/>
      <c r="E1197" s="28"/>
      <c r="F1197" s="28"/>
      <c r="G1197" s="28"/>
      <c r="H1197" s="54"/>
    </row>
    <row r="1198" ht="15" spans="1:8">
      <c r="A1198" s="58">
        <v>45762</v>
      </c>
      <c r="B1198" s="61">
        <v>883</v>
      </c>
      <c r="C1198" s="22">
        <v>-0.0023</v>
      </c>
      <c r="D1198" s="22"/>
      <c r="E1198" s="22"/>
      <c r="F1198" s="22"/>
      <c r="G1198" s="22"/>
      <c r="H1198" s="54"/>
    </row>
    <row r="1199" ht="15" spans="1:8">
      <c r="A1199" s="58">
        <v>45763</v>
      </c>
      <c r="B1199" s="59">
        <v>880</v>
      </c>
      <c r="C1199" s="28">
        <v>-0.0034</v>
      </c>
      <c r="D1199" s="28"/>
      <c r="E1199" s="28"/>
      <c r="F1199" s="28"/>
      <c r="G1199" s="28"/>
      <c r="H1199" s="54"/>
    </row>
    <row r="1200" ht="15" spans="1:8">
      <c r="A1200" s="58">
        <v>45764</v>
      </c>
      <c r="B1200" s="61">
        <v>878</v>
      </c>
      <c r="C1200" s="22">
        <v>-0.0023</v>
      </c>
      <c r="D1200" s="22"/>
      <c r="E1200" s="22"/>
      <c r="F1200" s="22"/>
      <c r="G1200" s="22"/>
      <c r="H1200" s="54"/>
    </row>
    <row r="1201" ht="15" spans="1:8">
      <c r="A1201" s="58">
        <v>45765</v>
      </c>
      <c r="B1201" s="59">
        <v>877</v>
      </c>
      <c r="C1201" s="28">
        <v>-0.0011</v>
      </c>
      <c r="D1201" s="28"/>
      <c r="E1201" s="28"/>
      <c r="F1201" s="28"/>
      <c r="G1201" s="28"/>
      <c r="H1201" s="54"/>
    </row>
    <row r="1202" ht="15" spans="1:8">
      <c r="A1202" s="58">
        <v>45766</v>
      </c>
      <c r="B1202" s="61">
        <v>877</v>
      </c>
      <c r="C1202" s="62">
        <v>0</v>
      </c>
      <c r="D1202" s="22"/>
      <c r="E1202" s="22"/>
      <c r="F1202" s="22"/>
      <c r="G1202" s="22"/>
      <c r="H1202" s="54"/>
    </row>
    <row r="1203" ht="15" spans="1:8">
      <c r="A1203" s="58">
        <v>45767</v>
      </c>
      <c r="B1203" s="59">
        <v>877</v>
      </c>
      <c r="C1203" s="60">
        <v>0</v>
      </c>
      <c r="D1203" s="28"/>
      <c r="E1203" s="28"/>
      <c r="F1203" s="28"/>
      <c r="G1203" s="28"/>
      <c r="H1203" s="54"/>
    </row>
    <row r="1204" ht="15" spans="1:8">
      <c r="A1204" s="58">
        <v>45768</v>
      </c>
      <c r="B1204" s="61">
        <v>875</v>
      </c>
      <c r="C1204" s="22">
        <v>-0.0023</v>
      </c>
      <c r="D1204" s="22"/>
      <c r="E1204" s="22"/>
      <c r="F1204" s="22"/>
      <c r="G1204" s="22"/>
      <c r="H1204" s="54"/>
    </row>
    <row r="1205" ht="15" spans="1:8">
      <c r="A1205" s="58">
        <v>45769</v>
      </c>
      <c r="B1205" s="59">
        <v>874</v>
      </c>
      <c r="C1205" s="28">
        <v>-0.0011</v>
      </c>
      <c r="D1205" s="28"/>
      <c r="E1205" s="28"/>
      <c r="F1205" s="28"/>
      <c r="G1205" s="28"/>
      <c r="H1205" s="54"/>
    </row>
    <row r="1206" ht="15" spans="1:8">
      <c r="A1206" s="58">
        <v>45770</v>
      </c>
      <c r="B1206" s="61">
        <v>874</v>
      </c>
      <c r="C1206" s="62">
        <v>0</v>
      </c>
      <c r="D1206" s="22"/>
      <c r="E1206" s="22"/>
      <c r="F1206" s="22"/>
      <c r="G1206" s="22"/>
      <c r="H1206" s="54"/>
    </row>
    <row r="1207" ht="15" spans="1:8">
      <c r="A1207" s="58">
        <v>45771</v>
      </c>
      <c r="B1207" s="59">
        <v>871</v>
      </c>
      <c r="C1207" s="28">
        <v>-0.0034</v>
      </c>
      <c r="D1207" s="28"/>
      <c r="E1207" s="28"/>
      <c r="F1207" s="28"/>
      <c r="G1207" s="28"/>
      <c r="H1207" s="54"/>
    </row>
    <row r="1208" ht="15" spans="1:8">
      <c r="A1208" s="58">
        <v>45772</v>
      </c>
      <c r="B1208" s="61">
        <v>870</v>
      </c>
      <c r="C1208" s="22">
        <v>-0.0011</v>
      </c>
      <c r="D1208" s="22"/>
      <c r="E1208" s="22"/>
      <c r="F1208" s="22"/>
      <c r="G1208" s="22"/>
      <c r="H1208" s="54"/>
    </row>
    <row r="1209" ht="15" spans="1:8">
      <c r="A1209" s="58">
        <v>45773</v>
      </c>
      <c r="B1209" s="59">
        <v>871</v>
      </c>
      <c r="C1209" s="29">
        <v>0.0011</v>
      </c>
      <c r="D1209" s="28"/>
      <c r="E1209" s="28"/>
      <c r="F1209" s="28"/>
      <c r="G1209" s="28"/>
      <c r="H1209" s="54"/>
    </row>
    <row r="1210" ht="15" spans="1:8">
      <c r="A1210" s="58">
        <v>45774</v>
      </c>
      <c r="B1210" s="61">
        <v>869</v>
      </c>
      <c r="C1210" s="22">
        <v>-0.0023</v>
      </c>
      <c r="D1210" s="22"/>
      <c r="E1210" s="22"/>
      <c r="F1210" s="22"/>
      <c r="G1210" s="22"/>
      <c r="H1210" s="54"/>
    </row>
    <row r="1211" ht="15" spans="1:8">
      <c r="A1211" s="58">
        <v>45775</v>
      </c>
      <c r="B1211" s="59">
        <v>866</v>
      </c>
      <c r="C1211" s="28">
        <v>-0.0035</v>
      </c>
      <c r="D1211" s="28"/>
      <c r="E1211" s="28"/>
      <c r="F1211" s="28"/>
      <c r="G1211" s="28"/>
      <c r="H1211" s="54"/>
    </row>
    <row r="1212" ht="15" spans="1:8">
      <c r="A1212" s="58">
        <v>45776</v>
      </c>
      <c r="B1212" s="61">
        <v>865</v>
      </c>
      <c r="C1212" s="22">
        <v>-0.0012</v>
      </c>
      <c r="D1212" s="22"/>
      <c r="E1212" s="22"/>
      <c r="F1212" s="22"/>
      <c r="G1212" s="22"/>
      <c r="H1212" s="54"/>
    </row>
    <row r="1213" ht="15" spans="1:8">
      <c r="A1213" s="58">
        <v>45777</v>
      </c>
      <c r="B1213" s="59">
        <v>863</v>
      </c>
      <c r="C1213" s="28">
        <v>-0.0023</v>
      </c>
      <c r="D1213" s="28"/>
      <c r="E1213" s="28"/>
      <c r="F1213" s="28"/>
      <c r="G1213" s="28"/>
      <c r="H1213" s="54"/>
    </row>
    <row r="1214" ht="15" spans="1:8">
      <c r="A1214" s="58">
        <v>45778</v>
      </c>
      <c r="B1214" s="61">
        <v>863</v>
      </c>
      <c r="C1214" s="62">
        <v>0</v>
      </c>
      <c r="D1214" s="22"/>
      <c r="E1214" s="22"/>
      <c r="F1214" s="22"/>
      <c r="G1214" s="22"/>
      <c r="H1214" s="54"/>
    </row>
    <row r="1215" ht="15" spans="1:8">
      <c r="A1215" s="67">
        <v>45779</v>
      </c>
      <c r="B1215" s="68">
        <v>863</v>
      </c>
      <c r="C1215" s="69">
        <v>0</v>
      </c>
      <c r="D1215" s="47"/>
      <c r="E1215" s="47"/>
      <c r="F1215" s="47"/>
      <c r="G1215" s="47"/>
      <c r="H1215" s="70"/>
    </row>
    <row r="1216" ht="15" spans="1:8">
      <c r="A1216" s="55">
        <v>45780</v>
      </c>
      <c r="B1216" s="56">
        <v>863</v>
      </c>
      <c r="C1216" s="57">
        <v>0</v>
      </c>
      <c r="D1216" s="43"/>
      <c r="E1216" s="43"/>
      <c r="F1216" s="43"/>
      <c r="G1216" s="43"/>
      <c r="H1216" s="66"/>
    </row>
    <row r="1217" ht="15" spans="1:8">
      <c r="A1217" s="58">
        <v>45781</v>
      </c>
      <c r="B1217" s="59">
        <v>863</v>
      </c>
      <c r="C1217" s="60">
        <v>0</v>
      </c>
      <c r="D1217" s="28"/>
      <c r="E1217" s="28"/>
      <c r="F1217" s="28"/>
      <c r="G1217" s="28"/>
      <c r="H1217" s="54"/>
    </row>
    <row r="1218" ht="15" spans="1:8">
      <c r="A1218" s="58">
        <v>45782</v>
      </c>
      <c r="B1218" s="61">
        <v>863</v>
      </c>
      <c r="C1218" s="62">
        <v>0</v>
      </c>
      <c r="D1218" s="22"/>
      <c r="E1218" s="22"/>
      <c r="F1218" s="22"/>
      <c r="G1218" s="22"/>
      <c r="H1218" s="54"/>
    </row>
    <row r="1219" ht="15" spans="1:8">
      <c r="A1219" s="58">
        <v>45783</v>
      </c>
      <c r="B1219" s="59">
        <v>859</v>
      </c>
      <c r="C1219" s="28">
        <v>-0.0046</v>
      </c>
      <c r="D1219" s="28"/>
      <c r="E1219" s="28"/>
      <c r="F1219" s="28"/>
      <c r="G1219" s="28"/>
      <c r="H1219" s="54"/>
    </row>
    <row r="1220" ht="15" spans="1:8">
      <c r="A1220" s="58">
        <v>45784</v>
      </c>
      <c r="B1220" s="61">
        <v>857</v>
      </c>
      <c r="C1220" s="22">
        <v>-0.0023</v>
      </c>
      <c r="D1220" s="22"/>
      <c r="E1220" s="22"/>
      <c r="F1220" s="22"/>
      <c r="G1220" s="22"/>
      <c r="H1220" s="54"/>
    </row>
    <row r="1221" ht="15" spans="1:8">
      <c r="A1221" s="58">
        <v>45785</v>
      </c>
      <c r="B1221" s="59">
        <v>857</v>
      </c>
      <c r="C1221" s="60">
        <v>0</v>
      </c>
      <c r="D1221" s="28"/>
      <c r="E1221" s="28"/>
      <c r="F1221" s="28"/>
      <c r="G1221" s="28"/>
      <c r="H1221" s="54"/>
    </row>
    <row r="1222" ht="15" spans="1:8">
      <c r="A1222" s="58">
        <v>45786</v>
      </c>
      <c r="B1222" s="61">
        <v>856</v>
      </c>
      <c r="C1222" s="22">
        <v>-0.0012</v>
      </c>
      <c r="D1222" s="22"/>
      <c r="E1222" s="22"/>
      <c r="F1222" s="22"/>
      <c r="G1222" s="22"/>
      <c r="H1222" s="54"/>
    </row>
    <row r="1223" ht="15" spans="1:8">
      <c r="A1223" s="58">
        <v>45787</v>
      </c>
      <c r="B1223" s="59">
        <v>856</v>
      </c>
      <c r="C1223" s="60">
        <v>0</v>
      </c>
      <c r="D1223" s="28"/>
      <c r="E1223" s="28"/>
      <c r="F1223" s="28"/>
      <c r="G1223" s="28"/>
      <c r="H1223" s="54"/>
    </row>
    <row r="1224" ht="15" spans="1:8">
      <c r="A1224" s="58">
        <v>45788</v>
      </c>
      <c r="B1224" s="61">
        <v>856</v>
      </c>
      <c r="C1224" s="62">
        <v>0</v>
      </c>
      <c r="D1224" s="22"/>
      <c r="E1224" s="22"/>
      <c r="F1224" s="22"/>
      <c r="G1224" s="22"/>
      <c r="H1224" s="54"/>
    </row>
    <row r="1225" ht="15" spans="1:8">
      <c r="A1225" s="58">
        <v>45789</v>
      </c>
      <c r="B1225" s="59">
        <v>857</v>
      </c>
      <c r="C1225" s="29">
        <v>0.0012</v>
      </c>
      <c r="D1225" s="28"/>
      <c r="E1225" s="28"/>
      <c r="F1225" s="28"/>
      <c r="G1225" s="28"/>
      <c r="H1225" s="54"/>
    </row>
    <row r="1226" ht="15" spans="1:8">
      <c r="A1226" s="58">
        <v>45790</v>
      </c>
      <c r="B1226" s="61">
        <v>859</v>
      </c>
      <c r="C1226" s="24">
        <v>0.0023</v>
      </c>
      <c r="D1226" s="22"/>
      <c r="E1226" s="22"/>
      <c r="F1226" s="22"/>
      <c r="G1226" s="22"/>
      <c r="H1226" s="54"/>
    </row>
    <row r="1227" ht="15" spans="1:8">
      <c r="A1227" s="58">
        <v>45791</v>
      </c>
      <c r="B1227" s="59">
        <v>864</v>
      </c>
      <c r="C1227" s="29">
        <v>0.0058</v>
      </c>
      <c r="D1227" s="28"/>
      <c r="E1227" s="28"/>
      <c r="F1227" s="28"/>
      <c r="G1227" s="28"/>
      <c r="H1227" s="54"/>
    </row>
    <row r="1228" ht="15" spans="1:8">
      <c r="A1228" s="58">
        <v>45792</v>
      </c>
      <c r="B1228" s="61">
        <v>866</v>
      </c>
      <c r="C1228" s="24">
        <v>0.0023</v>
      </c>
      <c r="D1228" s="22"/>
      <c r="E1228" s="22"/>
      <c r="F1228" s="22"/>
      <c r="G1228" s="22"/>
      <c r="H1228" s="54"/>
    </row>
    <row r="1229" ht="15" spans="1:8">
      <c r="A1229" s="58">
        <v>45793</v>
      </c>
      <c r="B1229" s="59">
        <v>865</v>
      </c>
      <c r="C1229" s="28">
        <v>-0.0012</v>
      </c>
      <c r="D1229" s="28"/>
      <c r="E1229" s="28"/>
      <c r="F1229" s="28"/>
      <c r="G1229" s="28"/>
      <c r="H1229" s="54"/>
    </row>
    <row r="1230" ht="15" spans="1:8">
      <c r="A1230" s="58">
        <v>45794</v>
      </c>
      <c r="B1230" s="61">
        <v>865</v>
      </c>
      <c r="C1230" s="62">
        <v>0</v>
      </c>
      <c r="D1230" s="22"/>
      <c r="E1230" s="22"/>
      <c r="F1230" s="22"/>
      <c r="G1230" s="22"/>
      <c r="H1230" s="54"/>
    </row>
    <row r="1231" ht="15" spans="1:8">
      <c r="A1231" s="58">
        <v>45795</v>
      </c>
      <c r="B1231" s="59">
        <v>865</v>
      </c>
      <c r="C1231" s="60">
        <v>0</v>
      </c>
      <c r="D1231" s="28"/>
      <c r="E1231" s="28"/>
      <c r="F1231" s="28"/>
      <c r="G1231" s="28"/>
      <c r="H1231" s="54"/>
    </row>
    <row r="1232" ht="15" spans="1:8">
      <c r="A1232" s="58">
        <v>45796</v>
      </c>
      <c r="B1232" s="61">
        <v>863</v>
      </c>
      <c r="C1232" s="22">
        <v>-0.0023</v>
      </c>
      <c r="D1232" s="22"/>
      <c r="E1232" s="22"/>
      <c r="F1232" s="22"/>
      <c r="G1232" s="22"/>
      <c r="H1232" s="54"/>
    </row>
    <row r="1233" ht="15" spans="1:8">
      <c r="A1233" s="58">
        <v>45797</v>
      </c>
      <c r="B1233" s="59">
        <v>863</v>
      </c>
      <c r="C1233" s="60">
        <v>0</v>
      </c>
      <c r="D1233" s="28"/>
      <c r="E1233" s="28"/>
      <c r="F1233" s="28"/>
      <c r="G1233" s="28"/>
      <c r="H1233" s="54"/>
    </row>
    <row r="1234" ht="15" spans="1:8">
      <c r="A1234" s="58">
        <v>45798</v>
      </c>
      <c r="B1234" s="61">
        <v>863</v>
      </c>
      <c r="C1234" s="62">
        <v>0</v>
      </c>
      <c r="D1234" s="22"/>
      <c r="E1234" s="22"/>
      <c r="F1234" s="22"/>
      <c r="G1234" s="22"/>
      <c r="H1234" s="54"/>
    </row>
    <row r="1235" ht="15" spans="1:8">
      <c r="A1235" s="58">
        <v>45799</v>
      </c>
      <c r="B1235" s="59">
        <v>863</v>
      </c>
      <c r="C1235" s="60">
        <v>0</v>
      </c>
      <c r="D1235" s="28"/>
      <c r="E1235" s="28"/>
      <c r="F1235" s="28"/>
      <c r="G1235" s="28"/>
      <c r="H1235" s="54"/>
    </row>
    <row r="1236" ht="15" spans="1:8">
      <c r="A1236" s="58">
        <v>45800</v>
      </c>
      <c r="B1236" s="61">
        <v>862</v>
      </c>
      <c r="C1236" s="22">
        <v>-0.0012</v>
      </c>
      <c r="D1236" s="22"/>
      <c r="E1236" s="22"/>
      <c r="F1236" s="22"/>
      <c r="G1236" s="22"/>
      <c r="H1236" s="54"/>
    </row>
    <row r="1237" ht="15" spans="1:8">
      <c r="A1237" s="58">
        <v>45801</v>
      </c>
      <c r="B1237" s="59">
        <v>862</v>
      </c>
      <c r="C1237" s="60">
        <v>0</v>
      </c>
      <c r="D1237" s="28"/>
      <c r="E1237" s="28"/>
      <c r="F1237" s="28"/>
      <c r="G1237" s="28"/>
      <c r="H1237" s="54"/>
    </row>
    <row r="1238" ht="15" spans="1:8">
      <c r="A1238" s="58">
        <v>45802</v>
      </c>
      <c r="B1238" s="61">
        <v>862</v>
      </c>
      <c r="C1238" s="62">
        <v>0</v>
      </c>
      <c r="D1238" s="22"/>
      <c r="E1238" s="22"/>
      <c r="F1238" s="22"/>
      <c r="G1238" s="22"/>
      <c r="H1238" s="54"/>
    </row>
    <row r="1239" ht="15" spans="1:8">
      <c r="A1239" s="58">
        <v>45803</v>
      </c>
      <c r="B1239" s="59">
        <v>860</v>
      </c>
      <c r="C1239" s="28">
        <v>-0.0023</v>
      </c>
      <c r="D1239" s="28"/>
      <c r="E1239" s="28"/>
      <c r="F1239" s="28"/>
      <c r="G1239" s="28"/>
      <c r="H1239" s="54"/>
    </row>
    <row r="1240" ht="15" spans="1:8">
      <c r="A1240" s="58">
        <v>45804</v>
      </c>
      <c r="B1240" s="61">
        <v>860</v>
      </c>
      <c r="C1240" s="62">
        <v>0</v>
      </c>
      <c r="D1240" s="22"/>
      <c r="E1240" s="22"/>
      <c r="F1240" s="22"/>
      <c r="G1240" s="22"/>
      <c r="H1240" s="54"/>
    </row>
    <row r="1241" ht="15" spans="1:8">
      <c r="A1241" s="58">
        <v>45805</v>
      </c>
      <c r="B1241" s="59">
        <v>859</v>
      </c>
      <c r="C1241" s="28">
        <v>-0.0012</v>
      </c>
      <c r="D1241" s="28"/>
      <c r="E1241" s="28"/>
      <c r="F1241" s="28"/>
      <c r="G1241" s="28"/>
      <c r="H1241" s="54"/>
    </row>
    <row r="1242" ht="15" spans="1:8">
      <c r="A1242" s="58">
        <v>45806</v>
      </c>
      <c r="B1242" s="61">
        <v>858</v>
      </c>
      <c r="C1242" s="22">
        <v>-0.0012</v>
      </c>
      <c r="D1242" s="22"/>
      <c r="E1242" s="22"/>
      <c r="F1242" s="22"/>
      <c r="G1242" s="22"/>
      <c r="H1242" s="54"/>
    </row>
    <row r="1243" ht="15" spans="1:8">
      <c r="A1243" s="58">
        <v>45807</v>
      </c>
      <c r="B1243" s="59">
        <v>856</v>
      </c>
      <c r="C1243" s="28">
        <v>-0.0023</v>
      </c>
      <c r="D1243" s="28"/>
      <c r="E1243" s="28"/>
      <c r="F1243" s="28"/>
      <c r="G1243" s="28"/>
      <c r="H1243" s="54"/>
    </row>
    <row r="1244" ht="15" spans="1:8">
      <c r="A1244" s="58">
        <v>45808</v>
      </c>
      <c r="B1244" s="61">
        <v>856</v>
      </c>
      <c r="C1244" s="62">
        <v>0</v>
      </c>
      <c r="D1244" s="22"/>
      <c r="E1244" s="22"/>
      <c r="F1244" s="22"/>
      <c r="G1244" s="22"/>
      <c r="H1244" s="54"/>
    </row>
    <row r="1245" ht="15" spans="1:8">
      <c r="A1245" s="58">
        <v>45809</v>
      </c>
      <c r="B1245" s="59">
        <v>856</v>
      </c>
      <c r="C1245" s="60">
        <v>0</v>
      </c>
      <c r="D1245" s="28"/>
      <c r="E1245" s="28"/>
      <c r="F1245" s="28"/>
      <c r="G1245" s="28"/>
      <c r="H1245" s="54"/>
    </row>
    <row r="1246" ht="15" spans="1:8">
      <c r="A1246" s="58">
        <v>45810</v>
      </c>
      <c r="B1246" s="61">
        <v>856</v>
      </c>
      <c r="C1246" s="62">
        <v>0</v>
      </c>
      <c r="D1246" s="22"/>
      <c r="E1246" s="22"/>
      <c r="F1246" s="22"/>
      <c r="G1246" s="22"/>
      <c r="H1246" s="54"/>
    </row>
    <row r="1247" ht="15" spans="1:8">
      <c r="A1247" s="58">
        <v>45811</v>
      </c>
      <c r="B1247" s="59">
        <v>853</v>
      </c>
      <c r="C1247" s="28">
        <v>-0.0035</v>
      </c>
      <c r="D1247" s="28"/>
      <c r="E1247" s="28"/>
      <c r="F1247" s="28"/>
      <c r="G1247" s="28"/>
      <c r="H1247" s="54"/>
    </row>
    <row r="1248" ht="15" spans="1:8">
      <c r="A1248" s="58">
        <v>45812</v>
      </c>
      <c r="B1248" s="61">
        <v>852</v>
      </c>
      <c r="C1248" s="22">
        <v>-0.0012</v>
      </c>
      <c r="D1248" s="22"/>
      <c r="E1248" s="22"/>
      <c r="F1248" s="22"/>
      <c r="G1248" s="22"/>
      <c r="H1248" s="54"/>
    </row>
    <row r="1249" ht="15" spans="1:8">
      <c r="A1249" s="58">
        <v>45813</v>
      </c>
      <c r="B1249" s="59">
        <v>851</v>
      </c>
      <c r="C1249" s="28">
        <v>-0.0012</v>
      </c>
      <c r="D1249" s="28"/>
      <c r="E1249" s="28"/>
      <c r="F1249" s="28"/>
      <c r="G1249" s="28"/>
      <c r="H1249" s="54"/>
    </row>
    <row r="1250" ht="15" spans="1:8">
      <c r="A1250" s="58">
        <v>45814</v>
      </c>
      <c r="B1250" s="61">
        <v>851</v>
      </c>
      <c r="C1250" s="62">
        <v>0</v>
      </c>
      <c r="D1250" s="22"/>
      <c r="E1250" s="22"/>
      <c r="F1250" s="22"/>
      <c r="G1250" s="22"/>
      <c r="H1250" s="54"/>
    </row>
    <row r="1251" ht="15" spans="1:8">
      <c r="A1251" s="58">
        <v>45815</v>
      </c>
      <c r="B1251" s="59">
        <v>851</v>
      </c>
      <c r="C1251" s="60">
        <v>0</v>
      </c>
      <c r="D1251" s="28"/>
      <c r="E1251" s="28"/>
      <c r="F1251" s="28"/>
      <c r="G1251" s="28"/>
      <c r="H1251" s="54"/>
    </row>
    <row r="1252" ht="15" spans="1:8">
      <c r="A1252" s="58">
        <v>45816</v>
      </c>
      <c r="B1252" s="61">
        <v>851</v>
      </c>
      <c r="C1252" s="62">
        <v>0</v>
      </c>
      <c r="D1252" s="22"/>
      <c r="E1252" s="22"/>
      <c r="F1252" s="22"/>
      <c r="G1252" s="22"/>
      <c r="H1252" s="54"/>
    </row>
    <row r="1253" ht="15" spans="1:8">
      <c r="A1253" s="58">
        <v>45817</v>
      </c>
      <c r="B1253" s="59">
        <v>850</v>
      </c>
      <c r="C1253" s="28">
        <v>-0.0012</v>
      </c>
      <c r="D1253" s="28"/>
      <c r="E1253" s="28"/>
      <c r="F1253" s="28"/>
      <c r="G1253" s="28"/>
      <c r="H1253" s="54"/>
    </row>
    <row r="1254" ht="15" spans="1:8">
      <c r="A1254" s="58">
        <v>45818</v>
      </c>
      <c r="B1254" s="61">
        <v>850</v>
      </c>
      <c r="C1254" s="62">
        <v>0</v>
      </c>
      <c r="D1254" s="22"/>
      <c r="E1254" s="22"/>
      <c r="F1254" s="22"/>
      <c r="G1254" s="22"/>
      <c r="H1254" s="54"/>
    </row>
    <row r="1255" ht="15" spans="1:8">
      <c r="A1255" s="58">
        <v>45819</v>
      </c>
      <c r="B1255" s="59">
        <v>849</v>
      </c>
      <c r="C1255" s="28">
        <v>-0.0012</v>
      </c>
      <c r="D1255" s="28"/>
      <c r="E1255" s="28"/>
      <c r="F1255" s="28"/>
      <c r="G1255" s="28"/>
      <c r="H1255" s="54"/>
    </row>
    <row r="1256" ht="15" spans="1:8">
      <c r="A1256" s="58">
        <v>45820</v>
      </c>
      <c r="B1256" s="61">
        <v>850</v>
      </c>
      <c r="C1256" s="24">
        <v>0.0012</v>
      </c>
      <c r="D1256" s="22"/>
      <c r="E1256" s="22"/>
      <c r="F1256" s="22"/>
      <c r="G1256" s="22"/>
      <c r="H1256" s="54"/>
    </row>
    <row r="1257" ht="15" spans="1:8">
      <c r="A1257" s="58">
        <v>45821</v>
      </c>
      <c r="B1257" s="59">
        <v>852</v>
      </c>
      <c r="C1257" s="29">
        <v>0.0024</v>
      </c>
      <c r="D1257" s="28"/>
      <c r="E1257" s="28"/>
      <c r="F1257" s="28"/>
      <c r="G1257" s="28"/>
      <c r="H1257" s="54"/>
    </row>
    <row r="1258" ht="15" spans="1:8">
      <c r="A1258" s="58">
        <v>45822</v>
      </c>
      <c r="B1258" s="61">
        <v>853</v>
      </c>
      <c r="C1258" s="24">
        <v>0.0012</v>
      </c>
      <c r="D1258" s="22"/>
      <c r="E1258" s="22"/>
      <c r="F1258" s="22"/>
      <c r="G1258" s="22"/>
      <c r="H1258" s="54"/>
    </row>
    <row r="1259" ht="15" spans="1:8">
      <c r="A1259" s="58">
        <v>45823</v>
      </c>
      <c r="B1259" s="59">
        <v>853</v>
      </c>
      <c r="C1259" s="60">
        <v>0</v>
      </c>
      <c r="D1259" s="28"/>
      <c r="E1259" s="28"/>
      <c r="F1259" s="28"/>
      <c r="G1259" s="28"/>
      <c r="H1259" s="54"/>
    </row>
    <row r="1260" ht="15" spans="1:8">
      <c r="A1260" s="58">
        <v>45824</v>
      </c>
      <c r="B1260" s="61">
        <v>856</v>
      </c>
      <c r="C1260" s="24">
        <v>0.0035</v>
      </c>
      <c r="D1260" s="22"/>
      <c r="E1260" s="22"/>
      <c r="F1260" s="22"/>
      <c r="G1260" s="22"/>
      <c r="H1260" s="54"/>
    </row>
    <row r="1261" ht="15" spans="1:8">
      <c r="A1261" s="58">
        <v>45825</v>
      </c>
      <c r="B1261" s="59">
        <v>856</v>
      </c>
      <c r="C1261" s="60">
        <v>0</v>
      </c>
      <c r="D1261" s="28"/>
      <c r="E1261" s="28"/>
      <c r="F1261" s="28"/>
      <c r="G1261" s="28"/>
      <c r="H1261" s="54"/>
    </row>
    <row r="1262" ht="15" spans="1:8">
      <c r="A1262" s="58">
        <v>45826</v>
      </c>
      <c r="B1262" s="61">
        <v>858</v>
      </c>
      <c r="C1262" s="24">
        <v>0.0023</v>
      </c>
      <c r="D1262" s="22"/>
      <c r="E1262" s="22"/>
      <c r="F1262" s="22"/>
      <c r="G1262" s="22"/>
      <c r="H1262" s="54"/>
    </row>
    <row r="1263" ht="15" spans="1:8">
      <c r="A1263" s="58">
        <v>45827</v>
      </c>
      <c r="B1263" s="59">
        <v>859</v>
      </c>
      <c r="C1263" s="29">
        <v>0.0012</v>
      </c>
      <c r="D1263" s="28"/>
      <c r="E1263" s="28"/>
      <c r="F1263" s="28"/>
      <c r="G1263" s="28"/>
      <c r="H1263" s="54"/>
    </row>
    <row r="1264" ht="15" spans="1:8">
      <c r="A1264" s="58">
        <v>45828</v>
      </c>
      <c r="B1264" s="61">
        <v>860</v>
      </c>
      <c r="C1264" s="24">
        <v>0.0012</v>
      </c>
      <c r="D1264" s="22"/>
      <c r="E1264" s="22"/>
      <c r="F1264" s="22"/>
      <c r="G1264" s="22"/>
      <c r="H1264" s="54"/>
    </row>
    <row r="1265" ht="15" spans="1:8">
      <c r="A1265" s="58">
        <v>45829</v>
      </c>
      <c r="B1265" s="59">
        <v>860</v>
      </c>
      <c r="C1265" s="60">
        <v>0</v>
      </c>
      <c r="D1265" s="28"/>
      <c r="E1265" s="28"/>
      <c r="F1265" s="28"/>
      <c r="G1265" s="28"/>
      <c r="H1265" s="54"/>
    </row>
    <row r="1266" ht="15" spans="1:8">
      <c r="A1266" s="58">
        <v>45830</v>
      </c>
      <c r="B1266" s="61">
        <v>860</v>
      </c>
      <c r="C1266" s="62">
        <v>0</v>
      </c>
      <c r="D1266" s="22"/>
      <c r="E1266" s="22"/>
      <c r="F1266" s="22"/>
      <c r="G1266" s="22"/>
      <c r="H1266" s="54"/>
    </row>
    <row r="1267" ht="15" spans="1:8">
      <c r="A1267" s="58">
        <v>45831</v>
      </c>
      <c r="B1267" s="59">
        <v>861</v>
      </c>
      <c r="C1267" s="29">
        <v>0.0012</v>
      </c>
      <c r="D1267" s="28"/>
      <c r="E1267" s="28"/>
      <c r="F1267" s="28"/>
      <c r="G1267" s="28"/>
      <c r="H1267" s="54"/>
    </row>
    <row r="1268" ht="15" spans="1:8">
      <c r="A1268" s="58">
        <v>45832</v>
      </c>
      <c r="B1268" s="61">
        <v>860</v>
      </c>
      <c r="C1268" s="22">
        <v>-0.0012</v>
      </c>
      <c r="D1268" s="22"/>
      <c r="E1268" s="22"/>
      <c r="F1268" s="22"/>
      <c r="G1268" s="22"/>
      <c r="H1268" s="54"/>
    </row>
    <row r="1269" ht="15" spans="1:8">
      <c r="A1269" s="58">
        <v>45833</v>
      </c>
      <c r="B1269" s="59">
        <v>858</v>
      </c>
      <c r="C1269" s="28">
        <v>-0.0023</v>
      </c>
      <c r="D1269" s="28"/>
      <c r="E1269" s="28"/>
      <c r="F1269" s="28"/>
      <c r="G1269" s="28"/>
      <c r="H1269" s="54"/>
    </row>
    <row r="1270" ht="15" spans="1:8">
      <c r="A1270" s="58">
        <v>45834</v>
      </c>
      <c r="B1270" s="61">
        <v>857</v>
      </c>
      <c r="C1270" s="22">
        <v>-0.0012</v>
      </c>
      <c r="D1270" s="22"/>
      <c r="E1270" s="22"/>
      <c r="F1270" s="22"/>
      <c r="G1270" s="22"/>
      <c r="H1270" s="54"/>
    </row>
    <row r="1271" ht="15" spans="1:8">
      <c r="A1271" s="58">
        <v>45835</v>
      </c>
      <c r="B1271" s="59">
        <v>859</v>
      </c>
      <c r="C1271" s="29">
        <v>0.0023</v>
      </c>
      <c r="D1271" s="28"/>
      <c r="E1271" s="28"/>
      <c r="F1271" s="28"/>
      <c r="G1271" s="28"/>
      <c r="H1271" s="54"/>
    </row>
    <row r="1272" ht="15" spans="1:8">
      <c r="A1272" s="58">
        <v>45836</v>
      </c>
      <c r="B1272" s="61">
        <v>858</v>
      </c>
      <c r="C1272" s="22">
        <v>-0.0012</v>
      </c>
      <c r="D1272" s="22"/>
      <c r="E1272" s="22"/>
      <c r="F1272" s="22"/>
      <c r="G1272" s="22"/>
      <c r="H1272" s="54"/>
    </row>
    <row r="1273" ht="15" spans="1:8">
      <c r="A1273" s="58">
        <v>45837</v>
      </c>
      <c r="B1273" s="59">
        <v>858</v>
      </c>
      <c r="C1273" s="60">
        <v>0</v>
      </c>
      <c r="D1273" s="28"/>
      <c r="E1273" s="28"/>
      <c r="F1273" s="28"/>
      <c r="G1273" s="28"/>
      <c r="H1273" s="54"/>
    </row>
    <row r="1274" ht="15" spans="1:8">
      <c r="A1274" s="58">
        <v>45838</v>
      </c>
      <c r="B1274" s="61">
        <v>857</v>
      </c>
      <c r="C1274" s="22">
        <v>-0.0012</v>
      </c>
      <c r="D1274" s="22"/>
      <c r="E1274" s="22"/>
      <c r="F1274" s="22"/>
      <c r="G1274" s="22"/>
      <c r="H1274" s="54"/>
    </row>
    <row r="1275" ht="15" spans="1:8">
      <c r="A1275" s="58">
        <v>45839</v>
      </c>
      <c r="B1275" s="59">
        <v>855</v>
      </c>
      <c r="C1275" s="28">
        <v>-0.0023</v>
      </c>
      <c r="D1275" s="28"/>
      <c r="E1275" s="28"/>
      <c r="F1275" s="28"/>
      <c r="G1275" s="28"/>
      <c r="H1275" s="54"/>
    </row>
    <row r="1276" ht="15" spans="1:8">
      <c r="A1276" s="58">
        <v>45840</v>
      </c>
      <c r="B1276" s="61">
        <v>855</v>
      </c>
      <c r="C1276" s="62">
        <v>0</v>
      </c>
      <c r="D1276" s="22"/>
      <c r="E1276" s="22"/>
      <c r="F1276" s="22"/>
      <c r="G1276" s="22"/>
      <c r="H1276" s="54"/>
    </row>
    <row r="1277" ht="15" spans="1:8">
      <c r="A1277" s="58">
        <v>45841</v>
      </c>
      <c r="B1277" s="59">
        <v>855</v>
      </c>
      <c r="C1277" s="60">
        <v>0</v>
      </c>
      <c r="D1277" s="28"/>
      <c r="E1277" s="28"/>
      <c r="F1277" s="28"/>
      <c r="G1277" s="28"/>
      <c r="H1277" s="54"/>
    </row>
    <row r="1278" ht="15" spans="1:8">
      <c r="A1278" s="58">
        <v>45842</v>
      </c>
      <c r="B1278" s="61">
        <v>855</v>
      </c>
      <c r="C1278" s="62">
        <v>0</v>
      </c>
      <c r="D1278" s="22"/>
      <c r="E1278" s="22"/>
      <c r="F1278" s="22"/>
      <c r="G1278" s="22"/>
      <c r="H1278" s="54"/>
    </row>
    <row r="1279" ht="15" spans="1:8">
      <c r="A1279" s="58">
        <v>45843</v>
      </c>
      <c r="B1279" s="59">
        <v>855</v>
      </c>
      <c r="C1279" s="60">
        <v>0</v>
      </c>
      <c r="D1279" s="28"/>
      <c r="E1279" s="28"/>
      <c r="F1279" s="28"/>
      <c r="G1279" s="28"/>
      <c r="H1279" s="54"/>
    </row>
    <row r="1280" ht="15" spans="1:8">
      <c r="A1280" s="58">
        <v>45844</v>
      </c>
      <c r="B1280" s="61">
        <v>855</v>
      </c>
      <c r="C1280" s="62">
        <v>0</v>
      </c>
      <c r="D1280" s="22"/>
      <c r="E1280" s="22"/>
      <c r="F1280" s="22"/>
      <c r="G1280" s="22"/>
      <c r="H1280" s="54"/>
    </row>
    <row r="1281" ht="15" spans="1:8">
      <c r="A1281" s="58">
        <v>45845</v>
      </c>
      <c r="B1281" s="59">
        <v>853</v>
      </c>
      <c r="C1281" s="28">
        <v>-0.0023</v>
      </c>
      <c r="D1281" s="28"/>
      <c r="E1281" s="28"/>
      <c r="F1281" s="28"/>
      <c r="G1281" s="28"/>
      <c r="H1281" s="54"/>
    </row>
    <row r="1282" ht="15" spans="1:8">
      <c r="A1282" s="58">
        <v>45846</v>
      </c>
      <c r="B1282" s="61">
        <v>852</v>
      </c>
      <c r="C1282" s="22">
        <v>-0.0012</v>
      </c>
      <c r="D1282" s="22"/>
      <c r="E1282" s="22"/>
      <c r="F1282" s="22"/>
      <c r="G1282" s="22"/>
      <c r="H1282" s="54"/>
    </row>
    <row r="1283" ht="15" spans="1:8">
      <c r="A1283" s="58">
        <v>45847</v>
      </c>
      <c r="B1283" s="59">
        <v>852</v>
      </c>
      <c r="C1283" s="60">
        <v>0</v>
      </c>
      <c r="D1283" s="28"/>
      <c r="E1283" s="28"/>
      <c r="F1283" s="28"/>
      <c r="G1283" s="28"/>
      <c r="H1283" s="54"/>
    </row>
    <row r="1284" ht="15" spans="1:8">
      <c r="A1284" s="58">
        <v>45848</v>
      </c>
      <c r="B1284" s="61">
        <v>853</v>
      </c>
      <c r="C1284" s="24">
        <v>0.0012</v>
      </c>
      <c r="D1284" s="22"/>
      <c r="E1284" s="22"/>
      <c r="F1284" s="22"/>
      <c r="G1284" s="22"/>
      <c r="H1284" s="54"/>
    </row>
    <row r="1285" ht="15" spans="1:8">
      <c r="A1285" s="58">
        <v>45849</v>
      </c>
      <c r="B1285" s="59">
        <v>854</v>
      </c>
      <c r="C1285" s="29">
        <v>0.0012</v>
      </c>
      <c r="D1285" s="28"/>
      <c r="E1285" s="28"/>
      <c r="F1285" s="28"/>
      <c r="G1285" s="28"/>
      <c r="H1285" s="54"/>
    </row>
    <row r="1286" ht="15" spans="1:8">
      <c r="A1286" s="58">
        <v>45850</v>
      </c>
      <c r="B1286" s="61">
        <v>854</v>
      </c>
      <c r="C1286" s="62">
        <v>0</v>
      </c>
      <c r="D1286" s="22"/>
      <c r="E1286" s="22"/>
      <c r="F1286" s="22"/>
      <c r="G1286" s="22"/>
      <c r="H1286" s="54"/>
    </row>
    <row r="1287" ht="15" spans="1:8">
      <c r="A1287" s="58">
        <v>45851</v>
      </c>
      <c r="B1287" s="59">
        <v>854</v>
      </c>
      <c r="C1287" s="60">
        <v>0</v>
      </c>
      <c r="D1287" s="28"/>
      <c r="E1287" s="28"/>
      <c r="F1287" s="28"/>
      <c r="G1287" s="28"/>
      <c r="H1287" s="54"/>
    </row>
    <row r="1288" ht="15" spans="1:8">
      <c r="A1288" s="58">
        <v>45852</v>
      </c>
      <c r="B1288" s="61">
        <v>854</v>
      </c>
      <c r="C1288" s="62">
        <v>0</v>
      </c>
      <c r="D1288" s="22"/>
      <c r="E1288" s="22"/>
      <c r="F1288" s="22"/>
      <c r="G1288" s="22"/>
      <c r="H1288" s="54"/>
    </row>
    <row r="1289" ht="15" spans="1:8">
      <c r="A1289" s="58">
        <v>45853</v>
      </c>
      <c r="B1289" s="59">
        <v>854</v>
      </c>
      <c r="C1289" s="60">
        <v>0</v>
      </c>
      <c r="D1289" s="28"/>
      <c r="E1289" s="28"/>
      <c r="F1289" s="28"/>
      <c r="G1289" s="28"/>
      <c r="H1289" s="54"/>
    </row>
    <row r="1290" ht="15" spans="1:8">
      <c r="A1290" s="58">
        <v>45854</v>
      </c>
      <c r="B1290" s="61">
        <v>854</v>
      </c>
      <c r="C1290" s="62">
        <v>0</v>
      </c>
      <c r="D1290" s="22"/>
      <c r="E1290" s="22"/>
      <c r="F1290" s="22"/>
      <c r="G1290" s="22"/>
      <c r="H1290" s="54"/>
    </row>
    <row r="1291" ht="15" spans="1:8">
      <c r="A1291" s="58">
        <v>45855</v>
      </c>
      <c r="B1291" s="59">
        <v>854</v>
      </c>
      <c r="C1291" s="60">
        <v>0</v>
      </c>
      <c r="D1291" s="28"/>
      <c r="E1291" s="28"/>
      <c r="F1291" s="28"/>
      <c r="G1291" s="28"/>
      <c r="H1291" s="54"/>
    </row>
    <row r="1292" ht="15" spans="1:8">
      <c r="A1292" s="58">
        <v>45856</v>
      </c>
      <c r="B1292" s="61">
        <v>857</v>
      </c>
      <c r="C1292" s="24">
        <v>0.0035</v>
      </c>
      <c r="D1292" s="22"/>
      <c r="E1292" s="22"/>
      <c r="F1292" s="22"/>
      <c r="G1292" s="22"/>
      <c r="H1292" s="54"/>
    </row>
    <row r="1293" ht="15" spans="1:8">
      <c r="A1293" s="58">
        <v>45857</v>
      </c>
      <c r="B1293" s="59">
        <v>857</v>
      </c>
      <c r="C1293" s="60">
        <v>0</v>
      </c>
      <c r="D1293" s="28"/>
      <c r="E1293" s="28"/>
      <c r="F1293" s="28"/>
      <c r="G1293" s="28"/>
      <c r="H1293" s="54"/>
    </row>
    <row r="1294" ht="15" spans="1:8">
      <c r="A1294" s="58">
        <v>45858</v>
      </c>
      <c r="B1294" s="61">
        <v>857</v>
      </c>
      <c r="C1294" s="62">
        <v>0</v>
      </c>
      <c r="D1294" s="22"/>
      <c r="E1294" s="22"/>
      <c r="F1294" s="22"/>
      <c r="G1294" s="22"/>
      <c r="H1294" s="54"/>
    </row>
    <row r="1295" ht="15" spans="1:8">
      <c r="A1295" s="58">
        <v>45859</v>
      </c>
      <c r="B1295" s="59">
        <v>859</v>
      </c>
      <c r="C1295" s="29">
        <v>0.0023</v>
      </c>
      <c r="D1295" s="28"/>
      <c r="E1295" s="28"/>
      <c r="F1295" s="28"/>
      <c r="G1295" s="28"/>
      <c r="H1295" s="54"/>
    </row>
    <row r="1296" ht="15" spans="1:8">
      <c r="A1296" s="58">
        <v>45860</v>
      </c>
      <c r="B1296" s="61">
        <v>860</v>
      </c>
      <c r="C1296" s="24">
        <v>0.0012</v>
      </c>
      <c r="D1296" s="22"/>
      <c r="E1296" s="22"/>
      <c r="F1296" s="22"/>
      <c r="G1296" s="22"/>
      <c r="H1296" s="54"/>
    </row>
    <row r="1297" ht="15" spans="1:8">
      <c r="A1297" s="58">
        <v>45861</v>
      </c>
      <c r="B1297" s="59">
        <v>862</v>
      </c>
      <c r="C1297" s="29">
        <v>0.0023</v>
      </c>
      <c r="D1297" s="28"/>
      <c r="E1297" s="28"/>
      <c r="F1297" s="28"/>
      <c r="G1297" s="28"/>
      <c r="H1297" s="54"/>
    </row>
    <row r="1298" ht="15" spans="1:8">
      <c r="A1298" s="58">
        <v>45862</v>
      </c>
      <c r="B1298" s="61">
        <v>864</v>
      </c>
      <c r="C1298" s="24">
        <v>0.0023</v>
      </c>
      <c r="D1298" s="22"/>
      <c r="E1298" s="22"/>
      <c r="F1298" s="22"/>
      <c r="G1298" s="22"/>
      <c r="H1298" s="54"/>
    </row>
    <row r="1299" ht="15" spans="1:8">
      <c r="A1299" s="58">
        <v>45863</v>
      </c>
      <c r="B1299" s="59">
        <v>865</v>
      </c>
      <c r="C1299" s="29">
        <v>0.0012</v>
      </c>
      <c r="D1299" s="28"/>
      <c r="E1299" s="28"/>
      <c r="F1299" s="28"/>
      <c r="G1299" s="28"/>
      <c r="H1299" s="54"/>
    </row>
    <row r="1300" ht="15" spans="1:8">
      <c r="A1300" s="58">
        <v>45864</v>
      </c>
      <c r="B1300" s="61">
        <v>865</v>
      </c>
      <c r="C1300" s="62">
        <v>0</v>
      </c>
      <c r="D1300" s="22"/>
      <c r="E1300" s="22"/>
      <c r="F1300" s="22"/>
      <c r="G1300" s="22"/>
      <c r="H1300" s="54"/>
    </row>
    <row r="1301" ht="15" spans="1:8">
      <c r="A1301" s="58">
        <v>45865</v>
      </c>
      <c r="B1301" s="59">
        <v>865</v>
      </c>
      <c r="C1301" s="60">
        <v>0</v>
      </c>
      <c r="D1301" s="28"/>
      <c r="E1301" s="28"/>
      <c r="F1301" s="28"/>
      <c r="G1301" s="28"/>
      <c r="H1301" s="54"/>
    </row>
    <row r="1302" ht="15" spans="1:8">
      <c r="A1302" s="58">
        <v>45866</v>
      </c>
      <c r="B1302" s="61">
        <v>865</v>
      </c>
      <c r="C1302" s="62">
        <v>0</v>
      </c>
      <c r="D1302" s="22"/>
      <c r="E1302" s="22"/>
      <c r="F1302" s="22"/>
      <c r="G1302" s="22"/>
      <c r="H1302" s="54"/>
    </row>
    <row r="1303" ht="15" spans="1:8">
      <c r="A1303" s="58">
        <v>45867</v>
      </c>
      <c r="B1303" s="59">
        <v>867</v>
      </c>
      <c r="C1303" s="29">
        <v>0.0023</v>
      </c>
      <c r="D1303" s="29"/>
      <c r="E1303" s="28"/>
      <c r="F1303" s="28"/>
      <c r="G1303" s="28"/>
      <c r="H1303" s="54"/>
    </row>
    <row r="1304" ht="15" spans="1:8">
      <c r="A1304" s="58">
        <v>45868</v>
      </c>
      <c r="B1304" s="61">
        <v>870</v>
      </c>
      <c r="C1304" s="24">
        <v>0.0035</v>
      </c>
      <c r="D1304" s="24"/>
      <c r="E1304" s="22"/>
      <c r="F1304" s="22"/>
      <c r="G1304" s="22"/>
      <c r="H1304" s="54"/>
    </row>
    <row r="1305" ht="15" spans="1:8">
      <c r="A1305" s="58">
        <v>45869</v>
      </c>
      <c r="B1305" s="59">
        <v>869</v>
      </c>
      <c r="C1305" s="28">
        <v>-0.0011</v>
      </c>
      <c r="D1305" s="29"/>
      <c r="E1305" s="28"/>
      <c r="F1305" s="28"/>
      <c r="G1305" s="28"/>
      <c r="H1305" s="54"/>
    </row>
    <row r="1306" ht="15" spans="1:8">
      <c r="A1306" s="58">
        <v>45870</v>
      </c>
      <c r="B1306" s="61">
        <v>869</v>
      </c>
      <c r="C1306" s="62">
        <v>0</v>
      </c>
      <c r="D1306" s="24"/>
      <c r="E1306" s="22"/>
      <c r="F1306" s="22"/>
      <c r="G1306" s="22"/>
      <c r="H1306" s="54"/>
    </row>
    <row r="1307" ht="15" spans="1:8">
      <c r="A1307" s="58">
        <v>45871</v>
      </c>
      <c r="B1307" s="59">
        <v>869</v>
      </c>
      <c r="C1307" s="60">
        <v>0</v>
      </c>
      <c r="D1307" s="29"/>
      <c r="E1307" s="28"/>
      <c r="F1307" s="28"/>
      <c r="G1307" s="28"/>
      <c r="H1307" s="54"/>
    </row>
    <row r="1308" ht="15" spans="1:8">
      <c r="A1308" s="58">
        <v>45872</v>
      </c>
      <c r="B1308" s="61">
        <v>869</v>
      </c>
      <c r="C1308" s="62">
        <v>0</v>
      </c>
      <c r="D1308" s="24"/>
      <c r="E1308" s="22"/>
      <c r="F1308" s="22"/>
      <c r="G1308" s="22"/>
      <c r="H1308" s="54"/>
    </row>
    <row r="1309" ht="15" spans="1:8">
      <c r="A1309" s="58">
        <v>45873</v>
      </c>
      <c r="B1309" s="59">
        <v>868</v>
      </c>
      <c r="C1309" s="28">
        <v>-0.0012</v>
      </c>
      <c r="D1309" s="29"/>
      <c r="E1309" s="28"/>
      <c r="F1309" s="28"/>
      <c r="G1309" s="28"/>
      <c r="H1309" s="54"/>
    </row>
    <row r="1310" ht="15" spans="1:8">
      <c r="A1310" s="58">
        <v>45874</v>
      </c>
      <c r="B1310" s="61">
        <v>869</v>
      </c>
      <c r="C1310" s="24">
        <v>0.0012</v>
      </c>
      <c r="D1310" s="24"/>
      <c r="E1310" s="22"/>
      <c r="F1310" s="22"/>
      <c r="G1310" s="22"/>
      <c r="H1310" s="54"/>
    </row>
    <row r="1311" ht="15" spans="1:8">
      <c r="A1311" s="58">
        <v>45875</v>
      </c>
      <c r="B1311" s="59">
        <v>870</v>
      </c>
      <c r="C1311" s="29">
        <v>0.0012</v>
      </c>
      <c r="D1311" s="29"/>
      <c r="E1311" s="28"/>
      <c r="F1311" s="28"/>
      <c r="G1311" s="28"/>
      <c r="H1311" s="54"/>
    </row>
    <row r="1312" ht="15" spans="1:8">
      <c r="A1312" s="58">
        <v>45876</v>
      </c>
      <c r="B1312" s="61">
        <v>869</v>
      </c>
      <c r="C1312" s="22">
        <v>-0.0011</v>
      </c>
      <c r="D1312" s="24"/>
      <c r="E1312" s="22"/>
      <c r="F1312" s="22"/>
      <c r="G1312" s="22"/>
      <c r="H1312" s="54"/>
    </row>
    <row r="1313" ht="15" spans="1:8">
      <c r="A1313" s="58">
        <v>45877</v>
      </c>
      <c r="B1313" s="59">
        <v>868</v>
      </c>
      <c r="C1313" s="28">
        <v>-0.0012</v>
      </c>
      <c r="D1313" s="29"/>
      <c r="E1313" s="28"/>
      <c r="F1313" s="28"/>
      <c r="G1313" s="28"/>
      <c r="H1313" s="54"/>
    </row>
    <row r="1314" ht="15" spans="1:8">
      <c r="A1314" s="58">
        <v>45878</v>
      </c>
      <c r="B1314" s="61">
        <v>868</v>
      </c>
      <c r="C1314" s="62">
        <v>0</v>
      </c>
      <c r="D1314" s="24"/>
      <c r="E1314" s="22"/>
      <c r="F1314" s="22"/>
      <c r="G1314" s="22"/>
      <c r="H1314" s="54"/>
    </row>
    <row r="1315" ht="15" spans="1:8">
      <c r="A1315" s="67">
        <v>45879</v>
      </c>
      <c r="B1315" s="68">
        <v>868</v>
      </c>
      <c r="C1315" s="69">
        <v>0</v>
      </c>
      <c r="D1315" s="39"/>
      <c r="E1315" s="47"/>
      <c r="F1315" s="47"/>
      <c r="G1315" s="47"/>
      <c r="H1315" s="70"/>
    </row>
    <row r="1316" ht="15" spans="1:8">
      <c r="A1316" s="55">
        <v>45880</v>
      </c>
      <c r="B1316" s="56">
        <v>869</v>
      </c>
      <c r="C1316" s="44">
        <v>0.0012</v>
      </c>
      <c r="D1316" s="44"/>
      <c r="E1316" s="43"/>
      <c r="F1316" s="43"/>
      <c r="G1316" s="43"/>
      <c r="H1316" s="53"/>
    </row>
    <row r="1317" ht="15" spans="1:8">
      <c r="A1317" s="58">
        <v>45881</v>
      </c>
      <c r="B1317" s="59">
        <v>871</v>
      </c>
      <c r="C1317" s="29">
        <v>0.0023</v>
      </c>
      <c r="D1317" s="29"/>
      <c r="E1317" s="28"/>
      <c r="F1317" s="28"/>
      <c r="G1317" s="28"/>
      <c r="H1317" s="51"/>
    </row>
    <row r="1318" ht="15" spans="1:8">
      <c r="A1318" s="58">
        <v>45882</v>
      </c>
      <c r="B1318" s="61">
        <v>872</v>
      </c>
      <c r="C1318" s="24">
        <v>0.0011</v>
      </c>
      <c r="D1318" s="24"/>
      <c r="E1318" s="22"/>
      <c r="F1318" s="22"/>
      <c r="G1318" s="22"/>
      <c r="H1318" s="50"/>
    </row>
    <row r="1319" ht="15" spans="1:8">
      <c r="A1319" s="58">
        <v>45883</v>
      </c>
      <c r="B1319" s="59">
        <v>872</v>
      </c>
      <c r="C1319" s="60">
        <v>0</v>
      </c>
      <c r="D1319" s="29"/>
      <c r="E1319" s="28"/>
      <c r="F1319" s="28"/>
      <c r="G1319" s="28"/>
      <c r="H1319" s="51"/>
    </row>
    <row r="1320" ht="15" spans="1:8">
      <c r="A1320" s="58">
        <v>45884</v>
      </c>
      <c r="B1320" s="61">
        <v>871</v>
      </c>
      <c r="C1320" s="22">
        <v>-0.0011</v>
      </c>
      <c r="D1320" s="24"/>
      <c r="E1320" s="22"/>
      <c r="F1320" s="22"/>
      <c r="G1320" s="22"/>
      <c r="H1320" s="50"/>
    </row>
    <row r="1321" ht="15" spans="1:8">
      <c r="A1321" s="58">
        <v>45885</v>
      </c>
      <c r="B1321" s="59">
        <v>871</v>
      </c>
      <c r="C1321" s="60">
        <v>0</v>
      </c>
      <c r="D1321" s="29"/>
      <c r="E1321" s="28"/>
      <c r="F1321" s="28"/>
      <c r="G1321" s="28"/>
      <c r="H1321" s="51"/>
    </row>
    <row r="1322" ht="15" spans="1:8">
      <c r="A1322" s="58">
        <v>45886</v>
      </c>
      <c r="B1322" s="61">
        <v>871</v>
      </c>
      <c r="C1322" s="62">
        <v>0</v>
      </c>
      <c r="D1322" s="24"/>
      <c r="E1322" s="22"/>
      <c r="F1322" s="22"/>
      <c r="G1322" s="22"/>
      <c r="H1322" s="50"/>
    </row>
    <row r="1323" ht="15" spans="1:8">
      <c r="A1323" s="58">
        <v>45887</v>
      </c>
      <c r="B1323" s="59">
        <v>871</v>
      </c>
      <c r="C1323" s="60">
        <v>0</v>
      </c>
      <c r="D1323" s="29"/>
      <c r="E1323" s="28"/>
      <c r="F1323" s="28"/>
      <c r="G1323" s="28"/>
      <c r="H1323" s="51"/>
    </row>
    <row r="1324" ht="15" spans="1:8">
      <c r="A1324" s="58">
        <v>45888</v>
      </c>
      <c r="B1324" s="61">
        <v>871</v>
      </c>
      <c r="C1324" s="62">
        <v>0</v>
      </c>
      <c r="D1324" s="24"/>
      <c r="E1324" s="22"/>
      <c r="F1324" s="22"/>
      <c r="G1324" s="22"/>
      <c r="H1324" s="50"/>
    </row>
    <row r="1325" ht="15" spans="1:8">
      <c r="A1325" s="58">
        <v>45889</v>
      </c>
      <c r="B1325" s="59">
        <v>870</v>
      </c>
      <c r="C1325" s="28">
        <v>-0.0011</v>
      </c>
      <c r="D1325" s="29"/>
      <c r="E1325" s="28"/>
      <c r="F1325" s="28"/>
      <c r="G1325" s="28"/>
      <c r="H1325" s="51"/>
    </row>
    <row r="1326" ht="15" spans="1:8">
      <c r="A1326" s="58">
        <v>45890</v>
      </c>
      <c r="B1326" s="61">
        <v>870</v>
      </c>
      <c r="C1326" s="62">
        <v>0</v>
      </c>
      <c r="D1326" s="24"/>
      <c r="E1326" s="22"/>
      <c r="F1326" s="22"/>
      <c r="G1326" s="22"/>
      <c r="H1326" s="50"/>
    </row>
    <row r="1327" ht="15" spans="1:8">
      <c r="A1327" s="58">
        <v>45891</v>
      </c>
      <c r="B1327" s="59">
        <v>870</v>
      </c>
      <c r="C1327" s="60">
        <v>0</v>
      </c>
      <c r="D1327" s="29"/>
      <c r="E1327" s="28"/>
      <c r="F1327" s="28"/>
      <c r="G1327" s="28"/>
      <c r="H1327" s="51"/>
    </row>
    <row r="1328" ht="15" spans="1:8">
      <c r="A1328" s="58">
        <v>45892</v>
      </c>
      <c r="B1328" s="61">
        <v>870</v>
      </c>
      <c r="C1328" s="62">
        <v>0</v>
      </c>
      <c r="D1328" s="24"/>
      <c r="E1328" s="22"/>
      <c r="F1328" s="22"/>
      <c r="G1328" s="22"/>
      <c r="H1328" s="50"/>
    </row>
    <row r="1329" ht="15" spans="1:8">
      <c r="A1329" s="58">
        <v>45893</v>
      </c>
      <c r="B1329" s="59">
        <v>870</v>
      </c>
      <c r="C1329" s="60">
        <v>0</v>
      </c>
      <c r="D1329" s="29"/>
      <c r="E1329" s="28"/>
      <c r="F1329" s="28"/>
      <c r="G1329" s="28"/>
      <c r="H1329" s="51"/>
    </row>
    <row r="1330" ht="15" spans="1:8">
      <c r="A1330" s="58">
        <v>45894</v>
      </c>
      <c r="B1330" s="61">
        <v>871</v>
      </c>
      <c r="C1330" s="24">
        <v>0.0011</v>
      </c>
      <c r="D1330" s="24"/>
      <c r="E1330" s="22"/>
      <c r="F1330" s="22"/>
      <c r="G1330" s="22"/>
      <c r="H1330" s="50"/>
    </row>
    <row r="1331" ht="15" spans="1:8">
      <c r="A1331" s="58">
        <v>45895</v>
      </c>
      <c r="B1331" s="59">
        <v>871</v>
      </c>
      <c r="C1331" s="60">
        <v>0</v>
      </c>
      <c r="D1331" s="29"/>
      <c r="E1331" s="28"/>
      <c r="F1331" s="28"/>
      <c r="G1331" s="28"/>
      <c r="H1331" s="51"/>
    </row>
    <row r="1332" ht="15" spans="1:8">
      <c r="A1332" s="58">
        <v>45896</v>
      </c>
      <c r="B1332" s="61">
        <v>871</v>
      </c>
      <c r="C1332" s="62">
        <v>0</v>
      </c>
      <c r="D1332" s="24"/>
      <c r="E1332" s="22"/>
      <c r="F1332" s="22"/>
      <c r="G1332" s="22"/>
      <c r="H1332" s="50"/>
    </row>
    <row r="1333" ht="15" spans="1:8">
      <c r="A1333" s="58">
        <v>45897</v>
      </c>
      <c r="B1333" s="59">
        <v>869</v>
      </c>
      <c r="C1333" s="28">
        <v>-0.0023</v>
      </c>
      <c r="D1333" s="29"/>
      <c r="E1333" s="28"/>
      <c r="F1333" s="28"/>
      <c r="G1333" s="28"/>
      <c r="H1333" s="51"/>
    </row>
    <row r="1334" ht="15" spans="1:8">
      <c r="A1334" s="58">
        <v>45898</v>
      </c>
      <c r="B1334" s="61">
        <v>869</v>
      </c>
      <c r="C1334" s="62">
        <v>0</v>
      </c>
      <c r="D1334" s="24"/>
      <c r="E1334" s="22"/>
      <c r="F1334" s="22"/>
      <c r="G1334" s="22"/>
      <c r="H1334" s="50"/>
    </row>
    <row r="1335" ht="15" spans="1:8">
      <c r="A1335" s="58">
        <v>45899</v>
      </c>
      <c r="B1335" s="59">
        <v>869</v>
      </c>
      <c r="C1335" s="60">
        <v>0</v>
      </c>
      <c r="D1335" s="29"/>
      <c r="E1335" s="28"/>
      <c r="F1335" s="28"/>
      <c r="G1335" s="28"/>
      <c r="H1335" s="51"/>
    </row>
    <row r="1336" ht="15" spans="1:8">
      <c r="A1336" s="58">
        <v>45900</v>
      </c>
      <c r="B1336" s="61">
        <v>869</v>
      </c>
      <c r="C1336" s="62">
        <v>0</v>
      </c>
      <c r="D1336" s="24"/>
      <c r="E1336" s="22"/>
      <c r="F1336" s="22"/>
      <c r="G1336" s="22"/>
      <c r="H1336" s="50"/>
    </row>
    <row r="1337" ht="15" spans="1:8">
      <c r="A1337" s="58">
        <v>45901</v>
      </c>
      <c r="B1337" s="59">
        <v>869</v>
      </c>
      <c r="C1337" s="60">
        <v>0</v>
      </c>
      <c r="D1337" s="29"/>
      <c r="E1337" s="28"/>
      <c r="F1337" s="28"/>
      <c r="G1337" s="28"/>
      <c r="H1337" s="51"/>
    </row>
    <row r="1338" ht="15" spans="1:8">
      <c r="A1338" s="58">
        <v>45902</v>
      </c>
      <c r="B1338" s="61">
        <v>869</v>
      </c>
      <c r="C1338" s="62">
        <v>0</v>
      </c>
      <c r="D1338" s="24"/>
      <c r="E1338" s="22"/>
      <c r="F1338" s="22"/>
      <c r="G1338" s="22"/>
      <c r="H1338" s="50"/>
    </row>
    <row r="1339" ht="15" spans="1:8">
      <c r="A1339" s="58">
        <v>45903</v>
      </c>
      <c r="B1339" s="59">
        <v>869</v>
      </c>
      <c r="C1339" s="60">
        <v>0</v>
      </c>
      <c r="D1339" s="29"/>
      <c r="E1339" s="28"/>
      <c r="F1339" s="28"/>
      <c r="G1339" s="28"/>
      <c r="H1339" s="51"/>
    </row>
    <row r="1340" ht="15" spans="1:8">
      <c r="A1340" s="58">
        <v>45904</v>
      </c>
      <c r="B1340" s="61">
        <v>867</v>
      </c>
      <c r="C1340" s="22">
        <v>-0.0023</v>
      </c>
      <c r="D1340" s="24"/>
      <c r="E1340" s="22"/>
      <c r="F1340" s="22"/>
      <c r="G1340" s="22"/>
      <c r="H1340" s="50"/>
    </row>
    <row r="1341" ht="15" spans="1:8">
      <c r="A1341" s="58">
        <v>45905</v>
      </c>
      <c r="B1341" s="59">
        <v>868</v>
      </c>
      <c r="C1341" s="29">
        <v>0.0012</v>
      </c>
      <c r="D1341" s="29"/>
      <c r="E1341" s="28"/>
      <c r="F1341" s="28"/>
      <c r="G1341" s="28"/>
      <c r="H1341" s="51"/>
    </row>
    <row r="1342" ht="15" spans="1:8">
      <c r="A1342" s="58">
        <v>45906</v>
      </c>
      <c r="B1342" s="61">
        <v>868</v>
      </c>
      <c r="C1342" s="62">
        <v>0</v>
      </c>
      <c r="D1342" s="24"/>
      <c r="E1342" s="22"/>
      <c r="F1342" s="22"/>
      <c r="G1342" s="22"/>
      <c r="H1342" s="50"/>
    </row>
    <row r="1343" ht="15" spans="1:8">
      <c r="A1343" s="58">
        <v>45907</v>
      </c>
      <c r="B1343" s="59">
        <v>868</v>
      </c>
      <c r="C1343" s="60">
        <v>0</v>
      </c>
      <c r="D1343" s="29"/>
      <c r="E1343" s="28"/>
      <c r="F1343" s="28"/>
      <c r="G1343" s="28"/>
      <c r="H1343" s="51"/>
    </row>
    <row r="1344" ht="15" spans="1:8">
      <c r="A1344" s="58">
        <v>45908</v>
      </c>
      <c r="B1344" s="61">
        <v>867</v>
      </c>
      <c r="C1344" s="22">
        <v>-0.0012</v>
      </c>
      <c r="D1344" s="24"/>
      <c r="E1344" s="22"/>
      <c r="F1344" s="22"/>
      <c r="G1344" s="22"/>
      <c r="H1344" s="50"/>
    </row>
    <row r="1345" ht="15" spans="1:8">
      <c r="A1345" s="58">
        <v>45909</v>
      </c>
      <c r="B1345" s="59">
        <v>868</v>
      </c>
      <c r="C1345" s="29">
        <v>0.0012</v>
      </c>
      <c r="D1345" s="29"/>
      <c r="E1345" s="28"/>
      <c r="F1345" s="28"/>
      <c r="G1345" s="28"/>
      <c r="H1345" s="51"/>
    </row>
    <row r="1346" spans="1:8">
      <c r="A1346" s="63">
        <v>45910</v>
      </c>
      <c r="B1346" s="71">
        <v>867</v>
      </c>
      <c r="C1346" s="72">
        <v>-0.0012</v>
      </c>
      <c r="D1346" s="73"/>
      <c r="E1346" s="72"/>
      <c r="F1346" s="72"/>
      <c r="G1346" s="72"/>
      <c r="H1346" s="74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65"/>
  <sheetViews>
    <sheetView topLeftCell="A928" workbookViewId="0">
      <selection activeCell="A1" sqref="A$1:A$1048576"/>
    </sheetView>
  </sheetViews>
  <sheetFormatPr defaultColWidth="9" defaultRowHeight="14.25" outlineLevelCol="6"/>
  <cols>
    <col min="1" max="1" width="11.625" style="6" customWidth="1"/>
    <col min="2" max="16384" width="9" style="7"/>
  </cols>
  <sheetData>
    <row r="1" spans="1:7">
      <c r="A1" s="6" t="s">
        <v>13</v>
      </c>
      <c r="B1" s="7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26</v>
      </c>
    </row>
    <row r="2" spans="1:7">
      <c r="A2" s="6">
        <v>45911</v>
      </c>
      <c r="B2" s="7">
        <v>7.1202</v>
      </c>
      <c r="C2" s="7">
        <v>7.1172</v>
      </c>
      <c r="D2" s="7">
        <v>7.1259</v>
      </c>
      <c r="E2" s="7">
        <v>7.1186</v>
      </c>
      <c r="G2" s="8">
        <v>-0.0001</v>
      </c>
    </row>
    <row r="3" spans="1:7">
      <c r="A3" s="6">
        <v>45910</v>
      </c>
      <c r="B3" s="7">
        <v>7.1212</v>
      </c>
      <c r="C3" s="7">
        <v>7.1306</v>
      </c>
      <c r="D3" s="7">
        <v>7.1306</v>
      </c>
      <c r="E3" s="7">
        <v>7.1191</v>
      </c>
      <c r="G3" s="8">
        <v>0</v>
      </c>
    </row>
    <row r="4" spans="1:7">
      <c r="A4" s="6">
        <v>45909</v>
      </c>
      <c r="B4" s="7">
        <v>7.1215</v>
      </c>
      <c r="C4" s="7">
        <v>7.1299</v>
      </c>
      <c r="D4" s="7">
        <v>7.1299</v>
      </c>
      <c r="E4" s="7">
        <v>7.1214</v>
      </c>
      <c r="G4" s="8">
        <v>-0.0012</v>
      </c>
    </row>
    <row r="5" spans="1:7">
      <c r="A5" s="6">
        <v>45908</v>
      </c>
      <c r="B5" s="7">
        <v>7.1299</v>
      </c>
      <c r="C5" s="7">
        <v>7.1318</v>
      </c>
      <c r="D5" s="7">
        <v>7.1367</v>
      </c>
      <c r="E5" s="7">
        <v>7.1293</v>
      </c>
      <c r="G5" s="8">
        <v>-0.0004</v>
      </c>
    </row>
    <row r="6" spans="1:7">
      <c r="A6" s="6">
        <v>45905</v>
      </c>
      <c r="B6" s="7">
        <v>7.1329</v>
      </c>
      <c r="C6" s="7">
        <v>7.1383</v>
      </c>
      <c r="D6" s="7">
        <v>7.1396</v>
      </c>
      <c r="E6" s="7">
        <v>7.1326</v>
      </c>
      <c r="G6" s="8">
        <v>-0.0012</v>
      </c>
    </row>
    <row r="7" spans="1:7">
      <c r="A7" s="6">
        <v>45904</v>
      </c>
      <c r="B7" s="7">
        <v>7.1417</v>
      </c>
      <c r="C7" s="7">
        <v>7.1415</v>
      </c>
      <c r="D7" s="7">
        <v>7.1439</v>
      </c>
      <c r="E7" s="7">
        <v>7.1384</v>
      </c>
      <c r="G7" s="8">
        <v>-0.0001</v>
      </c>
    </row>
    <row r="8" spans="1:7">
      <c r="A8" s="6">
        <v>45903</v>
      </c>
      <c r="B8" s="7">
        <v>7.1422</v>
      </c>
      <c r="C8" s="7">
        <v>7.1386</v>
      </c>
      <c r="D8" s="7">
        <v>7.1489</v>
      </c>
      <c r="E8" s="7">
        <v>7.1375</v>
      </c>
      <c r="G8" s="8">
        <v>0.0004</v>
      </c>
    </row>
    <row r="9" spans="1:7">
      <c r="A9" s="6">
        <v>45902</v>
      </c>
      <c r="B9" s="7">
        <v>7.1395</v>
      </c>
      <c r="C9" s="7">
        <v>7.1387</v>
      </c>
      <c r="D9" s="7">
        <v>7.15</v>
      </c>
      <c r="E9" s="7">
        <v>7.1375</v>
      </c>
      <c r="G9" s="8">
        <v>0.0002</v>
      </c>
    </row>
    <row r="10" spans="1:7">
      <c r="A10" s="6">
        <v>45901</v>
      </c>
      <c r="B10" s="7">
        <v>7.1378</v>
      </c>
      <c r="C10" s="7">
        <v>7.1312</v>
      </c>
      <c r="D10" s="7">
        <v>7.1382</v>
      </c>
      <c r="E10" s="7">
        <v>7.1282</v>
      </c>
      <c r="G10" s="8">
        <v>0.001</v>
      </c>
    </row>
    <row r="11" spans="1:7">
      <c r="A11" s="6">
        <v>45898</v>
      </c>
      <c r="B11" s="7">
        <v>7.1308</v>
      </c>
      <c r="C11" s="7">
        <v>7.1342</v>
      </c>
      <c r="D11" s="7">
        <v>7.1345</v>
      </c>
      <c r="E11" s="7">
        <v>7.1265</v>
      </c>
      <c r="G11" s="8">
        <v>0</v>
      </c>
    </row>
    <row r="12" spans="1:7">
      <c r="A12" s="6">
        <v>45897</v>
      </c>
      <c r="B12" s="7">
        <v>7.1307</v>
      </c>
      <c r="C12" s="7">
        <v>7.1485</v>
      </c>
      <c r="D12" s="7">
        <v>7.1551</v>
      </c>
      <c r="E12" s="7">
        <v>7.1301</v>
      </c>
      <c r="G12" s="8">
        <v>-0.0033</v>
      </c>
    </row>
    <row r="13" spans="1:7">
      <c r="A13" s="6">
        <v>45896</v>
      </c>
      <c r="B13" s="7">
        <v>7.1543</v>
      </c>
      <c r="C13" s="7">
        <v>7.1508</v>
      </c>
      <c r="D13" s="7">
        <v>7.1631</v>
      </c>
      <c r="E13" s="7">
        <v>7.1454</v>
      </c>
      <c r="G13" s="8">
        <v>0.0002</v>
      </c>
    </row>
    <row r="14" spans="1:7">
      <c r="A14" s="6">
        <v>45895</v>
      </c>
      <c r="B14" s="7">
        <v>7.1529</v>
      </c>
      <c r="C14" s="7">
        <v>7.1556</v>
      </c>
      <c r="D14" s="7">
        <v>7.163</v>
      </c>
      <c r="E14" s="7">
        <v>7.1524</v>
      </c>
      <c r="G14" s="8">
        <v>0.0002</v>
      </c>
    </row>
    <row r="15" spans="1:7">
      <c r="A15" s="6">
        <v>45894</v>
      </c>
      <c r="B15" s="7">
        <v>7.1516</v>
      </c>
      <c r="C15" s="7">
        <v>7.1649</v>
      </c>
      <c r="D15" s="7">
        <v>7.1682</v>
      </c>
      <c r="E15" s="7">
        <v>7.1483</v>
      </c>
      <c r="G15" s="8">
        <v>-0.002</v>
      </c>
    </row>
    <row r="16" spans="1:7">
      <c r="A16" s="6">
        <v>45891</v>
      </c>
      <c r="B16" s="7">
        <v>7.1657</v>
      </c>
      <c r="C16" s="7">
        <v>7.1818</v>
      </c>
      <c r="D16" s="7">
        <v>7.1866</v>
      </c>
      <c r="E16" s="7">
        <v>7.1635</v>
      </c>
      <c r="G16" s="8">
        <v>-0.0021</v>
      </c>
    </row>
    <row r="17" spans="1:7">
      <c r="A17" s="6">
        <v>45890</v>
      </c>
      <c r="B17" s="7">
        <v>7.1805</v>
      </c>
      <c r="C17" s="7">
        <v>7.1769</v>
      </c>
      <c r="D17" s="7">
        <v>7.1814</v>
      </c>
      <c r="E17" s="7">
        <v>7.1685</v>
      </c>
      <c r="G17" s="8">
        <v>0.0006</v>
      </c>
    </row>
    <row r="18" spans="1:7">
      <c r="A18" s="6">
        <v>45889</v>
      </c>
      <c r="B18" s="7">
        <v>7.1762</v>
      </c>
      <c r="C18" s="7">
        <v>7.1873</v>
      </c>
      <c r="D18" s="7">
        <v>7.1896</v>
      </c>
      <c r="E18" s="7">
        <v>7.1748</v>
      </c>
      <c r="G18" s="8">
        <v>-0.0009</v>
      </c>
    </row>
    <row r="19" spans="1:7">
      <c r="A19" s="6">
        <v>45888</v>
      </c>
      <c r="B19" s="7">
        <v>7.1824</v>
      </c>
      <c r="C19" s="7">
        <v>7.1853</v>
      </c>
      <c r="D19" s="7">
        <v>7.1881</v>
      </c>
      <c r="E19" s="7">
        <v>7.1788</v>
      </c>
      <c r="G19" s="8">
        <v>-0.0003</v>
      </c>
    </row>
    <row r="20" spans="1:7">
      <c r="A20" s="6">
        <v>45887</v>
      </c>
      <c r="B20" s="7">
        <v>7.1849</v>
      </c>
      <c r="C20" s="7">
        <v>7.1838</v>
      </c>
      <c r="D20" s="7">
        <v>7.1862</v>
      </c>
      <c r="E20" s="7">
        <v>7.1763</v>
      </c>
      <c r="G20" s="8">
        <v>0.0004</v>
      </c>
    </row>
    <row r="21" spans="1:7">
      <c r="A21" s="6">
        <v>45884</v>
      </c>
      <c r="B21" s="7">
        <v>7.1821</v>
      </c>
      <c r="C21" s="7">
        <v>7.1809</v>
      </c>
      <c r="D21" s="7">
        <v>7.1845</v>
      </c>
      <c r="E21" s="7">
        <v>7.1778</v>
      </c>
      <c r="G21" s="8">
        <v>0.0003</v>
      </c>
    </row>
    <row r="22" spans="1:7">
      <c r="A22" s="6">
        <v>45883</v>
      </c>
      <c r="B22" s="7">
        <v>7.1803</v>
      </c>
      <c r="C22" s="7">
        <v>7.1723</v>
      </c>
      <c r="D22" s="7">
        <v>7.1803</v>
      </c>
      <c r="E22" s="7">
        <v>7.1673</v>
      </c>
      <c r="G22" s="8">
        <v>0.0007</v>
      </c>
    </row>
    <row r="23" spans="1:7">
      <c r="A23" s="6">
        <v>45882</v>
      </c>
      <c r="B23" s="7">
        <v>7.1751</v>
      </c>
      <c r="C23" s="7">
        <v>7.1824</v>
      </c>
      <c r="D23" s="7">
        <v>7.1844</v>
      </c>
      <c r="E23" s="7">
        <v>7.1733</v>
      </c>
      <c r="G23" s="8">
        <v>-0.0006</v>
      </c>
    </row>
    <row r="24" spans="1:7">
      <c r="A24" s="6">
        <v>45881</v>
      </c>
      <c r="B24" s="7">
        <v>7.1792</v>
      </c>
      <c r="C24" s="7">
        <v>7.1876</v>
      </c>
      <c r="D24" s="7">
        <v>7.1915</v>
      </c>
      <c r="E24" s="7">
        <v>7.1792</v>
      </c>
      <c r="G24" s="8">
        <v>-0.0013</v>
      </c>
    </row>
    <row r="25" spans="1:7">
      <c r="A25" s="6">
        <v>45880</v>
      </c>
      <c r="B25" s="7">
        <v>7.1888</v>
      </c>
      <c r="C25" s="7">
        <v>7.1838</v>
      </c>
      <c r="D25" s="7">
        <v>7.1892</v>
      </c>
      <c r="E25" s="7">
        <v>7.1798</v>
      </c>
      <c r="G25" s="8">
        <v>0.0006</v>
      </c>
    </row>
    <row r="26" spans="1:7">
      <c r="A26" s="6">
        <v>45877</v>
      </c>
      <c r="B26" s="7">
        <v>7.1842</v>
      </c>
      <c r="C26" s="7">
        <v>7.1816</v>
      </c>
      <c r="D26" s="7">
        <v>7.1852</v>
      </c>
      <c r="E26" s="7">
        <v>7.1812</v>
      </c>
      <c r="G26" s="8">
        <v>0.0004</v>
      </c>
    </row>
    <row r="27" spans="1:7">
      <c r="A27" s="6">
        <v>45876</v>
      </c>
      <c r="B27" s="7">
        <v>7.1815</v>
      </c>
      <c r="C27" s="7">
        <v>7.1824</v>
      </c>
      <c r="D27" s="7">
        <v>7.1826</v>
      </c>
      <c r="E27" s="7">
        <v>7.1769</v>
      </c>
      <c r="G27" s="8">
        <v>-0.0002</v>
      </c>
    </row>
    <row r="28" spans="1:7">
      <c r="A28" s="6">
        <v>45875</v>
      </c>
      <c r="B28" s="7">
        <v>7.1826</v>
      </c>
      <c r="C28" s="7">
        <v>7.1903</v>
      </c>
      <c r="D28" s="7">
        <v>7.1903</v>
      </c>
      <c r="E28" s="7">
        <v>7.1826</v>
      </c>
      <c r="G28" s="8">
        <v>-0.0002</v>
      </c>
    </row>
    <row r="29" spans="1:7">
      <c r="A29" s="6">
        <v>45874</v>
      </c>
      <c r="B29" s="7">
        <v>7.184</v>
      </c>
      <c r="C29" s="7">
        <v>7.178</v>
      </c>
      <c r="D29" s="7">
        <v>7.1895</v>
      </c>
      <c r="E29" s="7">
        <v>7.1762</v>
      </c>
      <c r="G29" s="8">
        <v>0.0007</v>
      </c>
    </row>
    <row r="30" spans="1:7">
      <c r="A30" s="6">
        <v>45873</v>
      </c>
      <c r="B30" s="7">
        <v>7.1787</v>
      </c>
      <c r="C30" s="7">
        <v>7.1859</v>
      </c>
      <c r="D30" s="7">
        <v>7.1893</v>
      </c>
      <c r="E30" s="7">
        <v>7.1743</v>
      </c>
      <c r="G30" s="8">
        <v>-0.0046</v>
      </c>
    </row>
    <row r="31" spans="1:7">
      <c r="A31" s="6">
        <v>45870</v>
      </c>
      <c r="B31" s="7">
        <v>7.2118</v>
      </c>
      <c r="C31" s="7">
        <v>7.2019</v>
      </c>
      <c r="D31" s="7">
        <v>7.2142</v>
      </c>
      <c r="E31" s="7">
        <v>7.2019</v>
      </c>
      <c r="G31" s="8">
        <v>0.0016</v>
      </c>
    </row>
    <row r="32" spans="1:7">
      <c r="A32" s="6">
        <v>45869</v>
      </c>
      <c r="B32" s="7">
        <v>7.2005</v>
      </c>
      <c r="C32" s="7">
        <v>7.192</v>
      </c>
      <c r="D32" s="7">
        <v>7.2006</v>
      </c>
      <c r="E32" s="7">
        <v>7.1902</v>
      </c>
      <c r="G32" s="8">
        <v>0.0009</v>
      </c>
    </row>
    <row r="33" spans="1:7">
      <c r="A33" s="6">
        <v>45868</v>
      </c>
      <c r="B33" s="7">
        <v>7.1942</v>
      </c>
      <c r="C33" s="7">
        <v>7.1756</v>
      </c>
      <c r="D33" s="7">
        <v>7.1948</v>
      </c>
      <c r="E33" s="7">
        <v>7.1734</v>
      </c>
      <c r="G33" s="8">
        <v>0.0024</v>
      </c>
    </row>
    <row r="34" spans="1:7">
      <c r="A34" s="6">
        <v>45867</v>
      </c>
      <c r="B34" s="7">
        <v>7.1772</v>
      </c>
      <c r="C34" s="7">
        <v>7.1796</v>
      </c>
      <c r="D34" s="7">
        <v>7.1798</v>
      </c>
      <c r="E34" s="7">
        <v>7.1744</v>
      </c>
      <c r="G34" s="8">
        <v>-0.0001</v>
      </c>
    </row>
    <row r="35" spans="1:7">
      <c r="A35" s="6">
        <v>45866</v>
      </c>
      <c r="B35" s="7">
        <v>7.1779</v>
      </c>
      <c r="C35" s="7">
        <v>7.1685</v>
      </c>
      <c r="D35" s="7">
        <v>7.1779</v>
      </c>
      <c r="E35" s="7">
        <v>7.1671</v>
      </c>
      <c r="G35" s="8">
        <v>0.0013</v>
      </c>
    </row>
    <row r="36" spans="1:7">
      <c r="A36" s="6">
        <v>45863</v>
      </c>
      <c r="B36" s="7">
        <v>7.1683</v>
      </c>
      <c r="C36" s="7">
        <v>7.1609</v>
      </c>
      <c r="D36" s="7">
        <v>7.1693</v>
      </c>
      <c r="E36" s="7">
        <v>7.1584</v>
      </c>
      <c r="G36" s="8">
        <v>0.0019</v>
      </c>
    </row>
    <row r="37" spans="1:7">
      <c r="A37" s="6">
        <v>45862</v>
      </c>
      <c r="B37" s="7">
        <v>7.1545</v>
      </c>
      <c r="C37" s="7">
        <v>7.1516</v>
      </c>
      <c r="D37" s="7">
        <v>7.1578</v>
      </c>
      <c r="E37" s="7">
        <v>7.149</v>
      </c>
      <c r="G37" s="8">
        <v>-0.0008</v>
      </c>
    </row>
    <row r="38" spans="1:7">
      <c r="A38" s="6">
        <v>45861</v>
      </c>
      <c r="B38" s="7">
        <v>7.1602</v>
      </c>
      <c r="C38" s="7">
        <v>7.1685</v>
      </c>
      <c r="D38" s="7">
        <v>7.1725</v>
      </c>
      <c r="E38" s="7">
        <v>7.1602</v>
      </c>
      <c r="G38" s="8">
        <v>-0.0021</v>
      </c>
    </row>
    <row r="39" spans="1:7">
      <c r="A39" s="6">
        <v>45860</v>
      </c>
      <c r="B39" s="7">
        <v>7.175</v>
      </c>
      <c r="C39" s="7">
        <v>7.1702</v>
      </c>
      <c r="D39" s="7">
        <v>7.1766</v>
      </c>
      <c r="E39" s="7">
        <v>7.17</v>
      </c>
      <c r="G39" s="8">
        <v>-0.0002</v>
      </c>
    </row>
    <row r="40" spans="1:7">
      <c r="A40" s="6">
        <v>45859</v>
      </c>
      <c r="B40" s="7">
        <v>7.1764</v>
      </c>
      <c r="C40" s="7">
        <v>7.1778</v>
      </c>
      <c r="D40" s="7">
        <v>7.1797</v>
      </c>
      <c r="E40" s="7">
        <v>7.1743</v>
      </c>
      <c r="G40" s="8">
        <v>-0.0002</v>
      </c>
    </row>
    <row r="41" spans="1:7">
      <c r="A41" s="6">
        <v>45856</v>
      </c>
      <c r="B41" s="7">
        <v>7.1779</v>
      </c>
      <c r="C41" s="7">
        <v>7.1792</v>
      </c>
      <c r="D41" s="7">
        <v>7.1826</v>
      </c>
      <c r="E41" s="7">
        <v>7.1757</v>
      </c>
      <c r="G41" s="8">
        <v>-0.0008</v>
      </c>
    </row>
    <row r="42" spans="1:7">
      <c r="A42" s="6">
        <v>45855</v>
      </c>
      <c r="B42" s="7">
        <v>7.184</v>
      </c>
      <c r="C42" s="7">
        <v>7.1802</v>
      </c>
      <c r="D42" s="7">
        <v>7.1841</v>
      </c>
      <c r="E42" s="7">
        <v>7.176</v>
      </c>
      <c r="G42" s="8">
        <v>0.0006</v>
      </c>
    </row>
    <row r="43" spans="1:7">
      <c r="A43" s="6">
        <v>45854</v>
      </c>
      <c r="B43" s="7">
        <v>7.1796</v>
      </c>
      <c r="C43" s="7">
        <v>7.1783</v>
      </c>
      <c r="D43" s="7">
        <v>7.1847</v>
      </c>
      <c r="E43" s="7">
        <v>7.177</v>
      </c>
      <c r="G43" s="8">
        <v>0.0009</v>
      </c>
    </row>
    <row r="44" spans="1:7">
      <c r="A44" s="6">
        <v>45853</v>
      </c>
      <c r="B44" s="7">
        <v>7.173</v>
      </c>
      <c r="C44" s="7">
        <v>7.1707</v>
      </c>
      <c r="D44" s="7">
        <v>7.1754</v>
      </c>
      <c r="E44" s="7">
        <v>7.1691</v>
      </c>
      <c r="G44" s="8">
        <v>0.0008</v>
      </c>
    </row>
    <row r="45" spans="1:7">
      <c r="A45" s="6">
        <v>45852</v>
      </c>
      <c r="B45" s="7">
        <v>7.1672</v>
      </c>
      <c r="C45" s="7">
        <v>7.1672</v>
      </c>
      <c r="D45" s="7">
        <v>7.171</v>
      </c>
      <c r="E45" s="7">
        <v>7.1668</v>
      </c>
      <c r="G45" s="8">
        <v>-0.0002</v>
      </c>
    </row>
    <row r="46" spans="1:7">
      <c r="A46" s="6">
        <v>45849</v>
      </c>
      <c r="B46" s="7">
        <v>7.1686</v>
      </c>
      <c r="C46" s="7">
        <v>7.177</v>
      </c>
      <c r="D46" s="7">
        <v>7.1777</v>
      </c>
      <c r="E46" s="7">
        <v>7.1666</v>
      </c>
      <c r="G46" s="8">
        <v>-0.0009</v>
      </c>
    </row>
    <row r="47" spans="1:7">
      <c r="A47" s="6">
        <v>45848</v>
      </c>
      <c r="B47" s="7">
        <v>7.1749</v>
      </c>
      <c r="C47" s="7">
        <v>7.1774</v>
      </c>
      <c r="D47" s="7">
        <v>7.1783</v>
      </c>
      <c r="E47" s="7">
        <v>7.1747</v>
      </c>
      <c r="G47" s="8">
        <v>-0.0007</v>
      </c>
    </row>
    <row r="48" spans="1:7">
      <c r="A48" s="6">
        <v>45847</v>
      </c>
      <c r="B48" s="7">
        <v>7.1802</v>
      </c>
      <c r="C48" s="7">
        <v>7.1741</v>
      </c>
      <c r="D48" s="7">
        <v>7.1836</v>
      </c>
      <c r="E48" s="7">
        <v>7.1741</v>
      </c>
      <c r="G48" s="8">
        <v>0.0009</v>
      </c>
    </row>
    <row r="49" spans="1:7">
      <c r="A49" s="6">
        <v>45846</v>
      </c>
      <c r="B49" s="7">
        <v>7.1741</v>
      </c>
      <c r="C49" s="7">
        <v>7.1748</v>
      </c>
      <c r="D49" s="7">
        <v>7.1748</v>
      </c>
      <c r="E49" s="7">
        <v>7.17</v>
      </c>
      <c r="G49" s="8">
        <v>-0.0001</v>
      </c>
    </row>
    <row r="50" spans="1:7">
      <c r="A50" s="6">
        <v>45845</v>
      </c>
      <c r="B50" s="7">
        <v>7.1747</v>
      </c>
      <c r="C50" s="7">
        <v>7.1661</v>
      </c>
      <c r="D50" s="7">
        <v>7.1753</v>
      </c>
      <c r="E50" s="7">
        <v>7.1659</v>
      </c>
      <c r="G50" s="8">
        <v>0.0013</v>
      </c>
    </row>
    <row r="51" spans="1:7">
      <c r="A51" s="6">
        <v>45842</v>
      </c>
      <c r="B51" s="7">
        <v>7.1653</v>
      </c>
      <c r="C51" s="7">
        <v>7.1688</v>
      </c>
      <c r="D51" s="7">
        <v>7.1693</v>
      </c>
      <c r="E51" s="7">
        <v>7.1619</v>
      </c>
      <c r="G51" s="8">
        <v>-0.0005</v>
      </c>
    </row>
    <row r="52" spans="1:7">
      <c r="A52" s="6">
        <v>45841</v>
      </c>
      <c r="B52" s="7">
        <v>7.1692</v>
      </c>
      <c r="C52" s="7">
        <v>7.1692</v>
      </c>
      <c r="D52" s="7">
        <v>7.1718</v>
      </c>
      <c r="E52" s="7">
        <v>7.1605</v>
      </c>
      <c r="G52" s="8">
        <v>0.0005</v>
      </c>
    </row>
    <row r="53" spans="1:7">
      <c r="A53" s="6">
        <v>45840</v>
      </c>
      <c r="B53" s="7">
        <v>7.1658</v>
      </c>
      <c r="C53" s="7">
        <v>7.1645</v>
      </c>
      <c r="D53" s="7">
        <v>7.1698</v>
      </c>
      <c r="E53" s="7">
        <v>7.1644</v>
      </c>
      <c r="G53" s="8">
        <v>0.0001</v>
      </c>
    </row>
    <row r="54" spans="1:7">
      <c r="A54" s="6">
        <v>45839</v>
      </c>
      <c r="B54" s="7">
        <v>7.1654</v>
      </c>
      <c r="C54" s="7">
        <v>7.1574</v>
      </c>
      <c r="D54" s="7">
        <v>7.1661</v>
      </c>
      <c r="E54" s="7">
        <v>7.1562</v>
      </c>
      <c r="G54" s="8">
        <v>0.0002</v>
      </c>
    </row>
    <row r="55" spans="1:7">
      <c r="A55" s="6">
        <v>45838</v>
      </c>
      <c r="B55" s="7">
        <v>7.1639</v>
      </c>
      <c r="C55" s="7">
        <v>7.1645</v>
      </c>
      <c r="D55" s="7">
        <v>7.1663</v>
      </c>
      <c r="E55" s="7">
        <v>7.1623</v>
      </c>
      <c r="G55" s="8">
        <v>-0.0012</v>
      </c>
    </row>
    <row r="56" spans="1:7">
      <c r="A56" s="6">
        <v>45835</v>
      </c>
      <c r="B56" s="7">
        <v>7.1726</v>
      </c>
      <c r="C56" s="7">
        <v>7.1676</v>
      </c>
      <c r="D56" s="7">
        <v>7.1744</v>
      </c>
      <c r="E56" s="7">
        <v>7.1659</v>
      </c>
      <c r="G56" s="8">
        <v>0.0007</v>
      </c>
    </row>
    <row r="57" spans="1:7">
      <c r="A57" s="6">
        <v>45834</v>
      </c>
      <c r="B57" s="7">
        <v>7.1676</v>
      </c>
      <c r="C57" s="7">
        <v>7.1686</v>
      </c>
      <c r="D57" s="7">
        <v>7.1729</v>
      </c>
      <c r="E57" s="7">
        <v>7.1574</v>
      </c>
      <c r="G57" s="8">
        <v>-0.0013</v>
      </c>
    </row>
    <row r="58" spans="1:7">
      <c r="A58" s="6">
        <v>45833</v>
      </c>
      <c r="B58" s="7">
        <v>7.1768</v>
      </c>
      <c r="C58" s="7">
        <v>7.1686</v>
      </c>
      <c r="D58" s="7">
        <v>7.1772</v>
      </c>
      <c r="E58" s="7">
        <v>7.1681</v>
      </c>
      <c r="G58" s="8">
        <v>0.0007</v>
      </c>
    </row>
    <row r="59" spans="1:7">
      <c r="A59" s="6">
        <v>45832</v>
      </c>
      <c r="B59" s="7">
        <v>7.1717</v>
      </c>
      <c r="C59" s="7">
        <v>7.1756</v>
      </c>
      <c r="D59" s="7">
        <v>7.1792</v>
      </c>
      <c r="E59" s="7">
        <v>7.1715</v>
      </c>
      <c r="G59" s="8">
        <v>-0.0012</v>
      </c>
    </row>
    <row r="60" spans="1:7">
      <c r="A60" s="6">
        <v>45831</v>
      </c>
      <c r="B60" s="7">
        <v>7.18</v>
      </c>
      <c r="C60" s="7">
        <v>7.1871</v>
      </c>
      <c r="D60" s="7">
        <v>7.1905</v>
      </c>
      <c r="E60" s="7">
        <v>7.18</v>
      </c>
      <c r="G60" s="8">
        <v>0</v>
      </c>
    </row>
    <row r="61" spans="1:7">
      <c r="A61" s="6">
        <v>45828</v>
      </c>
      <c r="B61" s="7">
        <v>7.1799</v>
      </c>
      <c r="C61" s="7">
        <v>7.1783</v>
      </c>
      <c r="D61" s="7">
        <v>7.1851</v>
      </c>
      <c r="E61" s="7">
        <v>7.1744</v>
      </c>
      <c r="G61" s="8">
        <v>-0.0012</v>
      </c>
    </row>
    <row r="62" spans="1:7">
      <c r="A62" s="6">
        <v>45827</v>
      </c>
      <c r="B62" s="7">
        <v>7.1884</v>
      </c>
      <c r="C62" s="7">
        <v>7.1925</v>
      </c>
      <c r="D62" s="7">
        <v>7.1925</v>
      </c>
      <c r="E62" s="7">
        <v>7.1858</v>
      </c>
      <c r="G62" s="8">
        <v>-0.0001</v>
      </c>
    </row>
    <row r="63" spans="1:7">
      <c r="A63" s="6">
        <v>45826</v>
      </c>
      <c r="B63" s="7">
        <v>7.1894</v>
      </c>
      <c r="C63" s="7">
        <v>7.1863</v>
      </c>
      <c r="D63" s="7">
        <v>7.1894</v>
      </c>
      <c r="E63" s="7">
        <v>7.1841</v>
      </c>
      <c r="G63" s="8">
        <v>0.0006</v>
      </c>
    </row>
    <row r="64" spans="1:7">
      <c r="A64" s="6">
        <v>45825</v>
      </c>
      <c r="B64" s="7">
        <v>7.1852</v>
      </c>
      <c r="C64" s="7">
        <v>7.1801</v>
      </c>
      <c r="D64" s="7">
        <v>7.1857</v>
      </c>
      <c r="E64" s="7">
        <v>7.1787</v>
      </c>
      <c r="G64" s="8">
        <v>0.0008</v>
      </c>
    </row>
    <row r="65" spans="1:7">
      <c r="A65" s="6">
        <v>45824</v>
      </c>
      <c r="B65" s="7">
        <v>7.1798</v>
      </c>
      <c r="C65" s="7">
        <v>7.1855</v>
      </c>
      <c r="D65" s="7">
        <v>7.1872</v>
      </c>
      <c r="E65" s="7">
        <v>7.1782</v>
      </c>
      <c r="G65" s="8">
        <v>-0.0003</v>
      </c>
    </row>
    <row r="66" spans="1:7">
      <c r="A66" s="6">
        <v>45821</v>
      </c>
      <c r="B66" s="7">
        <v>7.1816</v>
      </c>
      <c r="C66" s="7">
        <v>7.1802</v>
      </c>
      <c r="D66" s="7">
        <v>7.1854</v>
      </c>
      <c r="E66" s="7">
        <v>7.1742</v>
      </c>
      <c r="G66" s="8">
        <v>0.0012</v>
      </c>
    </row>
    <row r="67" spans="1:7">
      <c r="A67" s="6">
        <v>45820</v>
      </c>
      <c r="B67" s="7">
        <v>7.1733</v>
      </c>
      <c r="C67" s="7">
        <v>7.1905</v>
      </c>
      <c r="D67" s="7">
        <v>7.1905</v>
      </c>
      <c r="E67" s="7">
        <v>7.1703</v>
      </c>
      <c r="G67" s="8">
        <v>-0.0028</v>
      </c>
    </row>
    <row r="68" spans="1:7">
      <c r="A68" s="6">
        <v>45819</v>
      </c>
      <c r="B68" s="7">
        <v>7.1932</v>
      </c>
      <c r="C68" s="7">
        <v>7.1844</v>
      </c>
      <c r="D68" s="7">
        <v>7.1942</v>
      </c>
      <c r="E68" s="7">
        <v>7.1834</v>
      </c>
      <c r="G68" s="8">
        <v>0.0008</v>
      </c>
    </row>
    <row r="69" spans="1:7">
      <c r="A69" s="6">
        <v>45818</v>
      </c>
      <c r="B69" s="7">
        <v>7.1877</v>
      </c>
      <c r="C69" s="7">
        <v>7.1806</v>
      </c>
      <c r="D69" s="7">
        <v>7.1934</v>
      </c>
      <c r="E69" s="7">
        <v>7.1806</v>
      </c>
      <c r="G69" s="8">
        <v>0.0009</v>
      </c>
    </row>
    <row r="70" spans="1:7">
      <c r="A70" s="6">
        <v>45817</v>
      </c>
      <c r="B70" s="7">
        <v>7.1811</v>
      </c>
      <c r="C70" s="7">
        <v>7.1882</v>
      </c>
      <c r="D70" s="7">
        <v>7.1886</v>
      </c>
      <c r="E70" s="7">
        <v>7.1805</v>
      </c>
      <c r="G70" s="8">
        <v>-0.0012</v>
      </c>
    </row>
    <row r="71" spans="1:7">
      <c r="A71" s="6">
        <v>45814</v>
      </c>
      <c r="B71" s="7">
        <v>7.1896</v>
      </c>
      <c r="C71" s="7">
        <v>7.1792</v>
      </c>
      <c r="D71" s="7">
        <v>7.1897</v>
      </c>
      <c r="E71" s="7">
        <v>7.1792</v>
      </c>
      <c r="G71" s="8">
        <v>0.0019</v>
      </c>
    </row>
    <row r="72" spans="1:7">
      <c r="A72" s="6">
        <v>45813</v>
      </c>
      <c r="B72" s="7">
        <v>7.176</v>
      </c>
      <c r="C72" s="7">
        <v>7.1766</v>
      </c>
      <c r="D72" s="7">
        <v>7.1844</v>
      </c>
      <c r="E72" s="7">
        <v>7.1715</v>
      </c>
      <c r="G72" s="8">
        <v>-0.0013</v>
      </c>
    </row>
    <row r="73" spans="1:7">
      <c r="A73" s="6">
        <v>45812</v>
      </c>
      <c r="B73" s="7">
        <v>7.1852</v>
      </c>
      <c r="C73" s="7">
        <v>7.1883</v>
      </c>
      <c r="D73" s="7">
        <v>7.1938</v>
      </c>
      <c r="E73" s="7">
        <v>7.1821</v>
      </c>
      <c r="G73" s="8">
        <v>-0.0004</v>
      </c>
    </row>
    <row r="74" spans="1:7">
      <c r="A74" s="6">
        <v>45811</v>
      </c>
      <c r="B74" s="7">
        <v>7.1881</v>
      </c>
      <c r="C74" s="7">
        <v>7.1989</v>
      </c>
      <c r="D74" s="7">
        <v>7.2013</v>
      </c>
      <c r="E74" s="7">
        <v>7.1861</v>
      </c>
      <c r="G74" s="8">
        <v>-0.0016</v>
      </c>
    </row>
    <row r="75" spans="1:7">
      <c r="A75" s="6">
        <v>45810</v>
      </c>
      <c r="B75" s="7">
        <v>7.1998</v>
      </c>
      <c r="C75" s="7">
        <v>7.1998</v>
      </c>
      <c r="D75" s="7">
        <v>7.1998</v>
      </c>
      <c r="E75" s="7">
        <v>7.1998</v>
      </c>
      <c r="G75" s="8">
        <v>0</v>
      </c>
    </row>
    <row r="76" spans="1:7">
      <c r="A76" s="6">
        <v>45807</v>
      </c>
      <c r="B76" s="7">
        <v>7.1998</v>
      </c>
      <c r="C76" s="7">
        <v>7.1861</v>
      </c>
      <c r="D76" s="7">
        <v>7.2008</v>
      </c>
      <c r="E76" s="7">
        <v>7.1832</v>
      </c>
      <c r="G76" s="8">
        <v>0.0019</v>
      </c>
    </row>
    <row r="77" spans="1:7">
      <c r="A77" s="6">
        <v>45806</v>
      </c>
      <c r="B77" s="7">
        <v>7.1859</v>
      </c>
      <c r="C77" s="7">
        <v>7.2091</v>
      </c>
      <c r="D77" s="7">
        <v>7.2104</v>
      </c>
      <c r="E77" s="7">
        <v>7.1859</v>
      </c>
      <c r="G77" s="8">
        <v>-0.0012</v>
      </c>
    </row>
    <row r="78" spans="1:7">
      <c r="A78" s="6">
        <v>45805</v>
      </c>
      <c r="B78" s="7">
        <v>7.1948</v>
      </c>
      <c r="C78" s="7">
        <v>7.1943</v>
      </c>
      <c r="D78" s="7">
        <v>7.2029</v>
      </c>
      <c r="E78" s="7">
        <v>7.1886</v>
      </c>
      <c r="G78" s="8">
        <v>-0.0001</v>
      </c>
    </row>
    <row r="79" spans="1:7">
      <c r="A79" s="6">
        <v>45804</v>
      </c>
      <c r="B79" s="7">
        <v>7.1956</v>
      </c>
      <c r="C79" s="7">
        <v>7.1825</v>
      </c>
      <c r="D79" s="7">
        <v>7.1959</v>
      </c>
      <c r="E79" s="7">
        <v>7.1824</v>
      </c>
      <c r="G79" s="8">
        <v>0.0012</v>
      </c>
    </row>
    <row r="80" spans="1:7">
      <c r="A80" s="6">
        <v>45803</v>
      </c>
      <c r="B80" s="7">
        <v>7.1869</v>
      </c>
      <c r="C80" s="7">
        <v>7.1745</v>
      </c>
      <c r="D80" s="7">
        <v>7.1898</v>
      </c>
      <c r="E80" s="7">
        <v>7.1679</v>
      </c>
      <c r="G80" s="8">
        <v>0.0009</v>
      </c>
    </row>
    <row r="81" spans="1:7">
      <c r="A81" s="6">
        <v>45800</v>
      </c>
      <c r="B81" s="7">
        <v>7.1806</v>
      </c>
      <c r="C81" s="7">
        <v>7.2011</v>
      </c>
      <c r="D81" s="7">
        <v>7.2041</v>
      </c>
      <c r="E81" s="7">
        <v>7.1804</v>
      </c>
      <c r="G81" s="8">
        <v>-0.0033</v>
      </c>
    </row>
    <row r="82" spans="1:7">
      <c r="A82" s="6">
        <v>45799</v>
      </c>
      <c r="B82" s="7">
        <v>7.2043</v>
      </c>
      <c r="C82" s="7">
        <v>7.1996</v>
      </c>
      <c r="D82" s="7">
        <v>7.2084</v>
      </c>
      <c r="E82" s="7">
        <v>7.1964</v>
      </c>
      <c r="G82" s="8">
        <v>0.0002</v>
      </c>
    </row>
    <row r="83" spans="1:7">
      <c r="A83" s="6">
        <v>45798</v>
      </c>
      <c r="B83" s="7">
        <v>7.2025</v>
      </c>
      <c r="C83" s="7">
        <v>7.219</v>
      </c>
      <c r="D83" s="7">
        <v>7.2193</v>
      </c>
      <c r="E83" s="7">
        <v>7.2018</v>
      </c>
      <c r="G83" s="8">
        <v>-0.0024</v>
      </c>
    </row>
    <row r="84" spans="1:7">
      <c r="A84" s="6">
        <v>45797</v>
      </c>
      <c r="B84" s="7">
        <v>7.2195</v>
      </c>
      <c r="C84" s="7">
        <v>7.2156</v>
      </c>
      <c r="D84" s="7">
        <v>7.2254</v>
      </c>
      <c r="E84" s="7">
        <v>7.2156</v>
      </c>
      <c r="G84" s="8">
        <v>0.0006</v>
      </c>
    </row>
    <row r="85" spans="1:7">
      <c r="A85" s="6">
        <v>45796</v>
      </c>
      <c r="B85" s="7">
        <v>7.2149</v>
      </c>
      <c r="C85" s="7">
        <v>7.2087</v>
      </c>
      <c r="D85" s="7">
        <v>7.2172</v>
      </c>
      <c r="E85" s="7">
        <v>7.2087</v>
      </c>
      <c r="G85" s="8">
        <v>0.0007</v>
      </c>
    </row>
    <row r="86" spans="1:7">
      <c r="A86" s="6">
        <v>45793</v>
      </c>
      <c r="B86" s="7">
        <v>7.2095</v>
      </c>
      <c r="C86" s="7">
        <v>7.2047</v>
      </c>
      <c r="D86" s="7">
        <v>7.2095</v>
      </c>
      <c r="E86" s="7">
        <v>7.1988</v>
      </c>
      <c r="G86" s="8">
        <v>0.0003</v>
      </c>
    </row>
    <row r="87" spans="1:7">
      <c r="A87" s="6">
        <v>45792</v>
      </c>
      <c r="B87" s="7">
        <v>7.2073</v>
      </c>
      <c r="C87" s="7">
        <v>7.2112</v>
      </c>
      <c r="D87" s="7">
        <v>7.2179</v>
      </c>
      <c r="E87" s="7">
        <v>7.205</v>
      </c>
      <c r="G87" s="8">
        <v>-0.0002</v>
      </c>
    </row>
    <row r="88" spans="1:7">
      <c r="A88" s="6">
        <v>45791</v>
      </c>
      <c r="B88" s="7">
        <v>7.2085</v>
      </c>
      <c r="C88" s="7">
        <v>7.2024</v>
      </c>
      <c r="D88" s="7">
        <v>7.219</v>
      </c>
      <c r="E88" s="7">
        <v>7.2012</v>
      </c>
      <c r="G88" s="8">
        <v>0.0003</v>
      </c>
    </row>
    <row r="89" spans="1:7">
      <c r="A89" s="6">
        <v>45790</v>
      </c>
      <c r="B89" s="7">
        <v>7.2064</v>
      </c>
      <c r="C89" s="7">
        <v>7.1935</v>
      </c>
      <c r="D89" s="7">
        <v>7.2064</v>
      </c>
      <c r="E89" s="7">
        <v>7.1867</v>
      </c>
      <c r="G89" s="8">
        <v>0.0005</v>
      </c>
    </row>
    <row r="90" spans="1:7">
      <c r="A90" s="6">
        <v>45789</v>
      </c>
      <c r="B90" s="7">
        <v>7.2029</v>
      </c>
      <c r="C90" s="7">
        <v>7.2282</v>
      </c>
      <c r="D90" s="7">
        <v>7.2303</v>
      </c>
      <c r="E90" s="7">
        <v>7.2009</v>
      </c>
      <c r="G90" s="8">
        <v>-0.0047</v>
      </c>
    </row>
    <row r="91" spans="1:7">
      <c r="A91" s="6">
        <v>45786</v>
      </c>
      <c r="B91" s="7">
        <v>7.237</v>
      </c>
      <c r="C91" s="7">
        <v>7.2436</v>
      </c>
      <c r="D91" s="7">
        <v>7.2521</v>
      </c>
      <c r="E91" s="7">
        <v>7.2367</v>
      </c>
      <c r="G91" s="8">
        <v>0.0003</v>
      </c>
    </row>
    <row r="92" spans="1:7">
      <c r="A92" s="6">
        <v>45785</v>
      </c>
      <c r="B92" s="7">
        <v>7.2348</v>
      </c>
      <c r="C92" s="7">
        <v>7.2363</v>
      </c>
      <c r="D92" s="7">
        <v>7.2416</v>
      </c>
      <c r="E92" s="7">
        <v>7.2325</v>
      </c>
      <c r="G92" s="8">
        <v>0.0013</v>
      </c>
    </row>
    <row r="93" spans="1:7">
      <c r="A93" s="6">
        <v>45784</v>
      </c>
      <c r="B93" s="7">
        <v>7.2253</v>
      </c>
      <c r="C93" s="7">
        <v>7.2195</v>
      </c>
      <c r="D93" s="7">
        <v>7.233</v>
      </c>
      <c r="E93" s="7">
        <v>7.2195</v>
      </c>
      <c r="G93" s="8">
        <v>0.0011</v>
      </c>
    </row>
    <row r="94" spans="1:7">
      <c r="A94" s="6">
        <v>45783</v>
      </c>
      <c r="B94" s="7">
        <v>7.2171</v>
      </c>
      <c r="C94" s="7">
        <v>7.2359</v>
      </c>
      <c r="D94" s="7">
        <v>7.2388</v>
      </c>
      <c r="E94" s="7">
        <v>7.211</v>
      </c>
      <c r="G94" s="8">
        <v>-0.0075</v>
      </c>
    </row>
    <row r="95" spans="1:7">
      <c r="A95" s="6">
        <v>45782</v>
      </c>
      <c r="B95" s="7">
        <v>7.2714</v>
      </c>
      <c r="C95" s="7">
        <v>7.2714</v>
      </c>
      <c r="D95" s="7">
        <v>7.2714</v>
      </c>
      <c r="E95" s="7">
        <v>7.2714</v>
      </c>
      <c r="G95" s="8">
        <v>0</v>
      </c>
    </row>
    <row r="96" spans="1:7">
      <c r="A96" s="6">
        <v>45779</v>
      </c>
      <c r="B96" s="7">
        <v>7.2714</v>
      </c>
      <c r="C96" s="7">
        <v>7.2714</v>
      </c>
      <c r="D96" s="7">
        <v>7.2714</v>
      </c>
      <c r="E96" s="7">
        <v>7.2714</v>
      </c>
      <c r="G96" s="8">
        <v>0</v>
      </c>
    </row>
    <row r="97" spans="1:7">
      <c r="A97" s="6">
        <v>45778</v>
      </c>
      <c r="B97" s="7">
        <v>7.2714</v>
      </c>
      <c r="C97" s="7">
        <v>7.2714</v>
      </c>
      <c r="D97" s="7">
        <v>7.2714</v>
      </c>
      <c r="E97" s="7">
        <v>7.2714</v>
      </c>
      <c r="G97" s="8">
        <v>0</v>
      </c>
    </row>
    <row r="98" spans="1:7">
      <c r="A98" s="6">
        <v>45777</v>
      </c>
      <c r="B98" s="7">
        <v>7.2714</v>
      </c>
      <c r="C98" s="7">
        <v>7.2757</v>
      </c>
      <c r="D98" s="7">
        <v>7.277</v>
      </c>
      <c r="E98" s="7">
        <v>7.2614</v>
      </c>
      <c r="G98" s="8">
        <v>0.0003</v>
      </c>
    </row>
    <row r="99" spans="1:7">
      <c r="A99" s="6">
        <v>45776</v>
      </c>
      <c r="B99" s="7">
        <v>7.2695</v>
      </c>
      <c r="C99" s="7">
        <v>7.2875</v>
      </c>
      <c r="D99" s="7">
        <v>7.2888</v>
      </c>
      <c r="E99" s="7">
        <v>7.2596</v>
      </c>
      <c r="G99" s="8">
        <v>-0.0035</v>
      </c>
    </row>
    <row r="100" spans="1:7">
      <c r="A100" s="6">
        <v>45775</v>
      </c>
      <c r="B100" s="7">
        <v>7.2947</v>
      </c>
      <c r="C100" s="7">
        <v>7.2906</v>
      </c>
      <c r="D100" s="7">
        <v>7.3008</v>
      </c>
      <c r="E100" s="7">
        <v>7.2906</v>
      </c>
      <c r="G100" s="8">
        <v>0.001</v>
      </c>
    </row>
    <row r="101" spans="1:7">
      <c r="A101" s="6">
        <v>45772</v>
      </c>
      <c r="B101" s="7">
        <v>7.2877</v>
      </c>
      <c r="C101" s="7">
        <v>7.2941</v>
      </c>
      <c r="D101" s="7">
        <v>7.298</v>
      </c>
      <c r="E101" s="7">
        <v>7.283</v>
      </c>
      <c r="G101" s="8">
        <v>-0.0001</v>
      </c>
    </row>
    <row r="102" spans="1:7">
      <c r="A102" s="6">
        <v>45771</v>
      </c>
      <c r="B102" s="7">
        <v>7.2884</v>
      </c>
      <c r="C102" s="7">
        <v>7.2947</v>
      </c>
      <c r="D102" s="7">
        <v>7.3014</v>
      </c>
      <c r="E102" s="7">
        <v>7.2863</v>
      </c>
      <c r="G102" s="8">
        <v>0.0002</v>
      </c>
    </row>
    <row r="103" spans="1:7">
      <c r="A103" s="6">
        <v>45770</v>
      </c>
      <c r="B103" s="7">
        <v>7.287</v>
      </c>
      <c r="C103" s="7">
        <v>7.3036</v>
      </c>
      <c r="D103" s="7">
        <v>7.3086</v>
      </c>
      <c r="E103" s="7">
        <v>7.2858</v>
      </c>
      <c r="G103" s="8">
        <v>-0.0035</v>
      </c>
    </row>
    <row r="104" spans="1:7">
      <c r="A104" s="6">
        <v>45769</v>
      </c>
      <c r="B104" s="7">
        <v>7.3123</v>
      </c>
      <c r="C104" s="7">
        <v>7.3019</v>
      </c>
      <c r="D104" s="7">
        <v>7.3146</v>
      </c>
      <c r="E104" s="7">
        <v>7.301</v>
      </c>
      <c r="G104" s="8">
        <v>0.0027</v>
      </c>
    </row>
    <row r="105" spans="1:7">
      <c r="A105" s="6">
        <v>45768</v>
      </c>
      <c r="B105" s="7">
        <v>7.2924</v>
      </c>
      <c r="C105" s="7">
        <v>7.292</v>
      </c>
      <c r="D105" s="7">
        <v>7.2964</v>
      </c>
      <c r="E105" s="7">
        <v>7.2826</v>
      </c>
      <c r="G105" s="8">
        <v>-0.0011</v>
      </c>
    </row>
    <row r="106" spans="1:7">
      <c r="A106" s="6">
        <v>45765</v>
      </c>
      <c r="B106" s="7">
        <v>7.3003</v>
      </c>
      <c r="C106" s="7">
        <v>7.3029</v>
      </c>
      <c r="D106" s="7">
        <v>7.3053</v>
      </c>
      <c r="E106" s="7">
        <v>7.287</v>
      </c>
      <c r="G106" s="8">
        <v>0</v>
      </c>
    </row>
    <row r="107" spans="1:7">
      <c r="A107" s="6">
        <v>45764</v>
      </c>
      <c r="B107" s="7">
        <v>7.3</v>
      </c>
      <c r="C107" s="7">
        <v>7.3123</v>
      </c>
      <c r="D107" s="7">
        <v>7.3137</v>
      </c>
      <c r="E107" s="7">
        <v>7.2941</v>
      </c>
      <c r="G107" s="8">
        <v>-0.0009</v>
      </c>
    </row>
    <row r="108" spans="1:7">
      <c r="A108" s="6">
        <v>45763</v>
      </c>
      <c r="B108" s="7">
        <v>7.3063</v>
      </c>
      <c r="C108" s="7">
        <v>7.3254</v>
      </c>
      <c r="D108" s="7">
        <v>7.3289</v>
      </c>
      <c r="E108" s="7">
        <v>7.3015</v>
      </c>
      <c r="G108" s="8">
        <v>-0.0013</v>
      </c>
    </row>
    <row r="109" spans="1:7">
      <c r="A109" s="6">
        <v>45762</v>
      </c>
      <c r="B109" s="7">
        <v>7.3158</v>
      </c>
      <c r="C109" s="7">
        <v>7.3087</v>
      </c>
      <c r="D109" s="7">
        <v>7.318</v>
      </c>
      <c r="E109" s="7">
        <v>7.3055</v>
      </c>
      <c r="G109" s="8">
        <v>0.0004</v>
      </c>
    </row>
    <row r="110" spans="1:7">
      <c r="A110" s="6">
        <v>45761</v>
      </c>
      <c r="B110" s="7">
        <v>7.3127</v>
      </c>
      <c r="C110" s="7">
        <v>7.3059</v>
      </c>
      <c r="D110" s="7">
        <v>7.3139</v>
      </c>
      <c r="E110" s="7">
        <v>7.2993</v>
      </c>
      <c r="G110" s="8">
        <v>0.0028</v>
      </c>
    </row>
    <row r="111" spans="1:7">
      <c r="A111" s="6">
        <v>45758</v>
      </c>
      <c r="B111" s="7">
        <v>7.2921</v>
      </c>
      <c r="C111" s="7">
        <v>7.3074</v>
      </c>
      <c r="D111" s="7">
        <v>7.3259</v>
      </c>
      <c r="E111" s="7">
        <v>7.2921</v>
      </c>
      <c r="G111" s="8">
        <v>-0.0031</v>
      </c>
    </row>
    <row r="112" spans="1:7">
      <c r="A112" s="6">
        <v>45757</v>
      </c>
      <c r="B112" s="7">
        <v>7.3145</v>
      </c>
      <c r="C112" s="7">
        <v>7.3509</v>
      </c>
      <c r="D112" s="7">
        <v>7.3511</v>
      </c>
      <c r="E112" s="7">
        <v>7.3145</v>
      </c>
      <c r="G112" s="8">
        <v>-0.0048</v>
      </c>
    </row>
    <row r="113" spans="1:7">
      <c r="A113" s="6">
        <v>45756</v>
      </c>
      <c r="B113" s="7">
        <v>7.35</v>
      </c>
      <c r="C113" s="7">
        <v>7.3461</v>
      </c>
      <c r="D113" s="7">
        <v>7.3501</v>
      </c>
      <c r="E113" s="7">
        <v>7.3461</v>
      </c>
      <c r="G113" s="8">
        <v>0.0015</v>
      </c>
    </row>
    <row r="114" spans="1:7">
      <c r="A114" s="6">
        <v>45755</v>
      </c>
      <c r="B114" s="7">
        <v>7.3389</v>
      </c>
      <c r="C114" s="7">
        <v>7.3361</v>
      </c>
      <c r="D114" s="7">
        <v>7.3389</v>
      </c>
      <c r="E114" s="7">
        <v>7.3272</v>
      </c>
      <c r="G114" s="8">
        <v>0.0041</v>
      </c>
    </row>
    <row r="115" spans="1:7">
      <c r="A115" s="6">
        <v>45754</v>
      </c>
      <c r="B115" s="7">
        <v>7.3087</v>
      </c>
      <c r="C115" s="7">
        <v>7.3072</v>
      </c>
      <c r="D115" s="7">
        <v>7.3182</v>
      </c>
      <c r="E115" s="7">
        <v>7.3039</v>
      </c>
      <c r="G115" s="8">
        <v>0.0037</v>
      </c>
    </row>
    <row r="116" spans="1:7">
      <c r="A116" s="6">
        <v>45751</v>
      </c>
      <c r="B116" s="7">
        <v>7.2821</v>
      </c>
      <c r="C116" s="7">
        <v>7.2821</v>
      </c>
      <c r="D116" s="7">
        <v>7.2821</v>
      </c>
      <c r="E116" s="7">
        <v>7.2821</v>
      </c>
      <c r="G116" s="8">
        <v>0</v>
      </c>
    </row>
    <row r="117" spans="1:7">
      <c r="A117" s="6">
        <v>45750</v>
      </c>
      <c r="B117" s="7">
        <v>7.2821</v>
      </c>
      <c r="C117" s="7">
        <v>7.2978</v>
      </c>
      <c r="D117" s="7">
        <v>7.3047</v>
      </c>
      <c r="E117" s="7">
        <v>7.2821</v>
      </c>
      <c r="G117" s="8">
        <v>0.0019</v>
      </c>
    </row>
    <row r="118" spans="1:7">
      <c r="A118" s="6">
        <v>45749</v>
      </c>
      <c r="B118" s="7">
        <v>7.2681</v>
      </c>
      <c r="C118" s="7">
        <v>7.2714</v>
      </c>
      <c r="D118" s="7">
        <v>7.272</v>
      </c>
      <c r="E118" s="7">
        <v>7.267</v>
      </c>
      <c r="G118" s="8">
        <v>-0.0003</v>
      </c>
    </row>
    <row r="119" spans="1:7">
      <c r="A119" s="6">
        <v>45748</v>
      </c>
      <c r="B119" s="7">
        <v>7.2702</v>
      </c>
      <c r="C119" s="7">
        <v>7.2606</v>
      </c>
      <c r="D119" s="7">
        <v>7.2703</v>
      </c>
      <c r="E119" s="7">
        <v>7.2603</v>
      </c>
      <c r="G119" s="8">
        <v>0.0018</v>
      </c>
    </row>
    <row r="120" spans="1:7">
      <c r="A120" s="6">
        <v>45747</v>
      </c>
      <c r="B120" s="7">
        <v>7.2572</v>
      </c>
      <c r="C120" s="7">
        <v>7.2577</v>
      </c>
      <c r="D120" s="7">
        <v>7.2589</v>
      </c>
      <c r="E120" s="7">
        <v>7.2473</v>
      </c>
      <c r="G120" s="8">
        <v>-0.0009</v>
      </c>
    </row>
    <row r="121" spans="1:7">
      <c r="A121" s="6">
        <v>45744</v>
      </c>
      <c r="B121" s="7">
        <v>7.2634</v>
      </c>
      <c r="C121" s="7">
        <v>7.2631</v>
      </c>
      <c r="D121" s="7">
        <v>7.2661</v>
      </c>
      <c r="E121" s="7">
        <v>7.2614</v>
      </c>
      <c r="G121" s="8">
        <v>-0.0003</v>
      </c>
    </row>
    <row r="122" spans="1:7">
      <c r="A122" s="6">
        <v>45743</v>
      </c>
      <c r="B122" s="7">
        <v>7.2654</v>
      </c>
      <c r="C122" s="7">
        <v>7.2645</v>
      </c>
      <c r="D122" s="7">
        <v>7.2682</v>
      </c>
      <c r="E122" s="7">
        <v>7.2598</v>
      </c>
      <c r="G122" s="8">
        <v>-0.0004</v>
      </c>
    </row>
    <row r="123" spans="1:7">
      <c r="A123" s="6">
        <v>45742</v>
      </c>
      <c r="B123" s="7">
        <v>7.2682</v>
      </c>
      <c r="C123" s="7">
        <v>7.2611</v>
      </c>
      <c r="D123" s="7">
        <v>7.2683</v>
      </c>
      <c r="E123" s="7">
        <v>7.2611</v>
      </c>
      <c r="G123" s="8">
        <v>0.0014</v>
      </c>
    </row>
    <row r="124" spans="1:7">
      <c r="A124" s="6">
        <v>45741</v>
      </c>
      <c r="B124" s="7">
        <v>7.2579</v>
      </c>
      <c r="C124" s="7">
        <v>7.2631</v>
      </c>
      <c r="D124" s="7">
        <v>7.2639</v>
      </c>
      <c r="E124" s="7">
        <v>7.2567</v>
      </c>
      <c r="G124" s="8">
        <v>0.0006</v>
      </c>
    </row>
    <row r="125" spans="1:7">
      <c r="A125" s="6">
        <v>45740</v>
      </c>
      <c r="B125" s="7">
        <v>7.2539</v>
      </c>
      <c r="C125" s="7">
        <v>7.2578</v>
      </c>
      <c r="D125" s="7">
        <v>7.2607</v>
      </c>
      <c r="E125" s="7">
        <v>7.2509</v>
      </c>
      <c r="G125" s="8">
        <v>0.0006</v>
      </c>
    </row>
    <row r="126" spans="1:7">
      <c r="A126" s="6">
        <v>45737</v>
      </c>
      <c r="B126" s="7">
        <v>7.2493</v>
      </c>
      <c r="C126" s="7">
        <v>7.2504</v>
      </c>
      <c r="D126" s="7">
        <v>7.2534</v>
      </c>
      <c r="E126" s="7">
        <v>7.2448</v>
      </c>
      <c r="G126" s="8">
        <v>0.0001</v>
      </c>
    </row>
    <row r="127" spans="1:7">
      <c r="A127" s="6">
        <v>45736</v>
      </c>
      <c r="B127" s="7">
        <v>7.2484</v>
      </c>
      <c r="C127" s="7">
        <v>7.2278</v>
      </c>
      <c r="D127" s="7">
        <v>7.2487</v>
      </c>
      <c r="E127" s="7">
        <v>7.2251</v>
      </c>
      <c r="G127" s="8">
        <v>0.0024</v>
      </c>
    </row>
    <row r="128" spans="1:7">
      <c r="A128" s="6">
        <v>45735</v>
      </c>
      <c r="B128" s="7">
        <v>7.2308</v>
      </c>
      <c r="C128" s="7">
        <v>7.2317</v>
      </c>
      <c r="D128" s="7">
        <v>7.2383</v>
      </c>
      <c r="E128" s="7">
        <v>7.2297</v>
      </c>
      <c r="G128" s="8">
        <v>0.0003</v>
      </c>
    </row>
    <row r="129" spans="1:7">
      <c r="A129" s="6">
        <v>45734</v>
      </c>
      <c r="B129" s="7">
        <v>7.2284</v>
      </c>
      <c r="C129" s="7">
        <v>7.2306</v>
      </c>
      <c r="D129" s="7">
        <v>7.2363</v>
      </c>
      <c r="E129" s="7">
        <v>7.2217</v>
      </c>
      <c r="G129" s="8">
        <v>-0.0007</v>
      </c>
    </row>
    <row r="130" spans="1:7">
      <c r="A130" s="6">
        <v>45733</v>
      </c>
      <c r="B130" s="7">
        <v>7.2337</v>
      </c>
      <c r="C130" s="7">
        <v>7.2276</v>
      </c>
      <c r="D130" s="7">
        <v>7.2412</v>
      </c>
      <c r="E130" s="7">
        <v>7.2236</v>
      </c>
      <c r="G130" s="8">
        <v>-0.0007</v>
      </c>
    </row>
    <row r="131" spans="1:7">
      <c r="A131" s="6">
        <v>45730</v>
      </c>
      <c r="B131" s="7">
        <v>7.2387</v>
      </c>
      <c r="C131" s="7">
        <v>7.2503</v>
      </c>
      <c r="D131" s="7">
        <v>7.2514</v>
      </c>
      <c r="E131" s="7">
        <v>7.2289</v>
      </c>
      <c r="G131" s="8">
        <v>-0.0008</v>
      </c>
    </row>
    <row r="132" spans="1:7">
      <c r="A132" s="6">
        <v>45729</v>
      </c>
      <c r="B132" s="7">
        <v>7.2444</v>
      </c>
      <c r="C132" s="7">
        <v>7.2381</v>
      </c>
      <c r="D132" s="7">
        <v>7.2479</v>
      </c>
      <c r="E132" s="7">
        <v>7.23</v>
      </c>
      <c r="G132" s="8">
        <v>0.0009</v>
      </c>
    </row>
    <row r="133" spans="1:7">
      <c r="A133" s="6">
        <v>45728</v>
      </c>
      <c r="B133" s="7">
        <v>7.2377</v>
      </c>
      <c r="C133" s="7">
        <v>7.2196</v>
      </c>
      <c r="D133" s="7">
        <v>7.2486</v>
      </c>
      <c r="E133" s="7">
        <v>7.2161</v>
      </c>
      <c r="G133" s="8">
        <v>0.0012</v>
      </c>
    </row>
    <row r="134" spans="1:7">
      <c r="A134" s="6">
        <v>45727</v>
      </c>
      <c r="B134" s="7">
        <v>7.2289</v>
      </c>
      <c r="C134" s="7">
        <v>7.2569</v>
      </c>
      <c r="D134" s="7">
        <v>7.2599</v>
      </c>
      <c r="E134" s="7">
        <v>7.226</v>
      </c>
      <c r="G134" s="8">
        <v>-0.0043</v>
      </c>
    </row>
    <row r="135" spans="1:7">
      <c r="A135" s="6">
        <v>45726</v>
      </c>
      <c r="B135" s="7">
        <v>7.26</v>
      </c>
      <c r="C135" s="7">
        <v>7.2431</v>
      </c>
      <c r="D135" s="7">
        <v>7.2655</v>
      </c>
      <c r="E135" s="7">
        <v>7.2426</v>
      </c>
      <c r="G135" s="8">
        <v>0.0035</v>
      </c>
    </row>
    <row r="136" spans="1:7">
      <c r="A136" s="6">
        <v>45723</v>
      </c>
      <c r="B136" s="7">
        <v>7.2349</v>
      </c>
      <c r="C136" s="7">
        <v>7.2509</v>
      </c>
      <c r="D136" s="7">
        <v>7.2532</v>
      </c>
      <c r="E136" s="7">
        <v>7.2275</v>
      </c>
      <c r="G136" s="8">
        <v>-0.0018</v>
      </c>
    </row>
    <row r="137" spans="1:7">
      <c r="A137" s="6">
        <v>45722</v>
      </c>
      <c r="B137" s="7">
        <v>7.2478</v>
      </c>
      <c r="C137" s="7">
        <v>7.2417</v>
      </c>
      <c r="D137" s="7">
        <v>7.2508</v>
      </c>
      <c r="E137" s="7">
        <v>7.2356</v>
      </c>
      <c r="G137" s="8">
        <v>-0.0005</v>
      </c>
    </row>
    <row r="138" spans="1:7">
      <c r="A138" s="6">
        <v>45721</v>
      </c>
      <c r="B138" s="7">
        <v>7.2516</v>
      </c>
      <c r="C138" s="7">
        <v>7.2667</v>
      </c>
      <c r="D138" s="7">
        <v>7.273</v>
      </c>
      <c r="E138" s="7">
        <v>7.2516</v>
      </c>
      <c r="G138" s="8">
        <v>-0.002</v>
      </c>
    </row>
    <row r="139" spans="1:7">
      <c r="A139" s="6">
        <v>45720</v>
      </c>
      <c r="B139" s="7">
        <v>7.2661</v>
      </c>
      <c r="C139" s="7">
        <v>7.288</v>
      </c>
      <c r="D139" s="7">
        <v>7.289</v>
      </c>
      <c r="E139" s="7">
        <v>7.2571</v>
      </c>
      <c r="G139" s="8">
        <v>-0.0026</v>
      </c>
    </row>
    <row r="140" spans="1:7">
      <c r="A140" s="6">
        <v>45719</v>
      </c>
      <c r="B140" s="7">
        <v>7.285</v>
      </c>
      <c r="C140" s="7">
        <v>7.2826</v>
      </c>
      <c r="D140" s="7">
        <v>7.2935</v>
      </c>
      <c r="E140" s="7">
        <v>7.2794</v>
      </c>
      <c r="G140" s="8">
        <v>0.0002</v>
      </c>
    </row>
    <row r="141" spans="1:7">
      <c r="A141" s="6">
        <v>45716</v>
      </c>
      <c r="B141" s="7">
        <v>7.2838</v>
      </c>
      <c r="C141" s="7">
        <v>7.2897</v>
      </c>
      <c r="D141" s="7">
        <v>7.291</v>
      </c>
      <c r="E141" s="7">
        <v>7.2783</v>
      </c>
      <c r="G141" s="8">
        <v>-0.0003</v>
      </c>
    </row>
    <row r="142" spans="1:7">
      <c r="A142" s="6">
        <v>45715</v>
      </c>
      <c r="B142" s="7">
        <v>7.2862</v>
      </c>
      <c r="C142" s="7">
        <v>7.264</v>
      </c>
      <c r="D142" s="7">
        <v>7.2872</v>
      </c>
      <c r="E142" s="7">
        <v>7.2595</v>
      </c>
      <c r="G142" s="8">
        <v>0.0036</v>
      </c>
    </row>
    <row r="143" spans="1:7">
      <c r="A143" s="6">
        <v>45714</v>
      </c>
      <c r="B143" s="7">
        <v>7.2602</v>
      </c>
      <c r="C143" s="7">
        <v>7.2518</v>
      </c>
      <c r="D143" s="7">
        <v>7.2619</v>
      </c>
      <c r="E143" s="7">
        <v>7.2513</v>
      </c>
      <c r="G143" s="8">
        <v>0.0011</v>
      </c>
    </row>
    <row r="144" spans="1:7">
      <c r="A144" s="6">
        <v>45713</v>
      </c>
      <c r="B144" s="7">
        <v>7.2522</v>
      </c>
      <c r="C144" s="7">
        <v>7.2606</v>
      </c>
      <c r="D144" s="7">
        <v>7.2661</v>
      </c>
      <c r="E144" s="7">
        <v>7.252</v>
      </c>
      <c r="G144" s="8">
        <v>0.0005</v>
      </c>
    </row>
    <row r="145" spans="1:7">
      <c r="A145" s="6">
        <v>45712</v>
      </c>
      <c r="B145" s="7">
        <v>7.2483</v>
      </c>
      <c r="C145" s="7">
        <v>7.2487</v>
      </c>
      <c r="D145" s="7">
        <v>7.2522</v>
      </c>
      <c r="E145" s="7">
        <v>7.2288</v>
      </c>
      <c r="G145" s="8">
        <v>-0.0004</v>
      </c>
    </row>
    <row r="146" spans="1:7">
      <c r="A146" s="6">
        <v>45709</v>
      </c>
      <c r="B146" s="7">
        <v>7.2513</v>
      </c>
      <c r="C146" s="7">
        <v>7.2563</v>
      </c>
      <c r="D146" s="7">
        <v>7.2574</v>
      </c>
      <c r="E146" s="7">
        <v>7.2372</v>
      </c>
      <c r="G146" s="8">
        <v>-0.0007</v>
      </c>
    </row>
    <row r="147" spans="1:7">
      <c r="A147" s="6">
        <v>45708</v>
      </c>
      <c r="B147" s="7">
        <v>7.2563</v>
      </c>
      <c r="C147" s="7">
        <v>7.2838</v>
      </c>
      <c r="D147" s="7">
        <v>7.2838</v>
      </c>
      <c r="E147" s="7">
        <v>7.2563</v>
      </c>
      <c r="G147" s="8">
        <v>-0.0038</v>
      </c>
    </row>
    <row r="148" spans="1:7">
      <c r="A148" s="6">
        <v>45707</v>
      </c>
      <c r="B148" s="7">
        <v>7.2838</v>
      </c>
      <c r="C148" s="7">
        <v>7.28</v>
      </c>
      <c r="D148" s="7">
        <v>7.2867</v>
      </c>
      <c r="E148" s="7">
        <v>7.28</v>
      </c>
      <c r="G148" s="8">
        <v>0.0006</v>
      </c>
    </row>
    <row r="149" spans="1:7">
      <c r="A149" s="6">
        <v>45706</v>
      </c>
      <c r="B149" s="7">
        <v>7.2796</v>
      </c>
      <c r="C149" s="7">
        <v>7.2685</v>
      </c>
      <c r="D149" s="7">
        <v>7.2827</v>
      </c>
      <c r="E149" s="7">
        <v>7.2685</v>
      </c>
      <c r="G149" s="8">
        <v>0.0022</v>
      </c>
    </row>
    <row r="150" spans="1:7">
      <c r="A150" s="6">
        <v>45705</v>
      </c>
      <c r="B150" s="7">
        <v>7.2639</v>
      </c>
      <c r="C150" s="7">
        <v>7.248</v>
      </c>
      <c r="D150" s="7">
        <v>7.2651</v>
      </c>
      <c r="E150" s="7">
        <v>7.2442</v>
      </c>
      <c r="G150" s="8">
        <v>0.0014</v>
      </c>
    </row>
    <row r="151" spans="1:7">
      <c r="A151" s="6">
        <v>45702</v>
      </c>
      <c r="B151" s="7">
        <v>7.254</v>
      </c>
      <c r="C151" s="7">
        <v>7.2788</v>
      </c>
      <c r="D151" s="7">
        <v>7.2901</v>
      </c>
      <c r="E151" s="7">
        <v>7.2531</v>
      </c>
      <c r="G151" s="8">
        <v>-0.0049</v>
      </c>
    </row>
    <row r="152" spans="1:7">
      <c r="A152" s="6">
        <v>45701</v>
      </c>
      <c r="B152" s="7">
        <v>7.2899</v>
      </c>
      <c r="C152" s="7">
        <v>7.3082</v>
      </c>
      <c r="D152" s="7">
        <v>7.3084</v>
      </c>
      <c r="E152" s="7">
        <v>7.283</v>
      </c>
      <c r="G152" s="8">
        <v>-0.0026</v>
      </c>
    </row>
    <row r="153" spans="1:7">
      <c r="A153" s="6">
        <v>45700</v>
      </c>
      <c r="B153" s="7">
        <v>7.3091</v>
      </c>
      <c r="C153" s="7">
        <v>7.3086</v>
      </c>
      <c r="D153" s="7">
        <v>7.3098</v>
      </c>
      <c r="E153" s="7">
        <v>7.3074</v>
      </c>
      <c r="G153" s="8">
        <v>0.0002</v>
      </c>
    </row>
    <row r="154" spans="1:7">
      <c r="A154" s="6">
        <v>45699</v>
      </c>
      <c r="B154" s="7">
        <v>7.3076</v>
      </c>
      <c r="C154" s="7">
        <v>7.3085</v>
      </c>
      <c r="D154" s="7">
        <v>7.3087</v>
      </c>
      <c r="E154" s="7">
        <v>7.304</v>
      </c>
      <c r="G154" s="8">
        <v>0.0003</v>
      </c>
    </row>
    <row r="155" spans="1:7">
      <c r="A155" s="6">
        <v>45698</v>
      </c>
      <c r="B155" s="7">
        <v>7.3052</v>
      </c>
      <c r="C155" s="7">
        <v>7.3028</v>
      </c>
      <c r="D155" s="7">
        <v>7.3088</v>
      </c>
      <c r="E155" s="7">
        <v>7.3027</v>
      </c>
      <c r="G155" s="8">
        <v>0.0023</v>
      </c>
    </row>
    <row r="156" spans="1:7">
      <c r="A156" s="6">
        <v>45695</v>
      </c>
      <c r="B156" s="7">
        <v>7.2887</v>
      </c>
      <c r="C156" s="7">
        <v>7.2878</v>
      </c>
      <c r="D156" s="7">
        <v>7.2908</v>
      </c>
      <c r="E156" s="7">
        <v>7.2827</v>
      </c>
      <c r="G156" s="8">
        <v>-0.0001</v>
      </c>
    </row>
    <row r="157" spans="1:7">
      <c r="A157" s="6">
        <v>45694</v>
      </c>
      <c r="B157" s="7">
        <v>7.2893</v>
      </c>
      <c r="C157" s="7">
        <v>7.2777</v>
      </c>
      <c r="D157" s="7">
        <v>7.2936</v>
      </c>
      <c r="E157" s="7">
        <v>7.2725</v>
      </c>
      <c r="G157" s="8">
        <v>0.0023</v>
      </c>
    </row>
    <row r="158" spans="1:7">
      <c r="A158" s="6">
        <v>45693</v>
      </c>
      <c r="B158" s="7">
        <v>7.2728</v>
      </c>
      <c r="C158" s="7">
        <v>7.2779</v>
      </c>
      <c r="D158" s="7">
        <v>7.2859</v>
      </c>
      <c r="E158" s="7">
        <v>7.2677</v>
      </c>
      <c r="G158" s="8">
        <v>0.003</v>
      </c>
    </row>
    <row r="159" spans="1:7">
      <c r="A159" s="6">
        <v>45692</v>
      </c>
      <c r="B159" s="7">
        <v>7.2514</v>
      </c>
      <c r="C159" s="7">
        <v>7.2514</v>
      </c>
      <c r="D159" s="7">
        <v>7.2514</v>
      </c>
      <c r="E159" s="7">
        <v>7.2514</v>
      </c>
      <c r="G159" s="8">
        <v>0</v>
      </c>
    </row>
    <row r="160" spans="1:7">
      <c r="A160" s="6">
        <v>45691</v>
      </c>
      <c r="B160" s="7">
        <v>7.2514</v>
      </c>
      <c r="C160" s="7">
        <v>7.2514</v>
      </c>
      <c r="D160" s="7">
        <v>7.2514</v>
      </c>
      <c r="E160" s="7">
        <v>7.2514</v>
      </c>
      <c r="G160" s="8">
        <v>0</v>
      </c>
    </row>
    <row r="161" spans="1:7">
      <c r="A161" s="6">
        <v>45688</v>
      </c>
      <c r="B161" s="7">
        <v>7.2514</v>
      </c>
      <c r="C161" s="7">
        <v>7.2514</v>
      </c>
      <c r="D161" s="7">
        <v>7.2514</v>
      </c>
      <c r="E161" s="7">
        <v>7.2514</v>
      </c>
      <c r="G161" s="8">
        <v>0</v>
      </c>
    </row>
    <row r="162" spans="1:7">
      <c r="A162" s="6">
        <v>45687</v>
      </c>
      <c r="B162" s="7">
        <v>7.2514</v>
      </c>
      <c r="C162" s="7">
        <v>7.2514</v>
      </c>
      <c r="D162" s="7">
        <v>7.2514</v>
      </c>
      <c r="E162" s="7">
        <v>7.2514</v>
      </c>
      <c r="G162" s="8">
        <v>0</v>
      </c>
    </row>
    <row r="163" spans="1:7">
      <c r="A163" s="6">
        <v>45686</v>
      </c>
      <c r="B163" s="7">
        <v>7.2514</v>
      </c>
      <c r="C163" s="7">
        <v>7.2514</v>
      </c>
      <c r="D163" s="7">
        <v>7.2514</v>
      </c>
      <c r="E163" s="7">
        <v>7.2514</v>
      </c>
      <c r="G163" s="8">
        <v>0</v>
      </c>
    </row>
    <row r="164" spans="1:7">
      <c r="A164" s="6">
        <v>45685</v>
      </c>
      <c r="B164" s="7">
        <v>7.2514</v>
      </c>
      <c r="C164" s="7">
        <v>7.2514</v>
      </c>
      <c r="D164" s="7">
        <v>7.2514</v>
      </c>
      <c r="E164" s="7">
        <v>7.2514</v>
      </c>
      <c r="G164" s="8">
        <v>0</v>
      </c>
    </row>
    <row r="165" spans="1:7">
      <c r="A165" s="6">
        <v>45684</v>
      </c>
      <c r="B165" s="7">
        <v>7.2514</v>
      </c>
      <c r="C165" s="7">
        <v>7.2549</v>
      </c>
      <c r="D165" s="7">
        <v>7.2676</v>
      </c>
      <c r="E165" s="7">
        <v>7.2514</v>
      </c>
      <c r="G165" s="8">
        <v>0.0008</v>
      </c>
    </row>
    <row r="166" spans="1:7">
      <c r="A166" s="6">
        <v>45681</v>
      </c>
      <c r="B166" s="7">
        <v>7.2453</v>
      </c>
      <c r="C166" s="7">
        <v>7.2885</v>
      </c>
      <c r="D166" s="7">
        <v>7.2885</v>
      </c>
      <c r="E166" s="7">
        <v>7.2376</v>
      </c>
      <c r="G166" s="8">
        <v>-0.0059</v>
      </c>
    </row>
    <row r="167" spans="1:7">
      <c r="A167" s="6">
        <v>45680</v>
      </c>
      <c r="B167" s="7">
        <v>7.2885</v>
      </c>
      <c r="C167" s="7">
        <v>7.2732</v>
      </c>
      <c r="D167" s="7">
        <v>7.2887</v>
      </c>
      <c r="E167" s="7">
        <v>7.2721</v>
      </c>
      <c r="G167" s="8">
        <v>0.0021</v>
      </c>
    </row>
    <row r="168" spans="1:7">
      <c r="A168" s="6">
        <v>45679</v>
      </c>
      <c r="B168" s="7">
        <v>7.2732</v>
      </c>
      <c r="C168" s="7">
        <v>7.2717</v>
      </c>
      <c r="D168" s="7">
        <v>7.2832</v>
      </c>
      <c r="E168" s="7">
        <v>7.2648</v>
      </c>
      <c r="G168" s="8">
        <v>0.0002</v>
      </c>
    </row>
    <row r="169" spans="1:7">
      <c r="A169" s="6">
        <v>45678</v>
      </c>
      <c r="B169" s="7">
        <v>7.2721</v>
      </c>
      <c r="C169" s="7">
        <v>7.2716</v>
      </c>
      <c r="D169" s="7">
        <v>7.2869</v>
      </c>
      <c r="E169" s="7">
        <v>7.2648</v>
      </c>
      <c r="G169" s="8">
        <v>-0.0041</v>
      </c>
    </row>
    <row r="170" spans="1:7">
      <c r="A170" s="6">
        <v>45677</v>
      </c>
      <c r="B170" s="7">
        <v>7.3018</v>
      </c>
      <c r="C170" s="7">
        <v>7.3228</v>
      </c>
      <c r="D170" s="7">
        <v>7.3239</v>
      </c>
      <c r="E170" s="7">
        <v>7.3018</v>
      </c>
      <c r="G170" s="8">
        <v>-0.0032</v>
      </c>
    </row>
    <row r="171" spans="1:7">
      <c r="A171" s="6">
        <v>45674</v>
      </c>
      <c r="B171" s="7">
        <v>7.3252</v>
      </c>
      <c r="C171" s="7">
        <v>7.3308</v>
      </c>
      <c r="D171" s="7">
        <v>7.3312</v>
      </c>
      <c r="E171" s="7">
        <v>7.3239</v>
      </c>
      <c r="G171" s="8">
        <v>-0.0009</v>
      </c>
    </row>
    <row r="172" spans="1:7">
      <c r="A172" s="6">
        <v>45673</v>
      </c>
      <c r="B172" s="7">
        <v>7.3317</v>
      </c>
      <c r="C172" s="7">
        <v>7.331</v>
      </c>
      <c r="D172" s="7">
        <v>7.3318</v>
      </c>
      <c r="E172" s="7">
        <v>7.3306</v>
      </c>
      <c r="G172" s="8">
        <v>0.0001</v>
      </c>
    </row>
    <row r="173" spans="1:7">
      <c r="A173" s="6">
        <v>45672</v>
      </c>
      <c r="B173" s="7">
        <v>7.331</v>
      </c>
      <c r="C173" s="7">
        <v>7.331</v>
      </c>
      <c r="D173" s="7">
        <v>7.332</v>
      </c>
      <c r="E173" s="7">
        <v>7.3295</v>
      </c>
      <c r="G173" s="8">
        <v>0</v>
      </c>
    </row>
    <row r="174" spans="1:7">
      <c r="A174" s="6">
        <v>45671</v>
      </c>
      <c r="B174" s="7">
        <v>7.3312</v>
      </c>
      <c r="C174" s="7">
        <v>7.3306</v>
      </c>
      <c r="D174" s="7">
        <v>7.3313</v>
      </c>
      <c r="E174" s="7">
        <v>7.328</v>
      </c>
      <c r="G174" s="8">
        <v>-0.0001</v>
      </c>
    </row>
    <row r="175" spans="1:7">
      <c r="A175" s="6">
        <v>45670</v>
      </c>
      <c r="B175" s="7">
        <v>7.332</v>
      </c>
      <c r="C175" s="7">
        <v>7.331</v>
      </c>
      <c r="D175" s="7">
        <v>7.3321</v>
      </c>
      <c r="E175" s="7">
        <v>7.3306</v>
      </c>
      <c r="G175" s="8">
        <v>-0.0001</v>
      </c>
    </row>
    <row r="176" spans="1:7">
      <c r="A176" s="6">
        <v>45667</v>
      </c>
      <c r="B176" s="7">
        <v>7.3327</v>
      </c>
      <c r="C176" s="7">
        <v>7.3306</v>
      </c>
      <c r="D176" s="7">
        <v>7.3328</v>
      </c>
      <c r="E176" s="7">
        <v>7.33</v>
      </c>
      <c r="G176" s="8">
        <v>0.0001</v>
      </c>
    </row>
    <row r="177" spans="1:7">
      <c r="A177" s="6">
        <v>45666</v>
      </c>
      <c r="B177" s="7">
        <v>7.3322</v>
      </c>
      <c r="C177" s="7">
        <v>7.3307</v>
      </c>
      <c r="D177" s="7">
        <v>7.3322</v>
      </c>
      <c r="E177" s="7">
        <v>7.3296</v>
      </c>
      <c r="G177" s="8">
        <v>0.0001</v>
      </c>
    </row>
    <row r="178" spans="1:7">
      <c r="A178" s="6">
        <v>45665</v>
      </c>
      <c r="B178" s="7">
        <v>7.3317</v>
      </c>
      <c r="C178" s="7">
        <v>7.329</v>
      </c>
      <c r="D178" s="7">
        <v>7.3318</v>
      </c>
      <c r="E178" s="7">
        <v>7.329</v>
      </c>
      <c r="G178" s="8">
        <v>0.0007</v>
      </c>
    </row>
    <row r="179" spans="1:7">
      <c r="A179" s="6">
        <v>45664</v>
      </c>
      <c r="B179" s="7">
        <v>7.3265</v>
      </c>
      <c r="C179" s="7">
        <v>7.3276</v>
      </c>
      <c r="D179" s="7">
        <v>7.3292</v>
      </c>
      <c r="E179" s="7">
        <v>7.3223</v>
      </c>
      <c r="G179" s="8">
        <v>0.0005</v>
      </c>
    </row>
    <row r="180" spans="1:7">
      <c r="A180" s="6">
        <v>45663</v>
      </c>
      <c r="B180" s="7">
        <v>7.3225</v>
      </c>
      <c r="C180" s="7">
        <v>7.3176</v>
      </c>
      <c r="D180" s="7">
        <v>7.3299</v>
      </c>
      <c r="E180" s="7">
        <v>7.3123</v>
      </c>
      <c r="G180" s="8">
        <v>0.0003</v>
      </c>
    </row>
    <row r="181" spans="1:7">
      <c r="A181" s="6">
        <v>45660</v>
      </c>
      <c r="B181" s="7">
        <v>7.3206</v>
      </c>
      <c r="C181" s="7">
        <v>7.2989</v>
      </c>
      <c r="D181" s="7">
        <v>7.3207</v>
      </c>
      <c r="E181" s="7">
        <v>7.2989</v>
      </c>
      <c r="G181" s="8">
        <v>0.0029</v>
      </c>
    </row>
    <row r="182" spans="1:7">
      <c r="A182" s="6">
        <v>45659</v>
      </c>
      <c r="B182" s="7">
        <v>7.2995</v>
      </c>
      <c r="C182" s="7">
        <v>7.2983</v>
      </c>
      <c r="D182" s="7">
        <v>7.2995</v>
      </c>
      <c r="E182" s="7">
        <v>7.298</v>
      </c>
      <c r="G182" s="8">
        <v>-0.0001</v>
      </c>
    </row>
    <row r="183" spans="1:7">
      <c r="A183" s="6">
        <v>45658</v>
      </c>
      <c r="B183" s="7">
        <v>7.3002</v>
      </c>
      <c r="C183" s="7">
        <v>7.3002</v>
      </c>
      <c r="D183" s="7">
        <v>7.3002</v>
      </c>
      <c r="E183" s="7">
        <v>7.3002</v>
      </c>
      <c r="G183" s="8">
        <v>0.0001</v>
      </c>
    </row>
    <row r="184" spans="1:7">
      <c r="A184" s="6">
        <v>45657</v>
      </c>
      <c r="B184" s="7">
        <v>7.2994</v>
      </c>
      <c r="C184" s="7">
        <v>7.2978</v>
      </c>
      <c r="D184" s="7">
        <v>7.2996</v>
      </c>
      <c r="E184" s="7">
        <v>7.2939</v>
      </c>
      <c r="G184" s="8">
        <v>0</v>
      </c>
    </row>
    <row r="185" spans="1:7">
      <c r="A185" s="6">
        <v>45656</v>
      </c>
      <c r="B185" s="7">
        <v>7.2994</v>
      </c>
      <c r="C185" s="7">
        <v>7.2977</v>
      </c>
      <c r="D185" s="7">
        <v>7.2994</v>
      </c>
      <c r="E185" s="7">
        <v>7.2973</v>
      </c>
      <c r="G185" s="8">
        <v>0.0001</v>
      </c>
    </row>
    <row r="186" spans="1:7">
      <c r="A186" s="6">
        <v>45653</v>
      </c>
      <c r="B186" s="7">
        <v>7.2985</v>
      </c>
      <c r="C186" s="7">
        <v>7.2983</v>
      </c>
      <c r="D186" s="7">
        <v>7.2994</v>
      </c>
      <c r="E186" s="7">
        <v>7.2965</v>
      </c>
      <c r="G186" s="8">
        <v>0</v>
      </c>
    </row>
    <row r="187" spans="1:7">
      <c r="A187" s="6">
        <v>45652</v>
      </c>
      <c r="B187" s="7">
        <v>7.2982</v>
      </c>
      <c r="C187" s="7">
        <v>7.2978</v>
      </c>
      <c r="D187" s="7">
        <v>7.2994</v>
      </c>
      <c r="E187" s="7">
        <v>7.2978</v>
      </c>
      <c r="G187" s="8">
        <v>0</v>
      </c>
    </row>
    <row r="188" spans="1:7">
      <c r="A188" s="6">
        <v>45651</v>
      </c>
      <c r="B188" s="7">
        <v>7.2982</v>
      </c>
      <c r="C188" s="7">
        <v>7.2963</v>
      </c>
      <c r="D188" s="7">
        <v>7.2994</v>
      </c>
      <c r="E188" s="7">
        <v>7.2963</v>
      </c>
      <c r="G188" s="8">
        <v>0.0004</v>
      </c>
    </row>
    <row r="189" spans="1:7">
      <c r="A189" s="6">
        <v>45650</v>
      </c>
      <c r="B189" s="7">
        <v>7.2953</v>
      </c>
      <c r="C189" s="7">
        <v>7.2985</v>
      </c>
      <c r="D189" s="7">
        <v>7.2991</v>
      </c>
      <c r="E189" s="7">
        <v>7.2952</v>
      </c>
      <c r="G189" s="8">
        <v>-0.0004</v>
      </c>
    </row>
    <row r="190" spans="1:7">
      <c r="A190" s="6">
        <v>45649</v>
      </c>
      <c r="B190" s="7">
        <v>7.2984</v>
      </c>
      <c r="C190" s="7">
        <v>7.2924</v>
      </c>
      <c r="D190" s="7">
        <v>7.2994</v>
      </c>
      <c r="E190" s="7">
        <v>7.2924</v>
      </c>
      <c r="G190" s="8">
        <v>0.0002</v>
      </c>
    </row>
    <row r="191" spans="1:7">
      <c r="A191" s="6">
        <v>45646</v>
      </c>
      <c r="B191" s="7">
        <v>7.2966</v>
      </c>
      <c r="C191" s="7">
        <v>7.2936</v>
      </c>
      <c r="D191" s="7">
        <v>7.2994</v>
      </c>
      <c r="E191" s="7">
        <v>7.2936</v>
      </c>
      <c r="G191" s="8">
        <v>-0.0001</v>
      </c>
    </row>
    <row r="192" spans="1:7">
      <c r="A192" s="6">
        <v>45645</v>
      </c>
      <c r="B192" s="7">
        <v>7.297</v>
      </c>
      <c r="C192" s="7">
        <v>7.2964</v>
      </c>
      <c r="D192" s="7">
        <v>7.2994</v>
      </c>
      <c r="E192" s="7">
        <v>7.2958</v>
      </c>
      <c r="G192" s="8">
        <v>0.0014</v>
      </c>
    </row>
    <row r="193" spans="1:7">
      <c r="A193" s="6">
        <v>45644</v>
      </c>
      <c r="B193" s="7">
        <v>7.2867</v>
      </c>
      <c r="C193" s="7">
        <v>7.2835</v>
      </c>
      <c r="D193" s="7">
        <v>7.2869</v>
      </c>
      <c r="E193" s="7">
        <v>7.2811</v>
      </c>
      <c r="G193" s="8">
        <v>0.0003</v>
      </c>
    </row>
    <row r="194" spans="1:7">
      <c r="A194" s="6">
        <v>45643</v>
      </c>
      <c r="B194" s="7">
        <v>7.2847</v>
      </c>
      <c r="C194" s="7">
        <v>7.2856</v>
      </c>
      <c r="D194" s="7">
        <v>7.287</v>
      </c>
      <c r="E194" s="7">
        <v>7.2791</v>
      </c>
      <c r="G194" s="8">
        <v>0.0001</v>
      </c>
    </row>
    <row r="195" spans="1:7">
      <c r="A195" s="6">
        <v>45642</v>
      </c>
      <c r="B195" s="7">
        <v>7.284</v>
      </c>
      <c r="C195" s="7">
        <v>7.2744</v>
      </c>
      <c r="D195" s="7">
        <v>7.2845</v>
      </c>
      <c r="E195" s="7">
        <v>7.2728</v>
      </c>
      <c r="G195" s="8">
        <v>0.0011</v>
      </c>
    </row>
    <row r="196" spans="1:7">
      <c r="A196" s="6">
        <v>45639</v>
      </c>
      <c r="B196" s="7">
        <v>7.2763</v>
      </c>
      <c r="C196" s="7">
        <v>7.2734</v>
      </c>
      <c r="D196" s="7">
        <v>7.2823</v>
      </c>
      <c r="E196" s="7">
        <v>7.2733</v>
      </c>
      <c r="G196" s="8">
        <v>0.0009</v>
      </c>
    </row>
    <row r="197" spans="1:7">
      <c r="A197" s="6">
        <v>45638</v>
      </c>
      <c r="B197" s="7">
        <v>7.27</v>
      </c>
      <c r="C197" s="7">
        <v>7.2588</v>
      </c>
      <c r="D197" s="7">
        <v>7.2706</v>
      </c>
      <c r="E197" s="7">
        <v>7.2574</v>
      </c>
      <c r="G197" s="8">
        <v>0.0011</v>
      </c>
    </row>
    <row r="198" spans="1:7">
      <c r="A198" s="6">
        <v>45637</v>
      </c>
      <c r="B198" s="7">
        <v>7.2618</v>
      </c>
      <c r="C198" s="7">
        <v>7.2482</v>
      </c>
      <c r="D198" s="7">
        <v>7.273</v>
      </c>
      <c r="E198" s="7">
        <v>7.2415</v>
      </c>
      <c r="G198" s="8">
        <v>0.0016</v>
      </c>
    </row>
    <row r="199" spans="1:7">
      <c r="A199" s="6">
        <v>45636</v>
      </c>
      <c r="B199" s="7">
        <v>7.2504</v>
      </c>
      <c r="C199" s="7">
        <v>7.2599</v>
      </c>
      <c r="D199" s="7">
        <v>7.2639</v>
      </c>
      <c r="E199" s="7">
        <v>7.2387</v>
      </c>
      <c r="G199" s="8">
        <v>-0.0014</v>
      </c>
    </row>
    <row r="200" spans="1:7">
      <c r="A200" s="6">
        <v>45635</v>
      </c>
      <c r="B200" s="7">
        <v>7.2607</v>
      </c>
      <c r="C200" s="7">
        <v>7.2735</v>
      </c>
      <c r="D200" s="7">
        <v>7.2805</v>
      </c>
      <c r="E200" s="7">
        <v>7.2607</v>
      </c>
      <c r="G200" s="8">
        <v>-0.0015</v>
      </c>
    </row>
    <row r="201" spans="1:7">
      <c r="A201" s="6">
        <v>45632</v>
      </c>
      <c r="B201" s="7">
        <v>7.2714</v>
      </c>
      <c r="C201" s="7">
        <v>7.2624</v>
      </c>
      <c r="D201" s="7">
        <v>7.2714</v>
      </c>
      <c r="E201" s="7">
        <v>7.2528</v>
      </c>
      <c r="G201" s="8">
        <v>0.0015</v>
      </c>
    </row>
    <row r="202" spans="1:7">
      <c r="A202" s="6">
        <v>45631</v>
      </c>
      <c r="B202" s="7">
        <v>7.2602</v>
      </c>
      <c r="C202" s="7">
        <v>7.2677</v>
      </c>
      <c r="D202" s="7">
        <v>7.2754</v>
      </c>
      <c r="E202" s="7">
        <v>7.26</v>
      </c>
      <c r="G202" s="8">
        <v>-0.0007</v>
      </c>
    </row>
    <row r="203" spans="1:7">
      <c r="A203" s="6">
        <v>45630</v>
      </c>
      <c r="B203" s="7">
        <v>7.2651</v>
      </c>
      <c r="C203" s="7">
        <v>7.2804</v>
      </c>
      <c r="D203" s="7">
        <v>7.2829</v>
      </c>
      <c r="E203" s="7">
        <v>7.2625</v>
      </c>
      <c r="G203" s="8">
        <v>-0.0029</v>
      </c>
    </row>
    <row r="204" spans="1:7">
      <c r="A204" s="6">
        <v>45629</v>
      </c>
      <c r="B204" s="7">
        <v>7.2864</v>
      </c>
      <c r="C204" s="7">
        <v>7.2856</v>
      </c>
      <c r="D204" s="7">
        <v>7.2973</v>
      </c>
      <c r="E204" s="7">
        <v>7.2782</v>
      </c>
      <c r="G204" s="8">
        <v>0.002</v>
      </c>
    </row>
    <row r="205" spans="1:7">
      <c r="A205" s="6">
        <v>45628</v>
      </c>
      <c r="B205" s="7">
        <v>7.2722</v>
      </c>
      <c r="C205" s="7">
        <v>7.2528</v>
      </c>
      <c r="D205" s="7">
        <v>7.2743</v>
      </c>
      <c r="E205" s="7">
        <v>7.2528</v>
      </c>
      <c r="G205" s="8">
        <v>0.004</v>
      </c>
    </row>
    <row r="206" spans="1:7">
      <c r="A206" s="6">
        <v>45625</v>
      </c>
      <c r="B206" s="7">
        <v>7.2429</v>
      </c>
      <c r="C206" s="7">
        <v>7.2346</v>
      </c>
      <c r="D206" s="7">
        <v>7.2439</v>
      </c>
      <c r="E206" s="7">
        <v>7.2268</v>
      </c>
      <c r="G206" s="8">
        <v>-0.0002</v>
      </c>
    </row>
    <row r="207" spans="1:7">
      <c r="A207" s="6">
        <v>45624</v>
      </c>
      <c r="B207" s="7">
        <v>7.2445</v>
      </c>
      <c r="C207" s="7">
        <v>7.2404</v>
      </c>
      <c r="D207" s="7">
        <v>7.2532</v>
      </c>
      <c r="E207" s="7">
        <v>7.2389</v>
      </c>
      <c r="G207" s="8">
        <v>-0.0003</v>
      </c>
    </row>
    <row r="208" spans="1:7">
      <c r="A208" s="6">
        <v>45623</v>
      </c>
      <c r="B208" s="7">
        <v>7.2467</v>
      </c>
      <c r="C208" s="7">
        <v>7.2483</v>
      </c>
      <c r="D208" s="7">
        <v>7.2584</v>
      </c>
      <c r="E208" s="7">
        <v>7.2449</v>
      </c>
      <c r="G208" s="8">
        <v>-0.0007</v>
      </c>
    </row>
    <row r="209" spans="1:7">
      <c r="A209" s="6">
        <v>45622</v>
      </c>
      <c r="B209" s="7">
        <v>7.2521</v>
      </c>
      <c r="C209" s="7">
        <v>7.2514</v>
      </c>
      <c r="D209" s="7">
        <v>7.2593</v>
      </c>
      <c r="E209" s="7">
        <v>7.2481</v>
      </c>
      <c r="G209" s="8">
        <v>0.0017</v>
      </c>
    </row>
    <row r="210" spans="1:7">
      <c r="A210" s="6">
        <v>45621</v>
      </c>
      <c r="B210" s="7">
        <v>7.2398</v>
      </c>
      <c r="C210" s="7">
        <v>7.2389</v>
      </c>
      <c r="D210" s="7">
        <v>7.247</v>
      </c>
      <c r="E210" s="7">
        <v>7.2381</v>
      </c>
      <c r="G210" s="8">
        <v>-0.0008</v>
      </c>
    </row>
    <row r="211" spans="1:7">
      <c r="A211" s="6">
        <v>45618</v>
      </c>
      <c r="B211" s="7">
        <v>7.2458</v>
      </c>
      <c r="C211" s="7">
        <v>7.2459</v>
      </c>
      <c r="D211" s="7">
        <v>7.2499</v>
      </c>
      <c r="E211" s="7">
        <v>7.2443</v>
      </c>
      <c r="G211" s="8">
        <v>0.0011</v>
      </c>
    </row>
    <row r="212" spans="1:7">
      <c r="A212" s="6">
        <v>45617</v>
      </c>
      <c r="B212" s="7">
        <v>7.2375</v>
      </c>
      <c r="C212" s="7">
        <v>7.243</v>
      </c>
      <c r="D212" s="7">
        <v>7.2434</v>
      </c>
      <c r="E212" s="7">
        <v>7.2363</v>
      </c>
      <c r="G212" s="8">
        <v>-0.0012</v>
      </c>
    </row>
    <row r="213" spans="1:7">
      <c r="A213" s="6">
        <v>45616</v>
      </c>
      <c r="B213" s="7">
        <v>7.2461</v>
      </c>
      <c r="C213" s="7">
        <v>7.2382</v>
      </c>
      <c r="D213" s="7">
        <v>7.2469</v>
      </c>
      <c r="E213" s="7">
        <v>7.238</v>
      </c>
      <c r="G213" s="8">
        <v>0.0009</v>
      </c>
    </row>
    <row r="214" spans="1:7">
      <c r="A214" s="6">
        <v>45615</v>
      </c>
      <c r="B214" s="7">
        <v>7.2393</v>
      </c>
      <c r="C214" s="7">
        <v>7.2317</v>
      </c>
      <c r="D214" s="7">
        <v>7.2443</v>
      </c>
      <c r="E214" s="7">
        <v>7.2301</v>
      </c>
      <c r="G214" s="8">
        <v>0.0003</v>
      </c>
    </row>
    <row r="215" spans="1:7">
      <c r="A215" s="6">
        <v>45614</v>
      </c>
      <c r="B215" s="7">
        <v>7.2373</v>
      </c>
      <c r="C215" s="7">
        <v>7.2334</v>
      </c>
      <c r="D215" s="7">
        <v>7.2456</v>
      </c>
      <c r="E215" s="7">
        <v>7.2305</v>
      </c>
      <c r="G215" s="8">
        <v>0.0007</v>
      </c>
    </row>
    <row r="216" spans="1:7">
      <c r="A216" s="6">
        <v>45611</v>
      </c>
      <c r="B216" s="7">
        <v>7.2324</v>
      </c>
      <c r="C216" s="7">
        <v>7.235</v>
      </c>
      <c r="D216" s="7">
        <v>7.2418</v>
      </c>
      <c r="E216" s="7">
        <v>7.226</v>
      </c>
      <c r="G216" s="8">
        <v>0.0004</v>
      </c>
    </row>
    <row r="217" spans="1:7">
      <c r="A217" s="6">
        <v>45610</v>
      </c>
      <c r="B217" s="7">
        <v>7.2295</v>
      </c>
      <c r="C217" s="7">
        <v>7.2358</v>
      </c>
      <c r="D217" s="7">
        <v>7.2468</v>
      </c>
      <c r="E217" s="7">
        <v>7.2285</v>
      </c>
      <c r="G217" s="8">
        <v>0.0005</v>
      </c>
    </row>
    <row r="218" spans="1:7">
      <c r="A218" s="6">
        <v>45609</v>
      </c>
      <c r="B218" s="7">
        <v>7.2256</v>
      </c>
      <c r="C218" s="7">
        <v>7.2227</v>
      </c>
      <c r="D218" s="7">
        <v>7.2297</v>
      </c>
      <c r="E218" s="7">
        <v>7.2061</v>
      </c>
      <c r="G218" s="8">
        <v>-0.001</v>
      </c>
    </row>
    <row r="219" spans="1:7">
      <c r="A219" s="6">
        <v>45608</v>
      </c>
      <c r="B219" s="7">
        <v>7.2328</v>
      </c>
      <c r="C219" s="7">
        <v>7.2197</v>
      </c>
      <c r="D219" s="7">
        <v>7.2419</v>
      </c>
      <c r="E219" s="7">
        <v>7.218</v>
      </c>
      <c r="G219" s="8">
        <v>0.0025</v>
      </c>
    </row>
    <row r="220" spans="1:7">
      <c r="A220" s="6">
        <v>45607</v>
      </c>
      <c r="B220" s="7">
        <v>7.215</v>
      </c>
      <c r="C220" s="7">
        <v>7.1791</v>
      </c>
      <c r="D220" s="7">
        <v>7.215</v>
      </c>
      <c r="E220" s="7">
        <v>7.176</v>
      </c>
      <c r="G220" s="8">
        <v>0.005</v>
      </c>
    </row>
    <row r="221" spans="1:7">
      <c r="A221" s="6">
        <v>45604</v>
      </c>
      <c r="B221" s="7">
        <v>7.179</v>
      </c>
      <c r="C221" s="7">
        <v>7.1526</v>
      </c>
      <c r="D221" s="7">
        <v>7.1791</v>
      </c>
      <c r="E221" s="7">
        <v>7.1403</v>
      </c>
      <c r="G221" s="8">
        <v>0.0052</v>
      </c>
    </row>
    <row r="222" spans="1:7">
      <c r="A222" s="6">
        <v>45603</v>
      </c>
      <c r="B222" s="7">
        <v>7.1416</v>
      </c>
      <c r="C222" s="7">
        <v>7.1837</v>
      </c>
      <c r="D222" s="7">
        <v>7.187</v>
      </c>
      <c r="E222" s="7">
        <v>7.1412</v>
      </c>
      <c r="G222" s="8">
        <v>-0.0051</v>
      </c>
    </row>
    <row r="223" spans="1:7">
      <c r="A223" s="6">
        <v>45602</v>
      </c>
      <c r="B223" s="7">
        <v>7.1783</v>
      </c>
      <c r="C223" s="7">
        <v>7.1294</v>
      </c>
      <c r="D223" s="7">
        <v>7.1797</v>
      </c>
      <c r="E223" s="7">
        <v>7.1223</v>
      </c>
      <c r="G223" s="8">
        <v>0.0103</v>
      </c>
    </row>
    <row r="224" spans="1:7">
      <c r="A224" s="6">
        <v>45601</v>
      </c>
      <c r="B224" s="7">
        <v>7.1051</v>
      </c>
      <c r="C224" s="7">
        <v>7.1085</v>
      </c>
      <c r="D224" s="7">
        <v>7.111</v>
      </c>
      <c r="E224" s="7">
        <v>7.1015</v>
      </c>
      <c r="G224" s="8">
        <v>0.0008</v>
      </c>
    </row>
    <row r="225" spans="1:7">
      <c r="A225" s="6">
        <v>45600</v>
      </c>
      <c r="B225" s="7">
        <v>7.0996</v>
      </c>
      <c r="C225" s="7">
        <v>7.1091</v>
      </c>
      <c r="D225" s="7">
        <v>7.1153</v>
      </c>
      <c r="E225" s="7">
        <v>7.0866</v>
      </c>
      <c r="G225" s="8">
        <v>-0.0032</v>
      </c>
    </row>
    <row r="226" spans="1:7">
      <c r="A226" s="6">
        <v>45597</v>
      </c>
      <c r="B226" s="7">
        <v>7.1224</v>
      </c>
      <c r="C226" s="7">
        <v>7.1143</v>
      </c>
      <c r="D226" s="7">
        <v>7.1274</v>
      </c>
      <c r="E226" s="7">
        <v>7.111</v>
      </c>
      <c r="G226" s="8">
        <v>0.0006</v>
      </c>
    </row>
    <row r="227" spans="1:7">
      <c r="A227" s="6">
        <v>45596</v>
      </c>
      <c r="B227" s="7">
        <v>7.1182</v>
      </c>
      <c r="C227" s="7">
        <v>7.1199</v>
      </c>
      <c r="D227" s="7">
        <v>7.1256</v>
      </c>
      <c r="E227" s="7">
        <v>7.1142</v>
      </c>
      <c r="G227" s="8">
        <v>0.0004</v>
      </c>
    </row>
    <row r="228" spans="1:7">
      <c r="A228" s="6">
        <v>45595</v>
      </c>
      <c r="B228" s="7">
        <v>7.1155</v>
      </c>
      <c r="C228" s="7">
        <v>7.1257</v>
      </c>
      <c r="D228" s="7">
        <v>7.1367</v>
      </c>
      <c r="E228" s="7">
        <v>7.1155</v>
      </c>
      <c r="G228" s="8">
        <v>-0.0021</v>
      </c>
    </row>
    <row r="229" spans="1:7">
      <c r="A229" s="6">
        <v>45594</v>
      </c>
      <c r="B229" s="7">
        <v>7.1306</v>
      </c>
      <c r="C229" s="7">
        <v>7.1315</v>
      </c>
      <c r="D229" s="7">
        <v>7.1431</v>
      </c>
      <c r="E229" s="7">
        <v>7.1286</v>
      </c>
      <c r="G229" s="8">
        <v>0.0007</v>
      </c>
    </row>
    <row r="230" spans="1:7">
      <c r="A230" s="6">
        <v>45593</v>
      </c>
      <c r="B230" s="7">
        <v>7.1257</v>
      </c>
      <c r="C230" s="7">
        <v>7.1332</v>
      </c>
      <c r="D230" s="7">
        <v>7.1353</v>
      </c>
      <c r="E230" s="7">
        <v>7.1256</v>
      </c>
      <c r="G230" s="8">
        <v>0.0007</v>
      </c>
    </row>
    <row r="231" spans="1:7">
      <c r="A231" s="6">
        <v>45590</v>
      </c>
      <c r="B231" s="7">
        <v>7.1206</v>
      </c>
      <c r="C231" s="7">
        <v>7.1171</v>
      </c>
      <c r="D231" s="7">
        <v>7.1275</v>
      </c>
      <c r="E231" s="7">
        <v>7.1161</v>
      </c>
      <c r="G231" s="8">
        <v>0.0001</v>
      </c>
    </row>
    <row r="232" spans="1:7">
      <c r="A232" s="6">
        <v>45589</v>
      </c>
      <c r="B232" s="7">
        <v>7.1199</v>
      </c>
      <c r="C232" s="7">
        <v>7.1221</v>
      </c>
      <c r="D232" s="7">
        <v>7.123</v>
      </c>
      <c r="E232" s="7">
        <v>7.1107</v>
      </c>
      <c r="G232" s="8">
        <v>-0.0008</v>
      </c>
    </row>
    <row r="233" spans="1:7">
      <c r="A233" s="6">
        <v>45588</v>
      </c>
      <c r="B233" s="7">
        <v>7.1259</v>
      </c>
      <c r="C233" s="7">
        <v>7.1309</v>
      </c>
      <c r="D233" s="7">
        <v>7.1338</v>
      </c>
      <c r="E233" s="7">
        <v>7.1248</v>
      </c>
      <c r="G233" s="8">
        <v>0.0004</v>
      </c>
    </row>
    <row r="234" spans="1:7">
      <c r="A234" s="6">
        <v>45587</v>
      </c>
      <c r="B234" s="7">
        <v>7.1233</v>
      </c>
      <c r="C234" s="7">
        <v>7.1224</v>
      </c>
      <c r="D234" s="7">
        <v>7.1256</v>
      </c>
      <c r="E234" s="7">
        <v>7.1197</v>
      </c>
      <c r="G234" s="8">
        <v>0.0005</v>
      </c>
    </row>
    <row r="235" spans="1:7">
      <c r="A235" s="6">
        <v>45586</v>
      </c>
      <c r="B235" s="7">
        <v>7.1195</v>
      </c>
      <c r="C235" s="7">
        <v>7.1041</v>
      </c>
      <c r="D235" s="7">
        <v>7.1202</v>
      </c>
      <c r="E235" s="7">
        <v>7.0986</v>
      </c>
      <c r="G235" s="8">
        <v>0.0024</v>
      </c>
    </row>
    <row r="236" spans="1:7">
      <c r="A236" s="6">
        <v>45583</v>
      </c>
      <c r="B236" s="7">
        <v>7.1023</v>
      </c>
      <c r="C236" s="7">
        <v>7.1193</v>
      </c>
      <c r="D236" s="7">
        <v>7.1256</v>
      </c>
      <c r="E236" s="7">
        <v>7.1008</v>
      </c>
      <c r="G236" s="8">
        <v>-0.003</v>
      </c>
    </row>
    <row r="237" spans="1:7">
      <c r="A237" s="6">
        <v>45582</v>
      </c>
      <c r="B237" s="7">
        <v>7.1238</v>
      </c>
      <c r="C237" s="7">
        <v>7.1215</v>
      </c>
      <c r="D237" s="7">
        <v>7.1277</v>
      </c>
      <c r="E237" s="7">
        <v>7.116</v>
      </c>
      <c r="G237" s="8">
        <v>0.0006</v>
      </c>
    </row>
    <row r="238" spans="1:7">
      <c r="A238" s="6">
        <v>45581</v>
      </c>
      <c r="B238" s="7">
        <v>7.1195</v>
      </c>
      <c r="C238" s="7">
        <v>7.1224</v>
      </c>
      <c r="D238" s="7">
        <v>7.1245</v>
      </c>
      <c r="E238" s="7">
        <v>7.1119</v>
      </c>
      <c r="G238" s="8">
        <v>0</v>
      </c>
    </row>
    <row r="239" spans="1:7">
      <c r="A239" s="6">
        <v>45580</v>
      </c>
      <c r="B239" s="7">
        <v>7.1196</v>
      </c>
      <c r="C239" s="7">
        <v>7.0879</v>
      </c>
      <c r="D239" s="7">
        <v>7.1215</v>
      </c>
      <c r="E239" s="7">
        <v>7.0876</v>
      </c>
      <c r="G239" s="8">
        <v>0.0045</v>
      </c>
    </row>
    <row r="240" spans="1:7">
      <c r="A240" s="6">
        <v>45579</v>
      </c>
      <c r="B240" s="7">
        <v>7.0875</v>
      </c>
      <c r="C240" s="7">
        <v>7.0795</v>
      </c>
      <c r="D240" s="7">
        <v>7.0895</v>
      </c>
      <c r="E240" s="7">
        <v>7.0737</v>
      </c>
      <c r="G240" s="8">
        <v>0.0029</v>
      </c>
    </row>
    <row r="241" spans="1:7">
      <c r="A241" s="6">
        <v>45576</v>
      </c>
      <c r="B241" s="7">
        <v>7.0668</v>
      </c>
      <c r="C241" s="7">
        <v>7.0746</v>
      </c>
      <c r="D241" s="7">
        <v>7.0786</v>
      </c>
      <c r="E241" s="7">
        <v>7.0634</v>
      </c>
      <c r="G241" s="8">
        <v>-0.0018</v>
      </c>
    </row>
    <row r="242" spans="1:7">
      <c r="A242" s="6">
        <v>45575</v>
      </c>
      <c r="B242" s="7">
        <v>7.0798</v>
      </c>
      <c r="C242" s="7">
        <v>7.0745</v>
      </c>
      <c r="D242" s="7">
        <v>7.0818</v>
      </c>
      <c r="E242" s="7">
        <v>7.0623</v>
      </c>
      <c r="G242" s="8">
        <v>-0.0002</v>
      </c>
    </row>
    <row r="243" spans="1:7">
      <c r="A243" s="6">
        <v>45574</v>
      </c>
      <c r="B243" s="7">
        <v>7.0809</v>
      </c>
      <c r="C243" s="7">
        <v>7.0675</v>
      </c>
      <c r="D243" s="7">
        <v>7.0821</v>
      </c>
      <c r="E243" s="7">
        <v>7.0548</v>
      </c>
      <c r="G243" s="8">
        <v>0.0029</v>
      </c>
    </row>
    <row r="244" spans="1:7">
      <c r="A244" s="6">
        <v>45573</v>
      </c>
      <c r="B244" s="7">
        <v>7.0601</v>
      </c>
      <c r="C244" s="7">
        <v>7.0508</v>
      </c>
      <c r="D244" s="7">
        <v>7.0812</v>
      </c>
      <c r="E244" s="7">
        <v>7.0484</v>
      </c>
      <c r="G244" s="8">
        <v>0.0059</v>
      </c>
    </row>
    <row r="245" spans="1:7">
      <c r="A245" s="6">
        <v>45572</v>
      </c>
      <c r="B245" s="7">
        <v>7.0185</v>
      </c>
      <c r="C245" s="7">
        <v>7.0185</v>
      </c>
      <c r="D245" s="7">
        <v>7.0185</v>
      </c>
      <c r="E245" s="7">
        <v>7.0185</v>
      </c>
      <c r="G245" s="8">
        <v>0</v>
      </c>
    </row>
    <row r="246" spans="1:7">
      <c r="A246" s="6">
        <v>45569</v>
      </c>
      <c r="B246" s="7">
        <v>7.0185</v>
      </c>
      <c r="C246" s="7">
        <v>7.0185</v>
      </c>
      <c r="D246" s="7">
        <v>7.0185</v>
      </c>
      <c r="E246" s="7">
        <v>7.0185</v>
      </c>
      <c r="G246" s="8">
        <v>0</v>
      </c>
    </row>
    <row r="247" spans="1:7">
      <c r="A247" s="6">
        <v>45568</v>
      </c>
      <c r="B247" s="7">
        <v>7.0185</v>
      </c>
      <c r="C247" s="7">
        <v>7.0185</v>
      </c>
      <c r="D247" s="7">
        <v>7.0185</v>
      </c>
      <c r="E247" s="7">
        <v>7.0185</v>
      </c>
      <c r="G247" s="8">
        <v>0</v>
      </c>
    </row>
    <row r="248" spans="1:7">
      <c r="A248" s="6">
        <v>45567</v>
      </c>
      <c r="B248" s="7">
        <v>7.0185</v>
      </c>
      <c r="C248" s="7">
        <v>7.0185</v>
      </c>
      <c r="D248" s="7">
        <v>7.0185</v>
      </c>
      <c r="E248" s="7">
        <v>7.0185</v>
      </c>
      <c r="G248" s="8">
        <v>0</v>
      </c>
    </row>
    <row r="249" spans="1:7">
      <c r="A249" s="6">
        <v>45566</v>
      </c>
      <c r="B249" s="7">
        <v>7.0185</v>
      </c>
      <c r="C249" s="7">
        <v>7.0185</v>
      </c>
      <c r="D249" s="7">
        <v>7.0185</v>
      </c>
      <c r="E249" s="7">
        <v>7.0185</v>
      </c>
      <c r="G249" s="8">
        <v>0</v>
      </c>
    </row>
    <row r="250" spans="1:7">
      <c r="A250" s="6">
        <v>45565</v>
      </c>
      <c r="B250" s="7">
        <v>7.0185</v>
      </c>
      <c r="C250" s="7">
        <v>7.0157</v>
      </c>
      <c r="D250" s="7">
        <v>7.0193</v>
      </c>
      <c r="E250" s="7">
        <v>7.0115</v>
      </c>
      <c r="G250" s="8">
        <v>0.0011</v>
      </c>
    </row>
    <row r="251" spans="1:7">
      <c r="A251" s="6">
        <v>45562</v>
      </c>
      <c r="B251" s="7">
        <v>7.0111</v>
      </c>
      <c r="C251" s="7">
        <v>7.0162</v>
      </c>
      <c r="D251" s="7">
        <v>7.0193</v>
      </c>
      <c r="E251" s="7">
        <v>7.0111</v>
      </c>
      <c r="G251" s="8">
        <v>0</v>
      </c>
    </row>
    <row r="252" spans="1:7">
      <c r="A252" s="6">
        <v>45561</v>
      </c>
      <c r="B252" s="7">
        <v>7.0111</v>
      </c>
      <c r="C252" s="7">
        <v>7.0313</v>
      </c>
      <c r="D252" s="7">
        <v>7.0313</v>
      </c>
      <c r="E252" s="7">
        <v>7.0109</v>
      </c>
      <c r="G252" s="8">
        <v>-0.003</v>
      </c>
    </row>
    <row r="253" spans="1:7">
      <c r="A253" s="6">
        <v>45560</v>
      </c>
      <c r="B253" s="7">
        <v>7.0323</v>
      </c>
      <c r="C253" s="7">
        <v>7.0211</v>
      </c>
      <c r="D253" s="7">
        <v>7.0323</v>
      </c>
      <c r="E253" s="7">
        <v>7.0161</v>
      </c>
      <c r="G253" s="8">
        <v>0.0001</v>
      </c>
    </row>
    <row r="254" spans="1:7">
      <c r="A254" s="6">
        <v>45559</v>
      </c>
      <c r="B254" s="7">
        <v>7.0319</v>
      </c>
      <c r="C254" s="7">
        <v>7.0558</v>
      </c>
      <c r="D254" s="7">
        <v>7.0634</v>
      </c>
      <c r="E254" s="7">
        <v>7.0319</v>
      </c>
      <c r="G254" s="8">
        <v>-0.0028</v>
      </c>
    </row>
    <row r="255" spans="1:7">
      <c r="A255" s="6">
        <v>45558</v>
      </c>
      <c r="B255" s="7">
        <v>7.0516</v>
      </c>
      <c r="C255" s="7">
        <v>7.0462</v>
      </c>
      <c r="D255" s="7">
        <v>7.0608</v>
      </c>
      <c r="E255" s="7">
        <v>7.0446</v>
      </c>
      <c r="G255" s="8">
        <v>0</v>
      </c>
    </row>
    <row r="256" spans="1:7">
      <c r="A256" s="6">
        <v>45555</v>
      </c>
      <c r="B256" s="7">
        <v>7.0513</v>
      </c>
      <c r="C256" s="7">
        <v>7.0589</v>
      </c>
      <c r="D256" s="7">
        <v>7.0628</v>
      </c>
      <c r="E256" s="7">
        <v>7.0428</v>
      </c>
      <c r="G256" s="8">
        <v>-0.0023</v>
      </c>
    </row>
    <row r="257" spans="1:7">
      <c r="A257" s="6">
        <v>45554</v>
      </c>
      <c r="B257" s="7">
        <v>7.0679</v>
      </c>
      <c r="C257" s="7">
        <v>7.1034</v>
      </c>
      <c r="D257" s="7">
        <v>7.109</v>
      </c>
      <c r="E257" s="7">
        <v>7.0604</v>
      </c>
      <c r="G257" s="8">
        <v>-0.002</v>
      </c>
    </row>
    <row r="258" spans="1:7">
      <c r="A258" s="6">
        <v>45553</v>
      </c>
      <c r="B258" s="7">
        <v>7.0819</v>
      </c>
      <c r="C258" s="7">
        <v>7.0956</v>
      </c>
      <c r="D258" s="7">
        <v>7.1</v>
      </c>
      <c r="E258" s="7">
        <v>7.0791</v>
      </c>
      <c r="G258" s="8">
        <v>-0.0017</v>
      </c>
    </row>
    <row r="259" spans="1:7">
      <c r="A259" s="6">
        <v>45552</v>
      </c>
      <c r="B259" s="7">
        <v>7.0937</v>
      </c>
      <c r="C259" s="7">
        <v>7.0937</v>
      </c>
      <c r="D259" s="7">
        <v>7.0937</v>
      </c>
      <c r="E259" s="7">
        <v>7.0937</v>
      </c>
      <c r="G259" s="8">
        <v>0</v>
      </c>
    </row>
    <row r="260" spans="1:7">
      <c r="A260" s="6">
        <v>45551</v>
      </c>
      <c r="B260" s="7">
        <v>7.0937</v>
      </c>
      <c r="C260" s="7">
        <v>7.0937</v>
      </c>
      <c r="D260" s="7">
        <v>7.0937</v>
      </c>
      <c r="E260" s="7">
        <v>7.0937</v>
      </c>
      <c r="G260" s="8">
        <v>0</v>
      </c>
    </row>
    <row r="261" spans="1:7">
      <c r="A261" s="6">
        <v>45548</v>
      </c>
      <c r="B261" s="7">
        <v>7.0937</v>
      </c>
      <c r="C261" s="7">
        <v>7.1074</v>
      </c>
      <c r="D261" s="7">
        <v>7.1114</v>
      </c>
      <c r="E261" s="7">
        <v>7.0905</v>
      </c>
      <c r="G261" s="8">
        <v>-0.0034</v>
      </c>
    </row>
    <row r="262" spans="1:7">
      <c r="A262" s="6">
        <v>45547</v>
      </c>
      <c r="B262" s="7">
        <v>7.1176</v>
      </c>
      <c r="C262" s="7">
        <v>7.123</v>
      </c>
      <c r="D262" s="7">
        <v>7.1245</v>
      </c>
      <c r="E262" s="7">
        <v>7.1159</v>
      </c>
      <c r="G262" s="8">
        <v>-0.0003</v>
      </c>
    </row>
    <row r="263" spans="1:7">
      <c r="A263" s="6">
        <v>45546</v>
      </c>
      <c r="B263" s="7">
        <v>7.1196</v>
      </c>
      <c r="C263" s="7">
        <v>7.1224</v>
      </c>
      <c r="D263" s="7">
        <v>7.1224</v>
      </c>
      <c r="E263" s="7">
        <v>7.1077</v>
      </c>
      <c r="G263" s="8">
        <v>-0.0002</v>
      </c>
    </row>
    <row r="264" spans="1:7">
      <c r="A264" s="6">
        <v>45545</v>
      </c>
      <c r="B264" s="7">
        <v>7.1208</v>
      </c>
      <c r="C264" s="7">
        <v>7.1187</v>
      </c>
      <c r="D264" s="7">
        <v>7.1254</v>
      </c>
      <c r="E264" s="7">
        <v>7.1173</v>
      </c>
      <c r="G264" s="8">
        <v>0.001</v>
      </c>
    </row>
    <row r="265" spans="1:7">
      <c r="A265" s="6">
        <v>45544</v>
      </c>
      <c r="B265" s="7">
        <v>7.1138</v>
      </c>
      <c r="C265" s="7">
        <v>7.1075</v>
      </c>
      <c r="D265" s="7">
        <v>7.1172</v>
      </c>
      <c r="E265" s="7">
        <v>7.1061</v>
      </c>
      <c r="G265" s="8">
        <v>0.0035</v>
      </c>
    </row>
    <row r="266" spans="1:7">
      <c r="A266" s="6">
        <v>45541</v>
      </c>
      <c r="B266" s="7">
        <v>7.0888</v>
      </c>
      <c r="C266" s="7">
        <v>7.0874</v>
      </c>
      <c r="D266" s="7">
        <v>7.0965</v>
      </c>
      <c r="E266" s="7">
        <v>7.0817</v>
      </c>
      <c r="G266" s="8">
        <v>-0.0006</v>
      </c>
    </row>
    <row r="267" spans="1:7">
      <c r="A267" s="6">
        <v>45540</v>
      </c>
      <c r="B267" s="7">
        <v>7.0931</v>
      </c>
      <c r="C267" s="7">
        <v>7.1013</v>
      </c>
      <c r="D267" s="7">
        <v>7.1036</v>
      </c>
      <c r="E267" s="7">
        <v>7.0881</v>
      </c>
      <c r="G267" s="8">
        <v>-0.0027</v>
      </c>
    </row>
    <row r="268" spans="1:7">
      <c r="A268" s="6">
        <v>45539</v>
      </c>
      <c r="B268" s="7">
        <v>7.1125</v>
      </c>
      <c r="C268" s="7">
        <v>7.1132</v>
      </c>
      <c r="D268" s="7">
        <v>7.1177</v>
      </c>
      <c r="E268" s="7">
        <v>7.1073</v>
      </c>
      <c r="G268" s="8">
        <v>-0.0012</v>
      </c>
    </row>
    <row r="269" spans="1:7">
      <c r="A269" s="6">
        <v>45538</v>
      </c>
      <c r="B269" s="7">
        <v>7.1214</v>
      </c>
      <c r="C269" s="7">
        <v>7.1197</v>
      </c>
      <c r="D269" s="7">
        <v>7.1252</v>
      </c>
      <c r="E269" s="7">
        <v>7.1142</v>
      </c>
      <c r="G269" s="8">
        <v>0.0005</v>
      </c>
    </row>
    <row r="270" spans="1:7">
      <c r="A270" s="6">
        <v>45537</v>
      </c>
      <c r="B270" s="7">
        <v>7.1175</v>
      </c>
      <c r="C270" s="7">
        <v>7.0971</v>
      </c>
      <c r="D270" s="7">
        <v>7.1193</v>
      </c>
      <c r="E270" s="7">
        <v>7.0958</v>
      </c>
      <c r="G270" s="8">
        <v>0.0038</v>
      </c>
    </row>
    <row r="271" spans="1:7">
      <c r="A271" s="6">
        <v>45534</v>
      </c>
      <c r="B271" s="7">
        <v>7.0908</v>
      </c>
      <c r="C271" s="7">
        <v>7.0915</v>
      </c>
      <c r="D271" s="7">
        <v>7.1014</v>
      </c>
      <c r="E271" s="7">
        <v>7.0849</v>
      </c>
      <c r="G271" s="8">
        <v>-0.001</v>
      </c>
    </row>
    <row r="272" spans="1:7">
      <c r="A272" s="6">
        <v>45533</v>
      </c>
      <c r="B272" s="7">
        <v>7.0976</v>
      </c>
      <c r="C272" s="7">
        <v>7.1289</v>
      </c>
      <c r="D272" s="7">
        <v>7.1315</v>
      </c>
      <c r="E272" s="7">
        <v>7.0916</v>
      </c>
      <c r="G272" s="8">
        <v>-0.0039</v>
      </c>
    </row>
    <row r="273" spans="1:7">
      <c r="A273" s="6">
        <v>45532</v>
      </c>
      <c r="B273" s="7">
        <v>7.1256</v>
      </c>
      <c r="C273" s="7">
        <v>7.124</v>
      </c>
      <c r="D273" s="7">
        <v>7.1353</v>
      </c>
      <c r="E273" s="7">
        <v>7.1222</v>
      </c>
      <c r="G273" s="8">
        <v>0.0001</v>
      </c>
    </row>
    <row r="274" spans="1:7">
      <c r="A274" s="6">
        <v>45531</v>
      </c>
      <c r="B274" s="7">
        <v>7.1248</v>
      </c>
      <c r="C274" s="7">
        <v>7.1253</v>
      </c>
      <c r="D274" s="7">
        <v>7.1318</v>
      </c>
      <c r="E274" s="7">
        <v>7.1211</v>
      </c>
      <c r="G274" s="8">
        <v>0.0004</v>
      </c>
    </row>
    <row r="275" spans="1:7">
      <c r="A275" s="6">
        <v>45530</v>
      </c>
      <c r="B275" s="7">
        <v>7.122</v>
      </c>
      <c r="C275" s="7">
        <v>7.1146</v>
      </c>
      <c r="D275" s="7">
        <v>7.1243</v>
      </c>
      <c r="E275" s="7">
        <v>7.1139</v>
      </c>
      <c r="G275" s="8">
        <v>-0.0004</v>
      </c>
    </row>
    <row r="276" spans="1:7">
      <c r="A276" s="6">
        <v>45527</v>
      </c>
      <c r="B276" s="7">
        <v>7.125</v>
      </c>
      <c r="C276" s="7">
        <v>7.1442</v>
      </c>
      <c r="D276" s="7">
        <v>7.1471</v>
      </c>
      <c r="E276" s="7">
        <v>7.1206</v>
      </c>
      <c r="G276" s="8">
        <v>-0.0028</v>
      </c>
    </row>
    <row r="277" spans="1:7">
      <c r="A277" s="6">
        <v>45526</v>
      </c>
      <c r="B277" s="7">
        <v>7.1448</v>
      </c>
      <c r="C277" s="7">
        <v>7.1327</v>
      </c>
      <c r="D277" s="7">
        <v>7.1457</v>
      </c>
      <c r="E277" s="7">
        <v>7.1308</v>
      </c>
      <c r="G277" s="8">
        <v>0.0014</v>
      </c>
    </row>
    <row r="278" spans="1:7">
      <c r="A278" s="6">
        <v>45525</v>
      </c>
      <c r="B278" s="7">
        <v>7.1347</v>
      </c>
      <c r="C278" s="7">
        <v>7.1325</v>
      </c>
      <c r="D278" s="7">
        <v>7.1388</v>
      </c>
      <c r="E278" s="7">
        <v>7.1262</v>
      </c>
      <c r="G278" s="8">
        <v>0.0003</v>
      </c>
    </row>
    <row r="279" spans="1:7">
      <c r="A279" s="6">
        <v>45524</v>
      </c>
      <c r="B279" s="7">
        <v>7.1328</v>
      </c>
      <c r="C279" s="7">
        <v>7.1337</v>
      </c>
      <c r="D279" s="7">
        <v>7.1503</v>
      </c>
      <c r="E279" s="7">
        <v>7.1317</v>
      </c>
      <c r="G279" s="8">
        <v>-0.001</v>
      </c>
    </row>
    <row r="280" spans="1:7">
      <c r="A280" s="6">
        <v>45523</v>
      </c>
      <c r="B280" s="7">
        <v>7.14</v>
      </c>
      <c r="C280" s="7">
        <v>7.1493</v>
      </c>
      <c r="D280" s="7">
        <v>7.1561</v>
      </c>
      <c r="E280" s="7">
        <v>7.1319</v>
      </c>
      <c r="G280" s="8">
        <v>-0.0035</v>
      </c>
    </row>
    <row r="281" spans="1:7">
      <c r="A281" s="6">
        <v>45520</v>
      </c>
      <c r="B281" s="7">
        <v>7.1649</v>
      </c>
      <c r="C281" s="7">
        <v>7.1781</v>
      </c>
      <c r="D281" s="7">
        <v>7.179</v>
      </c>
      <c r="E281" s="7">
        <v>7.1617</v>
      </c>
      <c r="G281" s="8">
        <v>-0.0014</v>
      </c>
    </row>
    <row r="282" spans="1:7">
      <c r="A282" s="6">
        <v>45519</v>
      </c>
      <c r="B282" s="7">
        <v>7.1747</v>
      </c>
      <c r="C282" s="7">
        <v>7.1609</v>
      </c>
      <c r="D282" s="7">
        <v>7.177</v>
      </c>
      <c r="E282" s="7">
        <v>7.1536</v>
      </c>
      <c r="G282" s="8">
        <v>0.005</v>
      </c>
    </row>
    <row r="283" spans="1:7">
      <c r="A283" s="6">
        <v>45518</v>
      </c>
      <c r="B283" s="7">
        <v>7.1387</v>
      </c>
      <c r="C283" s="7">
        <v>7.1473</v>
      </c>
      <c r="D283" s="7">
        <v>7.1541</v>
      </c>
      <c r="E283" s="7">
        <v>7.1354</v>
      </c>
      <c r="G283" s="8">
        <v>-0.0024</v>
      </c>
    </row>
    <row r="284" spans="1:7">
      <c r="A284" s="6">
        <v>45517</v>
      </c>
      <c r="B284" s="7">
        <v>7.1556</v>
      </c>
      <c r="C284" s="7">
        <v>7.1797</v>
      </c>
      <c r="D284" s="7">
        <v>7.1827</v>
      </c>
      <c r="E284" s="7">
        <v>7.1531</v>
      </c>
      <c r="G284" s="8">
        <v>-0.0027</v>
      </c>
    </row>
    <row r="285" spans="1:7">
      <c r="A285" s="6">
        <v>45516</v>
      </c>
      <c r="B285" s="7">
        <v>7.175</v>
      </c>
      <c r="C285" s="7">
        <v>7.1733</v>
      </c>
      <c r="D285" s="7">
        <v>7.1826</v>
      </c>
      <c r="E285" s="7">
        <v>7.1714</v>
      </c>
      <c r="G285" s="8">
        <v>0.0011</v>
      </c>
    </row>
    <row r="286" spans="1:7">
      <c r="A286" s="6">
        <v>45513</v>
      </c>
      <c r="B286" s="7">
        <v>7.1673</v>
      </c>
      <c r="C286" s="7">
        <v>7.1778</v>
      </c>
      <c r="D286" s="7">
        <v>7.1794</v>
      </c>
      <c r="E286" s="7">
        <v>7.1643</v>
      </c>
      <c r="G286" s="8">
        <v>-0.0012</v>
      </c>
    </row>
    <row r="287" spans="1:7">
      <c r="A287" s="6">
        <v>45512</v>
      </c>
      <c r="B287" s="7">
        <v>7.1762</v>
      </c>
      <c r="C287" s="7">
        <v>7.1777</v>
      </c>
      <c r="D287" s="7">
        <v>7.1798</v>
      </c>
      <c r="E287" s="7">
        <v>7.1559</v>
      </c>
      <c r="G287" s="8">
        <v>-0.0001</v>
      </c>
    </row>
    <row r="288" spans="1:7">
      <c r="A288" s="6">
        <v>45511</v>
      </c>
      <c r="B288" s="7">
        <v>7.1769</v>
      </c>
      <c r="C288" s="7">
        <v>7.1714</v>
      </c>
      <c r="D288" s="7">
        <v>7.1867</v>
      </c>
      <c r="E288" s="7">
        <v>7.1714</v>
      </c>
      <c r="G288" s="8">
        <v>0.0028</v>
      </c>
    </row>
    <row r="289" spans="1:7">
      <c r="A289" s="6">
        <v>45510</v>
      </c>
      <c r="B289" s="7">
        <v>7.157</v>
      </c>
      <c r="C289" s="7">
        <v>7.1616</v>
      </c>
      <c r="D289" s="7">
        <v>7.1616</v>
      </c>
      <c r="E289" s="7">
        <v>7.1421</v>
      </c>
      <c r="G289" s="8">
        <v>0.0037</v>
      </c>
    </row>
    <row r="290" spans="1:7">
      <c r="A290" s="6">
        <v>45509</v>
      </c>
      <c r="B290" s="7">
        <v>7.1303</v>
      </c>
      <c r="C290" s="7">
        <v>7.1507</v>
      </c>
      <c r="D290" s="7">
        <v>7.1561</v>
      </c>
      <c r="E290" s="7">
        <v>7.116</v>
      </c>
      <c r="G290" s="8">
        <v>-0.0042</v>
      </c>
    </row>
    <row r="291" spans="1:7">
      <c r="A291" s="6">
        <v>45506</v>
      </c>
      <c r="B291" s="7">
        <v>7.1603</v>
      </c>
      <c r="C291" s="7">
        <v>7.2445</v>
      </c>
      <c r="D291" s="7">
        <v>7.2467</v>
      </c>
      <c r="E291" s="7">
        <v>7.157</v>
      </c>
      <c r="G291" s="8">
        <v>-0.0116</v>
      </c>
    </row>
    <row r="292" spans="1:7">
      <c r="A292" s="6">
        <v>45505</v>
      </c>
      <c r="B292" s="7">
        <v>7.2444</v>
      </c>
      <c r="C292" s="7">
        <v>7.2125</v>
      </c>
      <c r="D292" s="7">
        <v>7.2486</v>
      </c>
      <c r="E292" s="7">
        <v>7.2099</v>
      </c>
      <c r="G292" s="8">
        <v>0.0034</v>
      </c>
    </row>
    <row r="293" spans="1:7">
      <c r="A293" s="6">
        <v>45504</v>
      </c>
      <c r="B293" s="7">
        <v>7.2198</v>
      </c>
      <c r="C293" s="7">
        <v>7.2291</v>
      </c>
      <c r="D293" s="7">
        <v>7.2402</v>
      </c>
      <c r="E293" s="7">
        <v>7.2151</v>
      </c>
      <c r="G293" s="8">
        <v>-0.0043</v>
      </c>
    </row>
    <row r="294" spans="1:7">
      <c r="A294" s="6">
        <v>45503</v>
      </c>
      <c r="B294" s="7">
        <v>7.2512</v>
      </c>
      <c r="C294" s="7">
        <v>7.2634</v>
      </c>
      <c r="D294" s="7">
        <v>7.265</v>
      </c>
      <c r="E294" s="7">
        <v>7.2479</v>
      </c>
      <c r="G294" s="8">
        <v>-0.0012</v>
      </c>
    </row>
    <row r="295" spans="1:7">
      <c r="A295" s="6">
        <v>45502</v>
      </c>
      <c r="B295" s="7">
        <v>7.2601</v>
      </c>
      <c r="C295" s="7">
        <v>7.2529</v>
      </c>
      <c r="D295" s="7">
        <v>7.2608</v>
      </c>
      <c r="E295" s="7">
        <v>7.2512</v>
      </c>
      <c r="G295" s="8">
        <v>0.0012</v>
      </c>
    </row>
    <row r="296" spans="1:7">
      <c r="A296" s="6">
        <v>45499</v>
      </c>
      <c r="B296" s="7">
        <v>7.2511</v>
      </c>
      <c r="C296" s="7">
        <v>7.241</v>
      </c>
      <c r="D296" s="7">
        <v>7.2549</v>
      </c>
      <c r="E296" s="7">
        <v>7.2309</v>
      </c>
      <c r="G296" s="8">
        <v>0.0027</v>
      </c>
    </row>
    <row r="297" spans="1:7">
      <c r="A297" s="6">
        <v>45498</v>
      </c>
      <c r="B297" s="7">
        <v>7.2316</v>
      </c>
      <c r="C297" s="7">
        <v>7.2617</v>
      </c>
      <c r="D297" s="7">
        <v>7.2639</v>
      </c>
      <c r="E297" s="7">
        <v>7.2109</v>
      </c>
      <c r="G297" s="8">
        <v>-0.0043</v>
      </c>
    </row>
    <row r="298" spans="1:7">
      <c r="A298" s="6">
        <v>45497</v>
      </c>
      <c r="B298" s="7">
        <v>7.2629</v>
      </c>
      <c r="C298" s="7">
        <v>7.2755</v>
      </c>
      <c r="D298" s="7">
        <v>7.2775</v>
      </c>
      <c r="E298" s="7">
        <v>7.2627</v>
      </c>
      <c r="G298" s="8">
        <v>-0.0016</v>
      </c>
    </row>
    <row r="299" spans="1:7">
      <c r="A299" s="6">
        <v>45496</v>
      </c>
      <c r="B299" s="7">
        <v>7.2749</v>
      </c>
      <c r="C299" s="7">
        <v>7.273</v>
      </c>
      <c r="D299" s="7">
        <v>7.2749</v>
      </c>
      <c r="E299" s="7">
        <v>7.2728</v>
      </c>
      <c r="G299" s="8">
        <v>0.0002</v>
      </c>
    </row>
    <row r="300" spans="1:7">
      <c r="A300" s="6">
        <v>45495</v>
      </c>
      <c r="B300" s="7">
        <v>7.2737</v>
      </c>
      <c r="C300" s="7">
        <v>7.2736</v>
      </c>
      <c r="D300" s="7">
        <v>7.274</v>
      </c>
      <c r="E300" s="7">
        <v>7.2708</v>
      </c>
      <c r="G300" s="8">
        <v>0.0006</v>
      </c>
    </row>
    <row r="301" spans="1:7">
      <c r="A301" s="6">
        <v>45492</v>
      </c>
      <c r="B301" s="7">
        <v>7.2697</v>
      </c>
      <c r="C301" s="7">
        <v>7.2661</v>
      </c>
      <c r="D301" s="7">
        <v>7.2698</v>
      </c>
      <c r="E301" s="7">
        <v>7.2652</v>
      </c>
      <c r="G301" s="8">
        <v>0.0013</v>
      </c>
    </row>
    <row r="302" spans="1:7">
      <c r="A302" s="6">
        <v>45491</v>
      </c>
      <c r="B302" s="7">
        <v>7.2605</v>
      </c>
      <c r="C302" s="7">
        <v>7.257</v>
      </c>
      <c r="D302" s="7">
        <v>7.2616</v>
      </c>
      <c r="E302" s="7">
        <v>7.2524</v>
      </c>
      <c r="G302" s="8">
        <v>-0.0001</v>
      </c>
    </row>
    <row r="303" spans="1:7">
      <c r="A303" s="6">
        <v>45490</v>
      </c>
      <c r="B303" s="7">
        <v>7.2614</v>
      </c>
      <c r="C303" s="7">
        <v>7.269</v>
      </c>
      <c r="D303" s="7">
        <v>7.2692</v>
      </c>
      <c r="E303" s="7">
        <v>7.2526</v>
      </c>
      <c r="G303" s="8">
        <v>-0.001</v>
      </c>
    </row>
    <row r="304" spans="1:7">
      <c r="A304" s="6">
        <v>45489</v>
      </c>
      <c r="B304" s="7">
        <v>7.2686</v>
      </c>
      <c r="C304" s="7">
        <v>7.2645</v>
      </c>
      <c r="D304" s="7">
        <v>7.2687</v>
      </c>
      <c r="E304" s="7">
        <v>7.2645</v>
      </c>
      <c r="G304" s="8">
        <v>0.0012</v>
      </c>
    </row>
    <row r="305" spans="1:7">
      <c r="A305" s="6">
        <v>45488</v>
      </c>
      <c r="B305" s="7">
        <v>7.2599</v>
      </c>
      <c r="C305" s="7">
        <v>7.2615</v>
      </c>
      <c r="D305" s="7">
        <v>7.2639</v>
      </c>
      <c r="E305" s="7">
        <v>7.2581</v>
      </c>
      <c r="G305" s="8">
        <v>0.0013</v>
      </c>
    </row>
    <row r="306" spans="1:7">
      <c r="A306" s="6">
        <v>45485</v>
      </c>
      <c r="B306" s="7">
        <v>7.2504</v>
      </c>
      <c r="C306" s="7">
        <v>7.2607</v>
      </c>
      <c r="D306" s="7">
        <v>7.265</v>
      </c>
      <c r="E306" s="7">
        <v>7.2491</v>
      </c>
      <c r="G306" s="8">
        <v>-0.001</v>
      </c>
    </row>
    <row r="307" spans="1:7">
      <c r="A307" s="6">
        <v>45484</v>
      </c>
      <c r="B307" s="7">
        <v>7.2579</v>
      </c>
      <c r="C307" s="7">
        <v>7.2748</v>
      </c>
      <c r="D307" s="7">
        <v>7.275</v>
      </c>
      <c r="E307" s="7">
        <v>7.2496</v>
      </c>
      <c r="G307" s="8">
        <v>-0.0025</v>
      </c>
    </row>
    <row r="308" spans="1:7">
      <c r="A308" s="6">
        <v>45483</v>
      </c>
      <c r="B308" s="7">
        <v>7.2761</v>
      </c>
      <c r="C308" s="7">
        <v>7.2749</v>
      </c>
      <c r="D308" s="7">
        <v>7.2762</v>
      </c>
      <c r="E308" s="7">
        <v>7.2749</v>
      </c>
      <c r="G308" s="8">
        <v>0.0005</v>
      </c>
    </row>
    <row r="309" spans="1:7">
      <c r="A309" s="6">
        <v>45482</v>
      </c>
      <c r="B309" s="7">
        <v>7.2726</v>
      </c>
      <c r="C309" s="7">
        <v>7.271</v>
      </c>
      <c r="D309" s="7">
        <v>7.2726</v>
      </c>
      <c r="E309" s="7">
        <v>7.271</v>
      </c>
      <c r="G309" s="8">
        <v>0.0005</v>
      </c>
    </row>
    <row r="310" spans="1:7">
      <c r="A310" s="6">
        <v>45481</v>
      </c>
      <c r="B310" s="7">
        <v>7.2687</v>
      </c>
      <c r="C310" s="7">
        <v>7.2668</v>
      </c>
      <c r="D310" s="7">
        <v>7.2703</v>
      </c>
      <c r="E310" s="7">
        <v>7.2668</v>
      </c>
      <c r="G310" s="8">
        <v>0</v>
      </c>
    </row>
    <row r="311" spans="1:7">
      <c r="A311" s="6">
        <v>45478</v>
      </c>
      <c r="B311" s="7">
        <v>7.2684</v>
      </c>
      <c r="C311" s="7">
        <v>7.2661</v>
      </c>
      <c r="D311" s="7">
        <v>7.2699</v>
      </c>
      <c r="E311" s="7">
        <v>7.2653</v>
      </c>
      <c r="G311" s="8">
        <v>0</v>
      </c>
    </row>
    <row r="312" spans="1:7">
      <c r="A312" s="6">
        <v>45477</v>
      </c>
      <c r="B312" s="7">
        <v>7.2682</v>
      </c>
      <c r="C312" s="7">
        <v>7.2705</v>
      </c>
      <c r="D312" s="7">
        <v>7.2718</v>
      </c>
      <c r="E312" s="7">
        <v>7.2678</v>
      </c>
      <c r="G312" s="8">
        <v>-0.0003</v>
      </c>
    </row>
    <row r="313" spans="1:7">
      <c r="A313" s="6">
        <v>45476</v>
      </c>
      <c r="B313" s="7">
        <v>7.2703</v>
      </c>
      <c r="C313" s="7">
        <v>7.2726</v>
      </c>
      <c r="D313" s="7">
        <v>7.2736</v>
      </c>
      <c r="E313" s="7">
        <v>7.2683</v>
      </c>
      <c r="G313" s="8">
        <v>-0.0001</v>
      </c>
    </row>
    <row r="314" spans="1:7">
      <c r="A314" s="6">
        <v>45475</v>
      </c>
      <c r="B314" s="7">
        <v>7.2713</v>
      </c>
      <c r="C314" s="7">
        <v>7.2701</v>
      </c>
      <c r="D314" s="7">
        <v>7.2714</v>
      </c>
      <c r="E314" s="7">
        <v>7.2701</v>
      </c>
      <c r="G314" s="8">
        <v>0.0004</v>
      </c>
    </row>
    <row r="315" spans="1:7">
      <c r="A315" s="6">
        <v>45474</v>
      </c>
      <c r="B315" s="7">
        <v>7.2684</v>
      </c>
      <c r="C315" s="7">
        <v>7.2673</v>
      </c>
      <c r="D315" s="7">
        <v>7.2685</v>
      </c>
      <c r="E315" s="7">
        <v>7.267</v>
      </c>
      <c r="G315" s="8">
        <v>0.0002</v>
      </c>
    </row>
    <row r="316" spans="1:7">
      <c r="A316" s="6">
        <v>45471</v>
      </c>
      <c r="B316" s="7">
        <v>7.2673</v>
      </c>
      <c r="C316" s="7">
        <v>7.2676</v>
      </c>
      <c r="D316" s="7">
        <v>7.2683</v>
      </c>
      <c r="E316" s="7">
        <v>7.2624</v>
      </c>
      <c r="G316" s="8">
        <v>-0.0002</v>
      </c>
    </row>
    <row r="317" spans="1:7">
      <c r="A317" s="6">
        <v>45470</v>
      </c>
      <c r="B317" s="7">
        <v>7.2689</v>
      </c>
      <c r="C317" s="7">
        <v>7.2673</v>
      </c>
      <c r="D317" s="7">
        <v>7.269</v>
      </c>
      <c r="E317" s="7">
        <v>7.267</v>
      </c>
      <c r="G317" s="8">
        <v>0.0003</v>
      </c>
    </row>
    <row r="318" spans="1:7">
      <c r="A318" s="6">
        <v>45469</v>
      </c>
      <c r="B318" s="7">
        <v>7.2667</v>
      </c>
      <c r="C318" s="7">
        <v>7.2649</v>
      </c>
      <c r="D318" s="7">
        <v>7.2668</v>
      </c>
      <c r="E318" s="7">
        <v>7.2649</v>
      </c>
      <c r="G318" s="8">
        <v>0.0005</v>
      </c>
    </row>
    <row r="319" spans="1:7">
      <c r="A319" s="6">
        <v>45468</v>
      </c>
      <c r="B319" s="7">
        <v>7.263</v>
      </c>
      <c r="C319" s="7">
        <v>7.2607</v>
      </c>
      <c r="D319" s="7">
        <v>7.263</v>
      </c>
      <c r="E319" s="7">
        <v>7.2586</v>
      </c>
      <c r="G319" s="8">
        <v>0.0005</v>
      </c>
    </row>
    <row r="320" spans="1:7">
      <c r="A320" s="6">
        <v>45467</v>
      </c>
      <c r="B320" s="7">
        <v>7.2592</v>
      </c>
      <c r="C320" s="7">
        <v>7.2611</v>
      </c>
      <c r="D320" s="7">
        <v>7.2619</v>
      </c>
      <c r="E320" s="7">
        <v>7.2575</v>
      </c>
      <c r="G320" s="8">
        <v>-0.0002</v>
      </c>
    </row>
    <row r="321" spans="1:7">
      <c r="A321" s="6">
        <v>45464</v>
      </c>
      <c r="B321" s="7">
        <v>7.261</v>
      </c>
      <c r="C321" s="7">
        <v>7.2601</v>
      </c>
      <c r="D321" s="7">
        <v>7.2613</v>
      </c>
      <c r="E321" s="7">
        <v>7.2601</v>
      </c>
      <c r="G321" s="8">
        <v>0.0001</v>
      </c>
    </row>
    <row r="322" spans="1:7">
      <c r="A322" s="6">
        <v>45463</v>
      </c>
      <c r="B322" s="7">
        <v>7.2605</v>
      </c>
      <c r="C322" s="7">
        <v>7.2592</v>
      </c>
      <c r="D322" s="7">
        <v>7.2605</v>
      </c>
      <c r="E322" s="7">
        <v>7.2589</v>
      </c>
      <c r="G322" s="8">
        <v>0.0005</v>
      </c>
    </row>
    <row r="323" spans="1:7">
      <c r="A323" s="6">
        <v>45462</v>
      </c>
      <c r="B323" s="7">
        <v>7.257</v>
      </c>
      <c r="C323" s="7">
        <v>7.2554</v>
      </c>
      <c r="D323" s="7">
        <v>7.2574</v>
      </c>
      <c r="E323" s="7">
        <v>7.2553</v>
      </c>
      <c r="G323" s="8">
        <v>0.0003</v>
      </c>
    </row>
    <row r="324" spans="1:7">
      <c r="A324" s="6">
        <v>45461</v>
      </c>
      <c r="B324" s="7">
        <v>7.2545</v>
      </c>
      <c r="C324" s="7">
        <v>7.2553</v>
      </c>
      <c r="D324" s="7">
        <v>7.2564</v>
      </c>
      <c r="E324" s="7">
        <v>7.2543</v>
      </c>
      <c r="G324" s="8">
        <v>-0.0002</v>
      </c>
    </row>
    <row r="325" spans="1:7">
      <c r="A325" s="6">
        <v>45460</v>
      </c>
      <c r="B325" s="7">
        <v>7.2562</v>
      </c>
      <c r="C325" s="7">
        <v>7.2548</v>
      </c>
      <c r="D325" s="7">
        <v>7.2562</v>
      </c>
      <c r="E325" s="7">
        <v>7.2538</v>
      </c>
      <c r="G325" s="8">
        <v>0.0001</v>
      </c>
    </row>
    <row r="326" spans="1:7">
      <c r="A326" s="6">
        <v>45457</v>
      </c>
      <c r="B326" s="7">
        <v>7.2558</v>
      </c>
      <c r="C326" s="7">
        <v>7.2544</v>
      </c>
      <c r="D326" s="7">
        <v>7.2562</v>
      </c>
      <c r="E326" s="7">
        <v>7.254</v>
      </c>
      <c r="G326" s="8">
        <v>0.0005</v>
      </c>
    </row>
    <row r="327" spans="1:7">
      <c r="A327" s="6">
        <v>45456</v>
      </c>
      <c r="B327" s="7">
        <v>7.2525</v>
      </c>
      <c r="C327" s="7">
        <v>7.2483</v>
      </c>
      <c r="D327" s="7">
        <v>7.2528</v>
      </c>
      <c r="E327" s="7">
        <v>7.2483</v>
      </c>
      <c r="G327" s="8">
        <v>0.0018</v>
      </c>
    </row>
    <row r="328" spans="1:7">
      <c r="A328" s="6">
        <v>45455</v>
      </c>
      <c r="B328" s="7">
        <v>7.2398</v>
      </c>
      <c r="C328" s="7">
        <v>7.2531</v>
      </c>
      <c r="D328" s="7">
        <v>7.2539</v>
      </c>
      <c r="E328" s="7">
        <v>7.2393</v>
      </c>
      <c r="G328" s="8">
        <v>-0.002</v>
      </c>
    </row>
    <row r="329" spans="1:7">
      <c r="A329" s="6">
        <v>45454</v>
      </c>
      <c r="B329" s="7">
        <v>7.2545</v>
      </c>
      <c r="C329" s="7">
        <v>7.2518</v>
      </c>
      <c r="D329" s="7">
        <v>7.2546</v>
      </c>
      <c r="E329" s="7">
        <v>7.2518</v>
      </c>
      <c r="G329" s="8">
        <v>0.0009</v>
      </c>
    </row>
    <row r="330" spans="1:7">
      <c r="A330" s="6">
        <v>45453</v>
      </c>
      <c r="B330" s="7">
        <v>7.2478</v>
      </c>
      <c r="C330" s="7">
        <v>7.2478</v>
      </c>
      <c r="D330" s="7">
        <v>7.2478</v>
      </c>
      <c r="E330" s="7">
        <v>7.2478</v>
      </c>
      <c r="G330" s="8">
        <v>0</v>
      </c>
    </row>
    <row r="331" spans="1:7">
      <c r="A331" s="6">
        <v>45450</v>
      </c>
      <c r="B331" s="7">
        <v>7.2478</v>
      </c>
      <c r="C331" s="7">
        <v>7.2448</v>
      </c>
      <c r="D331" s="7">
        <v>7.2478</v>
      </c>
      <c r="E331" s="7">
        <v>7.2401</v>
      </c>
      <c r="G331" s="8">
        <v>0.0004</v>
      </c>
    </row>
    <row r="332" spans="1:7">
      <c r="A332" s="6">
        <v>45449</v>
      </c>
      <c r="B332" s="7">
        <v>7.2451</v>
      </c>
      <c r="C332" s="7">
        <v>7.2457</v>
      </c>
      <c r="D332" s="7">
        <v>7.2475</v>
      </c>
      <c r="E332" s="7">
        <v>7.2426</v>
      </c>
      <c r="G332" s="8">
        <v>-0.0004</v>
      </c>
    </row>
    <row r="333" spans="1:7">
      <c r="A333" s="6">
        <v>45448</v>
      </c>
      <c r="B333" s="7">
        <v>7.2477</v>
      </c>
      <c r="C333" s="7">
        <v>7.2424</v>
      </c>
      <c r="D333" s="7">
        <v>7.2478</v>
      </c>
      <c r="E333" s="7">
        <v>7.2424</v>
      </c>
      <c r="G333" s="8">
        <v>0.0011</v>
      </c>
    </row>
    <row r="334" spans="1:7">
      <c r="A334" s="6">
        <v>45447</v>
      </c>
      <c r="B334" s="7">
        <v>7.2398</v>
      </c>
      <c r="C334" s="7">
        <v>7.2423</v>
      </c>
      <c r="D334" s="7">
        <v>7.2464</v>
      </c>
      <c r="E334" s="7">
        <v>7.2365</v>
      </c>
      <c r="G334" s="8">
        <v>-0.0003</v>
      </c>
    </row>
    <row r="335" spans="1:7">
      <c r="A335" s="6">
        <v>45446</v>
      </c>
      <c r="B335" s="7">
        <v>7.2423</v>
      </c>
      <c r="C335" s="7">
        <v>7.2437</v>
      </c>
      <c r="D335" s="7">
        <v>7.2469</v>
      </c>
      <c r="E335" s="7">
        <v>7.242</v>
      </c>
      <c r="G335" s="8">
        <v>0.0001</v>
      </c>
    </row>
    <row r="336" spans="1:7">
      <c r="A336" s="6">
        <v>45443</v>
      </c>
      <c r="B336" s="7">
        <v>7.2418</v>
      </c>
      <c r="C336" s="7">
        <v>7.2343</v>
      </c>
      <c r="D336" s="7">
        <v>7.2445</v>
      </c>
      <c r="E336" s="7">
        <v>7.234</v>
      </c>
      <c r="G336" s="8">
        <v>0.0013</v>
      </c>
    </row>
    <row r="337" spans="1:7">
      <c r="A337" s="6">
        <v>45442</v>
      </c>
      <c r="B337" s="7">
        <v>7.2326</v>
      </c>
      <c r="C337" s="7">
        <v>7.249</v>
      </c>
      <c r="D337" s="7">
        <v>7.2497</v>
      </c>
      <c r="E337" s="7">
        <v>7.2326</v>
      </c>
      <c r="G337" s="8">
        <v>-0.0023</v>
      </c>
    </row>
    <row r="338" spans="1:7">
      <c r="A338" s="6">
        <v>45441</v>
      </c>
      <c r="B338" s="7">
        <v>7.2492</v>
      </c>
      <c r="C338" s="7">
        <v>7.2478</v>
      </c>
      <c r="D338" s="7">
        <v>7.2496</v>
      </c>
      <c r="E338" s="7">
        <v>7.2471</v>
      </c>
      <c r="G338" s="8">
        <v>0.0006</v>
      </c>
    </row>
    <row r="339" spans="1:7">
      <c r="A339" s="6">
        <v>45440</v>
      </c>
      <c r="B339" s="7">
        <v>7.245</v>
      </c>
      <c r="C339" s="7">
        <v>7.2452</v>
      </c>
      <c r="D339" s="7">
        <v>7.2472</v>
      </c>
      <c r="E339" s="7">
        <v>7.2445</v>
      </c>
      <c r="G339" s="8">
        <v>0.0001</v>
      </c>
    </row>
    <row r="340" spans="1:7">
      <c r="A340" s="6">
        <v>45439</v>
      </c>
      <c r="B340" s="7">
        <v>7.2445</v>
      </c>
      <c r="C340" s="7">
        <v>7.2428</v>
      </c>
      <c r="D340" s="7">
        <v>7.2454</v>
      </c>
      <c r="E340" s="7">
        <v>7.2428</v>
      </c>
      <c r="G340" s="8">
        <v>0.0002</v>
      </c>
    </row>
    <row r="341" spans="1:7">
      <c r="A341" s="6">
        <v>45436</v>
      </c>
      <c r="B341" s="7">
        <v>7.243</v>
      </c>
      <c r="C341" s="7">
        <v>7.2444</v>
      </c>
      <c r="D341" s="7">
        <v>7.2456</v>
      </c>
      <c r="E341" s="7">
        <v>7.2422</v>
      </c>
      <c r="G341" s="8">
        <v>0.0002</v>
      </c>
    </row>
    <row r="342" spans="1:7">
      <c r="A342" s="6">
        <v>45435</v>
      </c>
      <c r="B342" s="7">
        <v>7.2419</v>
      </c>
      <c r="C342" s="7">
        <v>7.2427</v>
      </c>
      <c r="D342" s="7">
        <v>7.2454</v>
      </c>
      <c r="E342" s="7">
        <v>7.2392</v>
      </c>
      <c r="G342" s="8">
        <v>0.0001</v>
      </c>
    </row>
    <row r="343" spans="1:7">
      <c r="A343" s="6">
        <v>45434</v>
      </c>
      <c r="B343" s="7">
        <v>7.2413</v>
      </c>
      <c r="C343" s="7">
        <v>7.2391</v>
      </c>
      <c r="D343" s="7">
        <v>7.2413</v>
      </c>
      <c r="E343" s="7">
        <v>7.2376</v>
      </c>
      <c r="G343" s="8">
        <v>0.0005</v>
      </c>
    </row>
    <row r="344" spans="1:7">
      <c r="A344" s="6">
        <v>45433</v>
      </c>
      <c r="B344" s="7">
        <v>7.2379</v>
      </c>
      <c r="C344" s="7">
        <v>7.2396</v>
      </c>
      <c r="D344" s="7">
        <v>7.2418</v>
      </c>
      <c r="E344" s="7">
        <v>7.2335</v>
      </c>
      <c r="G344" s="8">
        <v>0.0004</v>
      </c>
    </row>
    <row r="345" spans="1:7">
      <c r="A345" s="6">
        <v>45432</v>
      </c>
      <c r="B345" s="7">
        <v>7.2351</v>
      </c>
      <c r="C345" s="7">
        <v>7.2294</v>
      </c>
      <c r="D345" s="7">
        <v>7.2352</v>
      </c>
      <c r="E345" s="7">
        <v>7.2289</v>
      </c>
      <c r="G345" s="8">
        <v>0.0015</v>
      </c>
    </row>
    <row r="346" spans="1:7">
      <c r="A346" s="6">
        <v>45429</v>
      </c>
      <c r="B346" s="7">
        <v>7.2243</v>
      </c>
      <c r="C346" s="7">
        <v>7.2258</v>
      </c>
      <c r="D346" s="7">
        <v>7.2274</v>
      </c>
      <c r="E346" s="7">
        <v>7.2175</v>
      </c>
      <c r="G346" s="8">
        <v>0.0007</v>
      </c>
    </row>
    <row r="347" spans="1:7">
      <c r="A347" s="6">
        <v>45428</v>
      </c>
      <c r="B347" s="7">
        <v>7.2191</v>
      </c>
      <c r="C347" s="7">
        <v>7.2096</v>
      </c>
      <c r="D347" s="7">
        <v>7.2198</v>
      </c>
      <c r="E347" s="7">
        <v>7.2078</v>
      </c>
      <c r="G347" s="8">
        <v>-0.0001</v>
      </c>
    </row>
    <row r="348" spans="1:7">
      <c r="A348" s="6">
        <v>45427</v>
      </c>
      <c r="B348" s="7">
        <v>7.2195</v>
      </c>
      <c r="C348" s="7">
        <v>7.2333</v>
      </c>
      <c r="D348" s="7">
        <v>7.2347</v>
      </c>
      <c r="E348" s="7">
        <v>7.2147</v>
      </c>
      <c r="G348" s="8">
        <v>-0.002</v>
      </c>
    </row>
    <row r="349" spans="1:7">
      <c r="A349" s="6">
        <v>45426</v>
      </c>
      <c r="B349" s="7">
        <v>7.2337</v>
      </c>
      <c r="C349" s="7">
        <v>7.2355</v>
      </c>
      <c r="D349" s="7">
        <v>7.238</v>
      </c>
      <c r="E349" s="7">
        <v>7.2301</v>
      </c>
      <c r="G349" s="8">
        <v>0.0001</v>
      </c>
    </row>
    <row r="350" spans="1:7">
      <c r="A350" s="6">
        <v>45425</v>
      </c>
      <c r="B350" s="7">
        <v>7.2329</v>
      </c>
      <c r="C350" s="7">
        <v>7.231</v>
      </c>
      <c r="D350" s="7">
        <v>7.2358</v>
      </c>
      <c r="E350" s="7">
        <v>7.231</v>
      </c>
      <c r="G350" s="8">
        <v>0.0008</v>
      </c>
    </row>
    <row r="351" spans="1:7">
      <c r="A351" s="6">
        <v>45422</v>
      </c>
      <c r="B351" s="7">
        <v>7.2268</v>
      </c>
      <c r="C351" s="7">
        <v>7.2242</v>
      </c>
      <c r="D351" s="7">
        <v>7.2268</v>
      </c>
      <c r="E351" s="7">
        <v>7.223</v>
      </c>
      <c r="G351" s="8">
        <v>0.0007</v>
      </c>
    </row>
    <row r="352" spans="1:7">
      <c r="A352" s="6">
        <v>45421</v>
      </c>
      <c r="B352" s="7">
        <v>7.2214</v>
      </c>
      <c r="C352" s="7">
        <v>7.2253</v>
      </c>
      <c r="D352" s="7">
        <v>7.2269</v>
      </c>
      <c r="E352" s="7">
        <v>7.2209</v>
      </c>
      <c r="G352" s="8">
        <v>-0.0005</v>
      </c>
    </row>
    <row r="353" spans="1:7">
      <c r="A353" s="6">
        <v>45420</v>
      </c>
      <c r="B353" s="7">
        <v>7.225</v>
      </c>
      <c r="C353" s="7">
        <v>7.2221</v>
      </c>
      <c r="D353" s="7">
        <v>7.2283</v>
      </c>
      <c r="E353" s="7">
        <v>7.2221</v>
      </c>
      <c r="G353" s="8">
        <v>0.0009</v>
      </c>
    </row>
    <row r="354" spans="1:7">
      <c r="A354" s="6">
        <v>45419</v>
      </c>
      <c r="B354" s="7">
        <v>7.2187</v>
      </c>
      <c r="C354" s="7">
        <v>7.2168</v>
      </c>
      <c r="D354" s="7">
        <v>7.2194</v>
      </c>
      <c r="E354" s="7">
        <v>7.2142</v>
      </c>
      <c r="G354" s="8">
        <v>0.0014</v>
      </c>
    </row>
    <row r="355" spans="1:7">
      <c r="A355" s="6">
        <v>45418</v>
      </c>
      <c r="B355" s="7">
        <v>7.2089</v>
      </c>
      <c r="C355" s="7">
        <v>7.2089</v>
      </c>
      <c r="D355" s="7">
        <v>7.2167</v>
      </c>
      <c r="E355" s="7">
        <v>7.205</v>
      </c>
      <c r="G355" s="8">
        <v>-0.0044</v>
      </c>
    </row>
    <row r="356" spans="1:7">
      <c r="A356" s="6">
        <v>45415</v>
      </c>
      <c r="B356" s="7">
        <v>7.2411</v>
      </c>
      <c r="C356" s="7">
        <v>7.2411</v>
      </c>
      <c r="D356" s="7">
        <v>7.2411</v>
      </c>
      <c r="E356" s="7">
        <v>7.2411</v>
      </c>
      <c r="G356" s="8">
        <v>0</v>
      </c>
    </row>
    <row r="357" spans="1:7">
      <c r="A357" s="6">
        <v>45414</v>
      </c>
      <c r="B357" s="7">
        <v>7.2411</v>
      </c>
      <c r="C357" s="7">
        <v>7.2411</v>
      </c>
      <c r="D357" s="7">
        <v>7.2411</v>
      </c>
      <c r="E357" s="7">
        <v>7.2411</v>
      </c>
      <c r="G357" s="8">
        <v>0</v>
      </c>
    </row>
    <row r="358" spans="1:7">
      <c r="A358" s="6">
        <v>45413</v>
      </c>
      <c r="B358" s="7">
        <v>7.2411</v>
      </c>
      <c r="C358" s="7">
        <v>7.2411</v>
      </c>
      <c r="D358" s="7">
        <v>7.2411</v>
      </c>
      <c r="E358" s="7">
        <v>7.2411</v>
      </c>
      <c r="G358" s="8">
        <v>0</v>
      </c>
    </row>
    <row r="359" spans="1:7">
      <c r="A359" s="6">
        <v>45412</v>
      </c>
      <c r="B359" s="7">
        <v>7.2411</v>
      </c>
      <c r="C359" s="7">
        <v>7.2386</v>
      </c>
      <c r="D359" s="7">
        <v>7.2445</v>
      </c>
      <c r="E359" s="7">
        <v>7.2383</v>
      </c>
      <c r="G359" s="8">
        <v>0.0012</v>
      </c>
    </row>
    <row r="360" spans="1:7">
      <c r="A360" s="6">
        <v>45411</v>
      </c>
      <c r="B360" s="7">
        <v>7.2322</v>
      </c>
      <c r="C360" s="7">
        <v>7.2458</v>
      </c>
      <c r="D360" s="7">
        <v>7.2468</v>
      </c>
      <c r="E360" s="7">
        <v>7.2317</v>
      </c>
      <c r="G360" s="8">
        <v>-0.002</v>
      </c>
    </row>
    <row r="361" spans="1:7">
      <c r="A361" s="6">
        <v>45408</v>
      </c>
      <c r="B361" s="7">
        <v>7.2465</v>
      </c>
      <c r="C361" s="7">
        <v>7.2435</v>
      </c>
      <c r="D361" s="7">
        <v>7.2471</v>
      </c>
      <c r="E361" s="7">
        <v>7.2435</v>
      </c>
      <c r="G361" s="8">
        <v>0.0009</v>
      </c>
    </row>
    <row r="362" spans="1:7">
      <c r="A362" s="6">
        <v>45407</v>
      </c>
      <c r="B362" s="7">
        <v>7.2399</v>
      </c>
      <c r="C362" s="7">
        <v>7.2458</v>
      </c>
      <c r="D362" s="7">
        <v>7.2473</v>
      </c>
      <c r="E362" s="7">
        <v>7.2385</v>
      </c>
      <c r="G362" s="8">
        <v>-0.0009</v>
      </c>
    </row>
    <row r="363" spans="1:7">
      <c r="A363" s="6">
        <v>45406</v>
      </c>
      <c r="B363" s="7">
        <v>7.2461</v>
      </c>
      <c r="C363" s="7">
        <v>7.2443</v>
      </c>
      <c r="D363" s="7">
        <v>7.2462</v>
      </c>
      <c r="E363" s="7">
        <v>7.2434</v>
      </c>
      <c r="G363" s="8">
        <v>0.0001</v>
      </c>
    </row>
    <row r="364" spans="1:7">
      <c r="A364" s="6">
        <v>45405</v>
      </c>
      <c r="B364" s="7">
        <v>7.2453</v>
      </c>
      <c r="C364" s="7">
        <v>7.2446</v>
      </c>
      <c r="D364" s="7">
        <v>7.2472</v>
      </c>
      <c r="E364" s="7">
        <v>7.244</v>
      </c>
      <c r="G364" s="8">
        <v>0.0002</v>
      </c>
    </row>
    <row r="365" spans="1:7">
      <c r="A365" s="6">
        <v>45404</v>
      </c>
      <c r="B365" s="7">
        <v>7.2435</v>
      </c>
      <c r="C365" s="7">
        <v>7.2407</v>
      </c>
      <c r="D365" s="7">
        <v>7.244</v>
      </c>
      <c r="E365" s="7">
        <v>7.2407</v>
      </c>
      <c r="G365" s="8">
        <v>0.0004</v>
      </c>
    </row>
    <row r="366" spans="1:7">
      <c r="A366" s="6">
        <v>45401</v>
      </c>
      <c r="B366" s="7">
        <v>7.2404</v>
      </c>
      <c r="C366" s="7">
        <v>7.2396</v>
      </c>
      <c r="D366" s="7">
        <v>7.243</v>
      </c>
      <c r="E366" s="7">
        <v>7.2386</v>
      </c>
      <c r="G366" s="8">
        <v>0.0002</v>
      </c>
    </row>
    <row r="367" spans="1:7">
      <c r="A367" s="6">
        <v>45400</v>
      </c>
      <c r="B367" s="7">
        <v>7.2387</v>
      </c>
      <c r="C367" s="7">
        <v>7.2348</v>
      </c>
      <c r="D367" s="7">
        <v>7.2397</v>
      </c>
      <c r="E367" s="7">
        <v>7.2332</v>
      </c>
      <c r="G367" s="8">
        <v>0</v>
      </c>
    </row>
    <row r="368" spans="1:7">
      <c r="A368" s="6">
        <v>45399</v>
      </c>
      <c r="B368" s="7">
        <v>7.2389</v>
      </c>
      <c r="C368" s="7">
        <v>7.2366</v>
      </c>
      <c r="D368" s="7">
        <v>7.2405</v>
      </c>
      <c r="E368" s="7">
        <v>7.2339</v>
      </c>
      <c r="G368" s="8">
        <v>0.0002</v>
      </c>
    </row>
    <row r="369" spans="1:7">
      <c r="A369" s="6">
        <v>45398</v>
      </c>
      <c r="B369" s="7">
        <v>7.2378</v>
      </c>
      <c r="C369" s="7">
        <v>7.2405</v>
      </c>
      <c r="D369" s="7">
        <v>7.2405</v>
      </c>
      <c r="E369" s="7">
        <v>7.2329</v>
      </c>
      <c r="G369" s="8">
        <v>-0.0001</v>
      </c>
    </row>
    <row r="370" spans="1:7">
      <c r="A370" s="6">
        <v>45397</v>
      </c>
      <c r="B370" s="7">
        <v>7.2382</v>
      </c>
      <c r="C370" s="7">
        <v>7.2368</v>
      </c>
      <c r="D370" s="7">
        <v>7.2388</v>
      </c>
      <c r="E370" s="7">
        <v>7.2365</v>
      </c>
      <c r="G370" s="8">
        <v>0.0001</v>
      </c>
    </row>
    <row r="371" spans="1:7">
      <c r="A371" s="6">
        <v>45394</v>
      </c>
      <c r="B371" s="7">
        <v>7.2374</v>
      </c>
      <c r="C371" s="7">
        <v>7.2358</v>
      </c>
      <c r="D371" s="7">
        <v>7.2376</v>
      </c>
      <c r="E371" s="7">
        <v>7.2358</v>
      </c>
      <c r="G371" s="8">
        <v>0</v>
      </c>
    </row>
    <row r="372" spans="1:7">
      <c r="A372" s="6">
        <v>45393</v>
      </c>
      <c r="B372" s="7">
        <v>7.2374</v>
      </c>
      <c r="C372" s="7">
        <v>7.2359</v>
      </c>
      <c r="D372" s="7">
        <v>7.2374</v>
      </c>
      <c r="E372" s="7">
        <v>7.2345</v>
      </c>
      <c r="G372" s="8">
        <v>0.0004</v>
      </c>
    </row>
    <row r="373" spans="1:7">
      <c r="A373" s="6">
        <v>45392</v>
      </c>
      <c r="B373" s="7">
        <v>7.2343</v>
      </c>
      <c r="C373" s="7">
        <v>7.2327</v>
      </c>
      <c r="D373" s="7">
        <v>7.2347</v>
      </c>
      <c r="E373" s="7">
        <v>7.2278</v>
      </c>
      <c r="G373" s="8">
        <v>0.0003</v>
      </c>
    </row>
    <row r="374" spans="1:7">
      <c r="A374" s="6">
        <v>45391</v>
      </c>
      <c r="B374" s="7">
        <v>7.2323</v>
      </c>
      <c r="C374" s="7">
        <v>7.2334</v>
      </c>
      <c r="D374" s="7">
        <v>7.2346</v>
      </c>
      <c r="E374" s="7">
        <v>7.2292</v>
      </c>
      <c r="G374" s="8">
        <v>0.0002</v>
      </c>
    </row>
    <row r="375" spans="1:7">
      <c r="A375" s="6">
        <v>45390</v>
      </c>
      <c r="B375" s="7">
        <v>7.2309</v>
      </c>
      <c r="C375" s="7">
        <v>7.2285</v>
      </c>
      <c r="D375" s="7">
        <v>7.2343</v>
      </c>
      <c r="E375" s="7">
        <v>7.2281</v>
      </c>
      <c r="G375" s="8">
        <v>-0.0004</v>
      </c>
    </row>
    <row r="376" spans="1:7">
      <c r="A376" s="6">
        <v>45387</v>
      </c>
      <c r="B376" s="7">
        <v>7.2338</v>
      </c>
      <c r="C376" s="7">
        <v>7.2338</v>
      </c>
      <c r="D376" s="7">
        <v>7.2338</v>
      </c>
      <c r="E376" s="7">
        <v>7.2338</v>
      </c>
      <c r="G376" s="8">
        <v>0</v>
      </c>
    </row>
    <row r="377" spans="1:7">
      <c r="A377" s="6">
        <v>45386</v>
      </c>
      <c r="B377" s="7">
        <v>7.2338</v>
      </c>
      <c r="C377" s="7">
        <v>7.2338</v>
      </c>
      <c r="D377" s="7">
        <v>7.2338</v>
      </c>
      <c r="E377" s="7">
        <v>7.2338</v>
      </c>
      <c r="G377" s="8">
        <v>0</v>
      </c>
    </row>
    <row r="378" spans="1:7">
      <c r="A378" s="6">
        <v>45385</v>
      </c>
      <c r="B378" s="7">
        <v>7.2338</v>
      </c>
      <c r="C378" s="7">
        <v>7.2335</v>
      </c>
      <c r="D378" s="7">
        <v>7.2361</v>
      </c>
      <c r="E378" s="7">
        <v>7.2331</v>
      </c>
      <c r="G378" s="8">
        <v>0.0001</v>
      </c>
    </row>
    <row r="379" spans="1:7">
      <c r="A379" s="6">
        <v>45384</v>
      </c>
      <c r="B379" s="7">
        <v>7.233</v>
      </c>
      <c r="C379" s="7">
        <v>7.2313</v>
      </c>
      <c r="D379" s="7">
        <v>7.2361</v>
      </c>
      <c r="E379" s="7">
        <v>7.2302</v>
      </c>
      <c r="G379" s="8">
        <v>0.0003</v>
      </c>
    </row>
    <row r="380" spans="1:7">
      <c r="A380" s="6">
        <v>45383</v>
      </c>
      <c r="B380" s="7">
        <v>7.2308</v>
      </c>
      <c r="C380" s="7">
        <v>7.225</v>
      </c>
      <c r="D380" s="7">
        <v>7.231</v>
      </c>
      <c r="E380" s="7">
        <v>7.225</v>
      </c>
      <c r="G380" s="8">
        <v>0.0013</v>
      </c>
    </row>
    <row r="381" spans="1:7">
      <c r="A381" s="6">
        <v>45380</v>
      </c>
      <c r="B381" s="7">
        <v>7.2213</v>
      </c>
      <c r="C381" s="7">
        <v>7.2261</v>
      </c>
      <c r="D381" s="7">
        <v>7.2283</v>
      </c>
      <c r="E381" s="7">
        <v>7.2194</v>
      </c>
      <c r="G381" s="8">
        <v>-0.0008</v>
      </c>
    </row>
    <row r="382" spans="1:7">
      <c r="A382" s="6">
        <v>45379</v>
      </c>
      <c r="B382" s="7">
        <v>7.227</v>
      </c>
      <c r="C382" s="7">
        <v>7.2263</v>
      </c>
      <c r="D382" s="7">
        <v>7.2305</v>
      </c>
      <c r="E382" s="7">
        <v>7.2225</v>
      </c>
      <c r="G382" s="8">
        <v>0</v>
      </c>
    </row>
    <row r="383" spans="1:7">
      <c r="A383" s="6">
        <v>45378</v>
      </c>
      <c r="B383" s="7">
        <v>7.2273</v>
      </c>
      <c r="C383" s="7">
        <v>7.2187</v>
      </c>
      <c r="D383" s="7">
        <v>7.2291</v>
      </c>
      <c r="E383" s="7">
        <v>7.2187</v>
      </c>
      <c r="G383" s="8">
        <v>0.0012</v>
      </c>
    </row>
    <row r="384" spans="1:7">
      <c r="A384" s="6">
        <v>45377</v>
      </c>
      <c r="B384" s="7">
        <v>7.2183</v>
      </c>
      <c r="C384" s="7">
        <v>7.209</v>
      </c>
      <c r="D384" s="7">
        <v>7.2208</v>
      </c>
      <c r="E384" s="7">
        <v>7.2084</v>
      </c>
      <c r="G384" s="8">
        <v>0.001</v>
      </c>
    </row>
    <row r="385" spans="1:7">
      <c r="A385" s="6">
        <v>45376</v>
      </c>
      <c r="B385" s="7">
        <v>7.2112</v>
      </c>
      <c r="C385" s="7">
        <v>7.2081</v>
      </c>
      <c r="D385" s="7">
        <v>7.214</v>
      </c>
      <c r="E385" s="7">
        <v>7.1949</v>
      </c>
      <c r="G385" s="8">
        <v>-0.0025</v>
      </c>
    </row>
    <row r="386" spans="1:7">
      <c r="A386" s="6">
        <v>45373</v>
      </c>
      <c r="B386" s="7">
        <v>7.2295</v>
      </c>
      <c r="C386" s="7">
        <v>7.1995</v>
      </c>
      <c r="D386" s="7">
        <v>7.2304</v>
      </c>
      <c r="E386" s="7">
        <v>7.1995</v>
      </c>
      <c r="G386" s="8">
        <v>0.0042</v>
      </c>
    </row>
    <row r="387" spans="1:7">
      <c r="A387" s="6">
        <v>45372</v>
      </c>
      <c r="B387" s="7">
        <v>7.1995</v>
      </c>
      <c r="C387" s="7">
        <v>7.1952</v>
      </c>
      <c r="D387" s="7">
        <v>7.1996</v>
      </c>
      <c r="E387" s="7">
        <v>7.1947</v>
      </c>
      <c r="G387" s="8">
        <v>0</v>
      </c>
    </row>
    <row r="388" spans="1:7">
      <c r="A388" s="6">
        <v>45371</v>
      </c>
      <c r="B388" s="7">
        <v>7.1994</v>
      </c>
      <c r="C388" s="7">
        <v>7.1988</v>
      </c>
      <c r="D388" s="7">
        <v>7.1996</v>
      </c>
      <c r="E388" s="7">
        <v>7.1979</v>
      </c>
      <c r="G388" s="8">
        <v>0</v>
      </c>
    </row>
    <row r="389" spans="1:7">
      <c r="A389" s="6">
        <v>45370</v>
      </c>
      <c r="B389" s="7">
        <v>7.1994</v>
      </c>
      <c r="C389" s="7">
        <v>7.1981</v>
      </c>
      <c r="D389" s="7">
        <v>7.1996</v>
      </c>
      <c r="E389" s="7">
        <v>7.1976</v>
      </c>
      <c r="G389" s="8">
        <v>0.0002</v>
      </c>
    </row>
    <row r="390" spans="1:7">
      <c r="A390" s="6">
        <v>45369</v>
      </c>
      <c r="B390" s="7">
        <v>7.1983</v>
      </c>
      <c r="C390" s="7">
        <v>7.198</v>
      </c>
      <c r="D390" s="7">
        <v>7.1986</v>
      </c>
      <c r="E390" s="7">
        <v>7.1963</v>
      </c>
      <c r="G390" s="8">
        <v>0.0003</v>
      </c>
    </row>
    <row r="391" spans="1:7">
      <c r="A391" s="6">
        <v>45366</v>
      </c>
      <c r="B391" s="7">
        <v>7.196</v>
      </c>
      <c r="C391" s="7">
        <v>7.1954</v>
      </c>
      <c r="D391" s="7">
        <v>7.197</v>
      </c>
      <c r="E391" s="7">
        <v>7.1945</v>
      </c>
      <c r="G391" s="8">
        <v>0.0003</v>
      </c>
    </row>
    <row r="392" spans="1:7">
      <c r="A392" s="6">
        <v>45365</v>
      </c>
      <c r="B392" s="7">
        <v>7.1939</v>
      </c>
      <c r="C392" s="7">
        <v>7.1894</v>
      </c>
      <c r="D392" s="7">
        <v>7.1947</v>
      </c>
      <c r="E392" s="7">
        <v>7.1885</v>
      </c>
      <c r="G392" s="8">
        <v>0.001</v>
      </c>
    </row>
    <row r="393" spans="1:7">
      <c r="A393" s="6">
        <v>45364</v>
      </c>
      <c r="B393" s="7">
        <v>7.1868</v>
      </c>
      <c r="C393" s="7">
        <v>7.1838</v>
      </c>
      <c r="D393" s="7">
        <v>7.1953</v>
      </c>
      <c r="E393" s="7">
        <v>7.1838</v>
      </c>
      <c r="G393" s="8">
        <v>0.0008</v>
      </c>
    </row>
    <row r="394" spans="1:7">
      <c r="A394" s="6">
        <v>45363</v>
      </c>
      <c r="B394" s="7">
        <v>7.181</v>
      </c>
      <c r="C394" s="7">
        <v>7.178</v>
      </c>
      <c r="D394" s="7">
        <v>7.1816</v>
      </c>
      <c r="E394" s="7">
        <v>7.1716</v>
      </c>
      <c r="G394" s="8">
        <v>-0.0003</v>
      </c>
    </row>
    <row r="395" spans="1:7">
      <c r="A395" s="6">
        <v>45362</v>
      </c>
      <c r="B395" s="7">
        <v>7.183</v>
      </c>
      <c r="C395" s="7">
        <v>7.189</v>
      </c>
      <c r="D395" s="7">
        <v>7.1924</v>
      </c>
      <c r="E395" s="7">
        <v>7.1798</v>
      </c>
      <c r="G395" s="8">
        <v>-0.0004</v>
      </c>
    </row>
    <row r="396" spans="1:7">
      <c r="A396" s="6">
        <v>45359</v>
      </c>
      <c r="B396" s="7">
        <v>7.186</v>
      </c>
      <c r="C396" s="7">
        <v>7.1911</v>
      </c>
      <c r="D396" s="7">
        <v>7.1944</v>
      </c>
      <c r="E396" s="7">
        <v>7.1837</v>
      </c>
      <c r="G396" s="8">
        <v>-0.001</v>
      </c>
    </row>
    <row r="397" spans="1:7">
      <c r="A397" s="6">
        <v>45358</v>
      </c>
      <c r="B397" s="7">
        <v>7.1929</v>
      </c>
      <c r="C397" s="7">
        <v>7.195</v>
      </c>
      <c r="D397" s="7">
        <v>7.199</v>
      </c>
      <c r="E397" s="7">
        <v>7.1928</v>
      </c>
      <c r="G397" s="8">
        <v>-0.0007</v>
      </c>
    </row>
    <row r="398" spans="1:7">
      <c r="A398" s="6">
        <v>45357</v>
      </c>
      <c r="B398" s="7">
        <v>7.1979</v>
      </c>
      <c r="C398" s="7">
        <v>7.198</v>
      </c>
      <c r="D398" s="7">
        <v>7.1995</v>
      </c>
      <c r="E398" s="7">
        <v>7.1973</v>
      </c>
      <c r="G398" s="8">
        <v>0.0002</v>
      </c>
    </row>
    <row r="399" spans="1:7">
      <c r="A399" s="6">
        <v>45356</v>
      </c>
      <c r="B399" s="7">
        <v>7.1968</v>
      </c>
      <c r="C399" s="7">
        <v>7.1983</v>
      </c>
      <c r="D399" s="7">
        <v>7.1994</v>
      </c>
      <c r="E399" s="7">
        <v>7.1936</v>
      </c>
      <c r="G399" s="8">
        <v>-0.0003</v>
      </c>
    </row>
    <row r="400" spans="1:7">
      <c r="A400" s="6">
        <v>45355</v>
      </c>
      <c r="B400" s="7">
        <v>7.199</v>
      </c>
      <c r="C400" s="7">
        <v>7.1969</v>
      </c>
      <c r="D400" s="7">
        <v>7.1995</v>
      </c>
      <c r="E400" s="7">
        <v>7.1961</v>
      </c>
      <c r="G400" s="8">
        <v>0.0003</v>
      </c>
    </row>
    <row r="401" spans="1:7">
      <c r="A401" s="6">
        <v>45352</v>
      </c>
      <c r="B401" s="7">
        <v>7.1968</v>
      </c>
      <c r="C401" s="7">
        <v>7.1934</v>
      </c>
      <c r="D401" s="7">
        <v>7.1994</v>
      </c>
      <c r="E401" s="7">
        <v>7.1933</v>
      </c>
      <c r="G401" s="8">
        <v>0.0011</v>
      </c>
    </row>
    <row r="402" spans="1:7">
      <c r="A402" s="6">
        <v>45351</v>
      </c>
      <c r="B402" s="7">
        <v>7.1887</v>
      </c>
      <c r="C402" s="7">
        <v>7.1971</v>
      </c>
      <c r="D402" s="7">
        <v>7.1971</v>
      </c>
      <c r="E402" s="7">
        <v>7.188</v>
      </c>
      <c r="G402" s="8">
        <v>-0.0013</v>
      </c>
    </row>
    <row r="403" spans="1:7">
      <c r="A403" s="6">
        <v>45350</v>
      </c>
      <c r="B403" s="7">
        <v>7.198</v>
      </c>
      <c r="C403" s="7">
        <v>7.198</v>
      </c>
      <c r="D403" s="7">
        <v>7.1995</v>
      </c>
      <c r="E403" s="7">
        <v>7.1978</v>
      </c>
      <c r="G403" s="8">
        <v>0</v>
      </c>
    </row>
    <row r="404" spans="1:7">
      <c r="A404" s="6">
        <v>45349</v>
      </c>
      <c r="B404" s="7">
        <v>7.1979</v>
      </c>
      <c r="C404" s="7">
        <v>7.1977</v>
      </c>
      <c r="D404" s="7">
        <v>7.1988</v>
      </c>
      <c r="E404" s="7">
        <v>7.1961</v>
      </c>
      <c r="G404" s="8">
        <v>0</v>
      </c>
    </row>
    <row r="405" spans="1:7">
      <c r="A405" s="6">
        <v>45348</v>
      </c>
      <c r="B405" s="7">
        <v>7.1976</v>
      </c>
      <c r="C405" s="7">
        <v>7.1964</v>
      </c>
      <c r="D405" s="7">
        <v>7.1986</v>
      </c>
      <c r="E405" s="7">
        <v>7.1959</v>
      </c>
      <c r="G405" s="8">
        <v>0.0002</v>
      </c>
    </row>
    <row r="406" spans="1:7">
      <c r="A406" s="6">
        <v>45345</v>
      </c>
      <c r="B406" s="7">
        <v>7.1959</v>
      </c>
      <c r="C406" s="7">
        <v>7.1942</v>
      </c>
      <c r="D406" s="7">
        <v>7.1992</v>
      </c>
      <c r="E406" s="7">
        <v>7.1902</v>
      </c>
      <c r="G406" s="8">
        <v>0.0002</v>
      </c>
    </row>
    <row r="407" spans="1:7">
      <c r="A407" s="6">
        <v>45344</v>
      </c>
      <c r="B407" s="7">
        <v>7.1947</v>
      </c>
      <c r="C407" s="7">
        <v>7.1897</v>
      </c>
      <c r="D407" s="7">
        <v>7.1947</v>
      </c>
      <c r="E407" s="7">
        <v>7.186</v>
      </c>
      <c r="G407" s="8">
        <v>0.0007</v>
      </c>
    </row>
    <row r="408" spans="1:7">
      <c r="A408" s="6">
        <v>45343</v>
      </c>
      <c r="B408" s="7">
        <v>7.1898</v>
      </c>
      <c r="C408" s="7">
        <v>7.1969</v>
      </c>
      <c r="D408" s="7">
        <v>7.197</v>
      </c>
      <c r="E408" s="7">
        <v>7.1782</v>
      </c>
      <c r="G408" s="8">
        <v>-0.0003</v>
      </c>
    </row>
    <row r="409" spans="1:7">
      <c r="A409" s="6">
        <v>45342</v>
      </c>
      <c r="B409" s="7">
        <v>7.1919</v>
      </c>
      <c r="C409" s="7">
        <v>7.1969</v>
      </c>
      <c r="D409" s="7">
        <v>7.1986</v>
      </c>
      <c r="E409" s="7">
        <v>7.1907</v>
      </c>
      <c r="G409" s="8">
        <v>-0.0009</v>
      </c>
    </row>
    <row r="410" spans="1:7">
      <c r="A410" s="6">
        <v>45341</v>
      </c>
      <c r="B410" s="7">
        <v>7.1982</v>
      </c>
      <c r="C410" s="7">
        <v>7.1938</v>
      </c>
      <c r="D410" s="7">
        <v>7.1987</v>
      </c>
      <c r="E410" s="7">
        <v>7.1937</v>
      </c>
      <c r="G410" s="8">
        <v>0.0006</v>
      </c>
    </row>
    <row r="411" spans="1:7">
      <c r="A411" s="6">
        <v>45338</v>
      </c>
      <c r="B411" s="7">
        <v>7.1936</v>
      </c>
      <c r="C411" s="7">
        <v>7.1936</v>
      </c>
      <c r="D411" s="7">
        <v>7.1936</v>
      </c>
      <c r="E411" s="7">
        <v>7.1936</v>
      </c>
      <c r="G411" s="8">
        <v>0</v>
      </c>
    </row>
    <row r="412" spans="1:7">
      <c r="A412" s="6">
        <v>45337</v>
      </c>
      <c r="B412" s="7">
        <v>7.1936</v>
      </c>
      <c r="C412" s="7">
        <v>7.1936</v>
      </c>
      <c r="D412" s="7">
        <v>7.1936</v>
      </c>
      <c r="E412" s="7">
        <v>7.1936</v>
      </c>
      <c r="G412" s="8">
        <v>0</v>
      </c>
    </row>
    <row r="413" spans="1:7">
      <c r="A413" s="6">
        <v>45336</v>
      </c>
      <c r="B413" s="7">
        <v>7.1936</v>
      </c>
      <c r="C413" s="7">
        <v>7.1936</v>
      </c>
      <c r="D413" s="7">
        <v>7.1936</v>
      </c>
      <c r="E413" s="7">
        <v>7.1936</v>
      </c>
      <c r="G413" s="8">
        <v>0</v>
      </c>
    </row>
    <row r="414" spans="1:7">
      <c r="A414" s="6">
        <v>45335</v>
      </c>
      <c r="B414" s="7">
        <v>7.1936</v>
      </c>
      <c r="C414" s="7">
        <v>7.1936</v>
      </c>
      <c r="D414" s="7">
        <v>7.1936</v>
      </c>
      <c r="E414" s="7">
        <v>7.1936</v>
      </c>
      <c r="G414" s="8">
        <v>0</v>
      </c>
    </row>
    <row r="415" spans="1:7">
      <c r="A415" s="6">
        <v>45334</v>
      </c>
      <c r="B415" s="7">
        <v>7.1936</v>
      </c>
      <c r="C415" s="7">
        <v>7.1936</v>
      </c>
      <c r="D415" s="7">
        <v>7.1936</v>
      </c>
      <c r="E415" s="7">
        <v>7.1936</v>
      </c>
      <c r="G415" s="8">
        <v>0</v>
      </c>
    </row>
    <row r="416" spans="1:7">
      <c r="A416" s="6">
        <v>45331</v>
      </c>
      <c r="B416" s="7">
        <v>7.1936</v>
      </c>
      <c r="C416" s="7">
        <v>7.1944</v>
      </c>
      <c r="D416" s="7">
        <v>7.1974</v>
      </c>
      <c r="E416" s="7">
        <v>7.1916</v>
      </c>
      <c r="G416" s="8">
        <v>-0.0004</v>
      </c>
    </row>
    <row r="417" spans="1:7">
      <c r="A417" s="6">
        <v>45330</v>
      </c>
      <c r="B417" s="7">
        <v>7.1968</v>
      </c>
      <c r="C417" s="7">
        <v>7.1904</v>
      </c>
      <c r="D417" s="7">
        <v>7.197</v>
      </c>
      <c r="E417" s="7">
        <v>7.1901</v>
      </c>
      <c r="G417" s="8">
        <v>0.0003</v>
      </c>
    </row>
    <row r="418" spans="1:7">
      <c r="A418" s="6">
        <v>45329</v>
      </c>
      <c r="B418" s="7">
        <v>7.195</v>
      </c>
      <c r="C418" s="7">
        <v>7.1889</v>
      </c>
      <c r="D418" s="7">
        <v>7.1954</v>
      </c>
      <c r="E418" s="7">
        <v>7.1824</v>
      </c>
      <c r="G418" s="8">
        <v>0.0005</v>
      </c>
    </row>
    <row r="419" spans="1:7">
      <c r="A419" s="6">
        <v>45328</v>
      </c>
      <c r="B419" s="7">
        <v>7.1913</v>
      </c>
      <c r="C419" s="7">
        <v>7.1951</v>
      </c>
      <c r="D419" s="7">
        <v>7.198</v>
      </c>
      <c r="E419" s="7">
        <v>7.1875</v>
      </c>
      <c r="G419" s="8">
        <v>-0.001</v>
      </c>
    </row>
    <row r="420" spans="1:7">
      <c r="A420" s="6">
        <v>45327</v>
      </c>
      <c r="B420" s="7">
        <v>7.1985</v>
      </c>
      <c r="C420" s="7">
        <v>7.1958</v>
      </c>
      <c r="D420" s="7">
        <v>7.1987</v>
      </c>
      <c r="E420" s="7">
        <v>7.1941</v>
      </c>
      <c r="G420" s="8">
        <v>0.0008</v>
      </c>
    </row>
    <row r="421" spans="1:7">
      <c r="A421" s="6">
        <v>45324</v>
      </c>
      <c r="B421" s="7">
        <v>7.1925</v>
      </c>
      <c r="C421" s="7">
        <v>7.1773</v>
      </c>
      <c r="D421" s="7">
        <v>7.193</v>
      </c>
      <c r="E421" s="7">
        <v>7.1766</v>
      </c>
      <c r="G421" s="8">
        <v>0.0017</v>
      </c>
    </row>
    <row r="422" spans="1:7">
      <c r="A422" s="6">
        <v>45323</v>
      </c>
      <c r="B422" s="7">
        <v>7.1802</v>
      </c>
      <c r="C422" s="7">
        <v>7.1789</v>
      </c>
      <c r="D422" s="7">
        <v>7.1844</v>
      </c>
      <c r="E422" s="7">
        <v>7.1764</v>
      </c>
      <c r="G422" s="8">
        <v>0.0017</v>
      </c>
    </row>
    <row r="423" spans="1:7">
      <c r="A423" s="6">
        <v>45322</v>
      </c>
      <c r="B423" s="7">
        <v>7.1678</v>
      </c>
      <c r="C423" s="7">
        <v>7.1787</v>
      </c>
      <c r="D423" s="7">
        <v>7.1828</v>
      </c>
      <c r="E423" s="7">
        <v>7.1678</v>
      </c>
      <c r="G423" s="8">
        <v>-0.0012</v>
      </c>
    </row>
    <row r="424" spans="1:7">
      <c r="A424" s="6">
        <v>45321</v>
      </c>
      <c r="B424" s="7">
        <v>7.1763</v>
      </c>
      <c r="C424" s="7">
        <v>7.1771</v>
      </c>
      <c r="D424" s="7">
        <v>7.1797</v>
      </c>
      <c r="E424" s="7">
        <v>7.1746</v>
      </c>
      <c r="G424" s="8">
        <v>-0.0006</v>
      </c>
    </row>
    <row r="425" spans="1:7">
      <c r="A425" s="6">
        <v>45320</v>
      </c>
      <c r="B425" s="7">
        <v>7.1807</v>
      </c>
      <c r="C425" s="7">
        <v>7.1792</v>
      </c>
      <c r="D425" s="7">
        <v>7.1833</v>
      </c>
      <c r="E425" s="7">
        <v>7.1764</v>
      </c>
      <c r="G425" s="8">
        <v>0.0005</v>
      </c>
    </row>
    <row r="426" spans="1:7">
      <c r="A426" s="6">
        <v>45317</v>
      </c>
      <c r="B426" s="7">
        <v>7.1774</v>
      </c>
      <c r="C426" s="7">
        <v>7.175</v>
      </c>
      <c r="D426" s="7">
        <v>7.1826</v>
      </c>
      <c r="E426" s="7">
        <v>7.171</v>
      </c>
      <c r="G426" s="8">
        <v>0.0011</v>
      </c>
    </row>
    <row r="427" spans="1:7">
      <c r="A427" s="6">
        <v>45316</v>
      </c>
      <c r="B427" s="7">
        <v>7.1698</v>
      </c>
      <c r="C427" s="7">
        <v>7.1528</v>
      </c>
      <c r="D427" s="7">
        <v>7.1726</v>
      </c>
      <c r="E427" s="7">
        <v>7.1528</v>
      </c>
      <c r="G427" s="8">
        <v>0.0024</v>
      </c>
    </row>
    <row r="428" spans="1:7">
      <c r="A428" s="6">
        <v>45315</v>
      </c>
      <c r="B428" s="7">
        <v>7.1528</v>
      </c>
      <c r="C428" s="7">
        <v>7.1699</v>
      </c>
      <c r="D428" s="7">
        <v>7.1759</v>
      </c>
      <c r="E428" s="7">
        <v>7.144</v>
      </c>
      <c r="G428" s="8">
        <v>-0.0029</v>
      </c>
    </row>
    <row r="429" spans="1:7">
      <c r="A429" s="6">
        <v>45314</v>
      </c>
      <c r="B429" s="7">
        <v>7.1733</v>
      </c>
      <c r="C429" s="7">
        <v>7.1914</v>
      </c>
      <c r="D429" s="7">
        <v>7.1936</v>
      </c>
      <c r="E429" s="7">
        <v>7.1634</v>
      </c>
      <c r="G429" s="8">
        <v>-0.0027</v>
      </c>
    </row>
    <row r="430" spans="1:7">
      <c r="A430" s="6">
        <v>45313</v>
      </c>
      <c r="B430" s="7">
        <v>7.1929</v>
      </c>
      <c r="C430" s="7">
        <v>7.1927</v>
      </c>
      <c r="D430" s="7">
        <v>7.1973</v>
      </c>
      <c r="E430" s="7">
        <v>7.1909</v>
      </c>
      <c r="G430" s="8">
        <v>-0.0001</v>
      </c>
    </row>
    <row r="431" spans="1:7">
      <c r="A431" s="6">
        <v>45310</v>
      </c>
      <c r="B431" s="7">
        <v>7.1935</v>
      </c>
      <c r="C431" s="7">
        <v>7.1933</v>
      </c>
      <c r="D431" s="7">
        <v>7.1966</v>
      </c>
      <c r="E431" s="7">
        <v>7.1884</v>
      </c>
      <c r="G431" s="8">
        <v>-0.0004</v>
      </c>
    </row>
    <row r="432" spans="1:7">
      <c r="A432" s="6">
        <v>45309</v>
      </c>
      <c r="B432" s="7">
        <v>7.1963</v>
      </c>
      <c r="C432" s="7">
        <v>7.1909</v>
      </c>
      <c r="D432" s="7">
        <v>7.1973</v>
      </c>
      <c r="E432" s="7">
        <v>7.1907</v>
      </c>
      <c r="G432" s="8">
        <v>0</v>
      </c>
    </row>
    <row r="433" spans="1:7">
      <c r="A433" s="6">
        <v>45308</v>
      </c>
      <c r="B433" s="7">
        <v>7.1963</v>
      </c>
      <c r="C433" s="7">
        <v>7.1931</v>
      </c>
      <c r="D433" s="7">
        <v>7.1976</v>
      </c>
      <c r="E433" s="7">
        <v>7.1897</v>
      </c>
      <c r="G433" s="8">
        <v>0.0007</v>
      </c>
    </row>
    <row r="434" spans="1:7">
      <c r="A434" s="6">
        <v>45307</v>
      </c>
      <c r="B434" s="7">
        <v>7.1911</v>
      </c>
      <c r="C434" s="7">
        <v>7.1789</v>
      </c>
      <c r="D434" s="7">
        <v>7.1944</v>
      </c>
      <c r="E434" s="7">
        <v>7.1757</v>
      </c>
      <c r="G434" s="8">
        <v>0.0027</v>
      </c>
    </row>
    <row r="435" spans="1:7">
      <c r="A435" s="6">
        <v>45306</v>
      </c>
      <c r="B435" s="7">
        <v>7.1716</v>
      </c>
      <c r="C435" s="7">
        <v>7.1802</v>
      </c>
      <c r="D435" s="7">
        <v>7.1804</v>
      </c>
      <c r="E435" s="7">
        <v>7.1662</v>
      </c>
      <c r="G435" s="8">
        <v>0.0005</v>
      </c>
    </row>
    <row r="436" spans="1:7">
      <c r="A436" s="6">
        <v>45303</v>
      </c>
      <c r="B436" s="7">
        <v>7.1678</v>
      </c>
      <c r="C436" s="7">
        <v>7.1664</v>
      </c>
      <c r="D436" s="7">
        <v>7.1699</v>
      </c>
      <c r="E436" s="7">
        <v>7.1586</v>
      </c>
      <c r="G436" s="8">
        <v>-0.0001</v>
      </c>
    </row>
    <row r="437" spans="1:7">
      <c r="A437" s="6">
        <v>45302</v>
      </c>
      <c r="B437" s="7">
        <v>7.1685</v>
      </c>
      <c r="C437" s="7">
        <v>7.1685</v>
      </c>
      <c r="D437" s="7">
        <v>7.1693</v>
      </c>
      <c r="E437" s="7">
        <v>7.1551</v>
      </c>
      <c r="G437" s="8">
        <v>-0.0004</v>
      </c>
    </row>
    <row r="438" spans="1:7">
      <c r="A438" s="6">
        <v>45301</v>
      </c>
      <c r="B438" s="7">
        <v>7.1716</v>
      </c>
      <c r="C438" s="7">
        <v>7.1743</v>
      </c>
      <c r="D438" s="7">
        <v>7.1771</v>
      </c>
      <c r="E438" s="7">
        <v>7.1673</v>
      </c>
      <c r="G438" s="8">
        <v>0.0004</v>
      </c>
    </row>
    <row r="439" spans="1:7">
      <c r="A439" s="6">
        <v>45300</v>
      </c>
      <c r="B439" s="7">
        <v>7.1687</v>
      </c>
      <c r="C439" s="7">
        <v>7.1568</v>
      </c>
      <c r="D439" s="7">
        <v>7.1687</v>
      </c>
      <c r="E439" s="7">
        <v>7.1563</v>
      </c>
      <c r="G439" s="8">
        <v>0.002</v>
      </c>
    </row>
    <row r="440" spans="1:7">
      <c r="A440" s="6">
        <v>45299</v>
      </c>
      <c r="B440" s="7">
        <v>7.1545</v>
      </c>
      <c r="C440" s="7">
        <v>7.1506</v>
      </c>
      <c r="D440" s="7">
        <v>7.164</v>
      </c>
      <c r="E440" s="7">
        <v>7.1453</v>
      </c>
      <c r="G440" s="8">
        <v>0.0019</v>
      </c>
    </row>
    <row r="441" spans="1:7">
      <c r="A441" s="6">
        <v>45296</v>
      </c>
      <c r="B441" s="7">
        <v>7.1412</v>
      </c>
      <c r="C441" s="7">
        <v>7.1698</v>
      </c>
      <c r="D441" s="7">
        <v>7.171</v>
      </c>
      <c r="E441" s="7">
        <v>7.1389</v>
      </c>
      <c r="G441" s="8">
        <v>-0.0026</v>
      </c>
    </row>
    <row r="442" spans="1:7">
      <c r="A442" s="6">
        <v>45295</v>
      </c>
      <c r="B442" s="7">
        <v>7.1595</v>
      </c>
      <c r="C442" s="7">
        <v>7.155</v>
      </c>
      <c r="D442" s="7">
        <v>7.1603</v>
      </c>
      <c r="E442" s="7">
        <v>7.1468</v>
      </c>
      <c r="G442" s="8">
        <v>0.0013</v>
      </c>
    </row>
    <row r="443" spans="1:7">
      <c r="A443" s="6">
        <v>45294</v>
      </c>
      <c r="B443" s="7">
        <v>7.1505</v>
      </c>
      <c r="C443" s="7">
        <v>7.1461</v>
      </c>
      <c r="D443" s="7">
        <v>7.1536</v>
      </c>
      <c r="E443" s="7">
        <v>7.1403</v>
      </c>
      <c r="G443" s="8">
        <v>0.0009</v>
      </c>
    </row>
    <row r="444" spans="1:7">
      <c r="A444" s="6">
        <v>45293</v>
      </c>
      <c r="B444" s="7">
        <v>7.1441</v>
      </c>
      <c r="C444" s="7">
        <v>7.1087</v>
      </c>
      <c r="D444" s="7">
        <v>7.1447</v>
      </c>
      <c r="E444" s="7">
        <v>7.1085</v>
      </c>
      <c r="G444" s="8">
        <v>0.0062</v>
      </c>
    </row>
    <row r="445" spans="1:7">
      <c r="A445" s="6">
        <v>45292</v>
      </c>
      <c r="B445" s="7">
        <v>7.0999</v>
      </c>
      <c r="C445" s="7">
        <v>7.0999</v>
      </c>
      <c r="D445" s="7">
        <v>7.0999</v>
      </c>
      <c r="E445" s="7">
        <v>7.0999</v>
      </c>
      <c r="G445" s="8">
        <v>0</v>
      </c>
    </row>
    <row r="446" spans="1:7">
      <c r="A446" s="6">
        <v>45289</v>
      </c>
      <c r="B446" s="7">
        <v>7.0999</v>
      </c>
      <c r="C446" s="7">
        <v>7.088</v>
      </c>
      <c r="D446" s="7">
        <v>7.1135</v>
      </c>
      <c r="E446" s="7">
        <v>7.088</v>
      </c>
      <c r="G446" s="8">
        <v>-0.0013</v>
      </c>
    </row>
    <row r="447" spans="1:7">
      <c r="A447" s="6">
        <v>45288</v>
      </c>
      <c r="B447" s="7">
        <v>7.1088</v>
      </c>
      <c r="C447" s="7">
        <v>7.1312</v>
      </c>
      <c r="D447" s="7">
        <v>7.1312</v>
      </c>
      <c r="E447" s="7">
        <v>7.0988</v>
      </c>
      <c r="G447" s="8">
        <v>-0.0045</v>
      </c>
    </row>
    <row r="448" spans="1:7">
      <c r="A448" s="6">
        <v>45287</v>
      </c>
      <c r="B448" s="7">
        <v>7.141</v>
      </c>
      <c r="C448" s="7">
        <v>7.1456</v>
      </c>
      <c r="D448" s="7">
        <v>7.1499</v>
      </c>
      <c r="E448" s="7">
        <v>7.141</v>
      </c>
      <c r="G448" s="8">
        <v>-0.0003</v>
      </c>
    </row>
    <row r="449" spans="1:7">
      <c r="A449" s="6">
        <v>45286</v>
      </c>
      <c r="B449" s="7">
        <v>7.1434</v>
      </c>
      <c r="C449" s="7">
        <v>7.1363</v>
      </c>
      <c r="D449" s="7">
        <v>7.147</v>
      </c>
      <c r="E449" s="7">
        <v>7.1363</v>
      </c>
      <c r="G449" s="8">
        <v>0.001</v>
      </c>
    </row>
    <row r="450" spans="1:7">
      <c r="A450" s="6">
        <v>45285</v>
      </c>
      <c r="B450" s="7">
        <v>7.1365</v>
      </c>
      <c r="C450" s="7">
        <v>7.134</v>
      </c>
      <c r="D450" s="7">
        <v>7.1388</v>
      </c>
      <c r="E450" s="7">
        <v>7.1305</v>
      </c>
      <c r="G450" s="8">
        <v>0.0004</v>
      </c>
    </row>
    <row r="451" spans="1:7">
      <c r="A451" s="6">
        <v>45282</v>
      </c>
      <c r="B451" s="7">
        <v>7.1333</v>
      </c>
      <c r="C451" s="7">
        <v>7.1431</v>
      </c>
      <c r="D451" s="7">
        <v>7.1509</v>
      </c>
      <c r="E451" s="7">
        <v>7.124</v>
      </c>
      <c r="G451" s="8">
        <v>-0.0008</v>
      </c>
    </row>
    <row r="452" spans="1:7">
      <c r="A452" s="6">
        <v>45281</v>
      </c>
      <c r="B452" s="7">
        <v>7.1391</v>
      </c>
      <c r="C452" s="7">
        <v>7.1391</v>
      </c>
      <c r="D452" s="7">
        <v>7.1494</v>
      </c>
      <c r="E452" s="7">
        <v>7.1387</v>
      </c>
      <c r="G452" s="8">
        <v>0.0004</v>
      </c>
    </row>
    <row r="453" spans="1:7">
      <c r="A453" s="6">
        <v>45280</v>
      </c>
      <c r="B453" s="7">
        <v>7.1363</v>
      </c>
      <c r="C453" s="7">
        <v>7.1253</v>
      </c>
      <c r="D453" s="7">
        <v>7.1415</v>
      </c>
      <c r="E453" s="7">
        <v>7.1252</v>
      </c>
      <c r="G453" s="8">
        <v>0.0009</v>
      </c>
    </row>
    <row r="454" spans="1:7">
      <c r="A454" s="6">
        <v>45279</v>
      </c>
      <c r="B454" s="7">
        <v>7.1297</v>
      </c>
      <c r="C454" s="7">
        <v>7.1362</v>
      </c>
      <c r="D454" s="7">
        <v>7.1473</v>
      </c>
      <c r="E454" s="7">
        <v>7.1294</v>
      </c>
      <c r="G454" s="8">
        <v>-0.0006</v>
      </c>
    </row>
    <row r="455" spans="1:7">
      <c r="A455" s="6">
        <v>45278</v>
      </c>
      <c r="B455" s="7">
        <v>7.134</v>
      </c>
      <c r="C455" s="7">
        <v>7.1253</v>
      </c>
      <c r="D455" s="7">
        <v>7.1361</v>
      </c>
      <c r="E455" s="7">
        <v>7.1252</v>
      </c>
      <c r="G455" s="8">
        <v>0.0022</v>
      </c>
    </row>
    <row r="456" spans="1:7">
      <c r="A456" s="6">
        <v>45275</v>
      </c>
      <c r="B456" s="7">
        <v>7.1184</v>
      </c>
      <c r="C456" s="7">
        <v>7.1201</v>
      </c>
      <c r="D456" s="7">
        <v>7.1259</v>
      </c>
      <c r="E456" s="7">
        <v>7.0979</v>
      </c>
      <c r="G456" s="8">
        <v>0.0012</v>
      </c>
    </row>
    <row r="457" spans="1:7">
      <c r="A457" s="6">
        <v>45274</v>
      </c>
      <c r="B457" s="7">
        <v>7.1102</v>
      </c>
      <c r="C457" s="7">
        <v>7.1339</v>
      </c>
      <c r="D457" s="7">
        <v>7.1386</v>
      </c>
      <c r="E457" s="7">
        <v>7.1041</v>
      </c>
      <c r="G457" s="8">
        <v>-0.0088</v>
      </c>
    </row>
    <row r="458" spans="1:7">
      <c r="A458" s="6">
        <v>45273</v>
      </c>
      <c r="B458" s="7">
        <v>7.173</v>
      </c>
      <c r="C458" s="7">
        <v>7.1796</v>
      </c>
      <c r="D458" s="7">
        <v>7.1859</v>
      </c>
      <c r="E458" s="7">
        <v>7.1729</v>
      </c>
      <c r="G458" s="8">
        <v>-0.0005</v>
      </c>
    </row>
    <row r="459" spans="1:7">
      <c r="A459" s="6">
        <v>45272</v>
      </c>
      <c r="B459" s="7">
        <v>7.1766</v>
      </c>
      <c r="C459" s="7">
        <v>7.1742</v>
      </c>
      <c r="D459" s="7">
        <v>7.1787</v>
      </c>
      <c r="E459" s="7">
        <v>7.1667</v>
      </c>
      <c r="G459" s="8">
        <v>0.0001</v>
      </c>
    </row>
    <row r="460" spans="1:7">
      <c r="A460" s="6">
        <v>45271</v>
      </c>
      <c r="B460" s="7">
        <v>7.176</v>
      </c>
      <c r="C460" s="7">
        <v>7.1763</v>
      </c>
      <c r="D460" s="7">
        <v>7.1883</v>
      </c>
      <c r="E460" s="7">
        <v>7.176</v>
      </c>
      <c r="G460" s="8">
        <v>0.0014</v>
      </c>
    </row>
    <row r="461" spans="1:7">
      <c r="A461" s="6">
        <v>45268</v>
      </c>
      <c r="B461" s="7">
        <v>7.1661</v>
      </c>
      <c r="C461" s="7">
        <v>7.1512</v>
      </c>
      <c r="D461" s="7">
        <v>7.1672</v>
      </c>
      <c r="E461" s="7">
        <v>7.1506</v>
      </c>
      <c r="G461" s="8">
        <v>0.0021</v>
      </c>
    </row>
    <row r="462" spans="1:7">
      <c r="A462" s="6">
        <v>45267</v>
      </c>
      <c r="B462" s="7">
        <v>7.151</v>
      </c>
      <c r="C462" s="7">
        <v>7.1601</v>
      </c>
      <c r="D462" s="7">
        <v>7.1618</v>
      </c>
      <c r="E462" s="7">
        <v>7.1482</v>
      </c>
      <c r="G462" s="8">
        <v>-0.0012</v>
      </c>
    </row>
    <row r="463" spans="1:7">
      <c r="A463" s="6">
        <v>45266</v>
      </c>
      <c r="B463" s="7">
        <v>7.1596</v>
      </c>
      <c r="C463" s="7">
        <v>7.1564</v>
      </c>
      <c r="D463" s="7">
        <v>7.1597</v>
      </c>
      <c r="E463" s="7">
        <v>7.1546</v>
      </c>
      <c r="G463" s="8">
        <v>0.0017</v>
      </c>
    </row>
    <row r="464" spans="1:7">
      <c r="A464" s="6">
        <v>45265</v>
      </c>
      <c r="B464" s="7">
        <v>7.1472</v>
      </c>
      <c r="C464" s="7">
        <v>7.1416</v>
      </c>
      <c r="D464" s="7">
        <v>7.1497</v>
      </c>
      <c r="E464" s="7">
        <v>7.1413</v>
      </c>
      <c r="G464" s="8">
        <v>0.0006</v>
      </c>
    </row>
    <row r="465" spans="1:7">
      <c r="A465" s="6">
        <v>45264</v>
      </c>
      <c r="B465" s="7">
        <v>7.143</v>
      </c>
      <c r="C465" s="7">
        <v>7.1275</v>
      </c>
      <c r="D465" s="7">
        <v>7.143</v>
      </c>
      <c r="E465" s="7">
        <v>7.1275</v>
      </c>
      <c r="G465" s="8">
        <v>0.0004</v>
      </c>
    </row>
    <row r="466" spans="1:7">
      <c r="A466" s="6">
        <v>45261</v>
      </c>
      <c r="B466" s="7">
        <v>7.1399</v>
      </c>
      <c r="C466" s="7">
        <v>7.1351</v>
      </c>
      <c r="D466" s="7">
        <v>7.1472</v>
      </c>
      <c r="E466" s="7">
        <v>7.128</v>
      </c>
      <c r="G466" s="8">
        <v>0.0005</v>
      </c>
    </row>
    <row r="467" spans="1:7">
      <c r="A467" s="6">
        <v>45260</v>
      </c>
      <c r="B467" s="7">
        <v>7.1363</v>
      </c>
      <c r="C467" s="7">
        <v>7.1372</v>
      </c>
      <c r="D467" s="7">
        <v>7.1398</v>
      </c>
      <c r="E467" s="7">
        <v>7.1189</v>
      </c>
      <c r="G467" s="8">
        <v>0.0007</v>
      </c>
    </row>
    <row r="468" spans="1:7">
      <c r="A468" s="6">
        <v>45259</v>
      </c>
      <c r="B468" s="7">
        <v>7.131</v>
      </c>
      <c r="C468" s="7">
        <v>7.1192</v>
      </c>
      <c r="D468" s="7">
        <v>7.131</v>
      </c>
      <c r="E468" s="7">
        <v>7.1184</v>
      </c>
      <c r="G468" s="8">
        <v>-0.0023</v>
      </c>
    </row>
    <row r="469" spans="1:7">
      <c r="A469" s="6">
        <v>45258</v>
      </c>
      <c r="B469" s="7">
        <v>7.1473</v>
      </c>
      <c r="C469" s="7">
        <v>7.1532</v>
      </c>
      <c r="D469" s="7">
        <v>7.1545</v>
      </c>
      <c r="E469" s="7">
        <v>7.1464</v>
      </c>
      <c r="G469" s="8">
        <v>-0.0008</v>
      </c>
    </row>
    <row r="470" spans="1:7">
      <c r="A470" s="6">
        <v>45257</v>
      </c>
      <c r="B470" s="7">
        <v>7.153</v>
      </c>
      <c r="C470" s="7">
        <v>7.1426</v>
      </c>
      <c r="D470" s="7">
        <v>7.1573</v>
      </c>
      <c r="E470" s="7">
        <v>7.1421</v>
      </c>
      <c r="G470" s="8">
        <v>0.0005</v>
      </c>
    </row>
    <row r="471" spans="1:7">
      <c r="A471" s="6">
        <v>45254</v>
      </c>
      <c r="B471" s="7">
        <v>7.1497</v>
      </c>
      <c r="C471" s="7">
        <v>7.143</v>
      </c>
      <c r="D471" s="7">
        <v>7.1554</v>
      </c>
      <c r="E471" s="7">
        <v>7.1427</v>
      </c>
      <c r="G471" s="8">
        <v>0.0004</v>
      </c>
    </row>
    <row r="472" spans="1:7">
      <c r="A472" s="6">
        <v>45253</v>
      </c>
      <c r="B472" s="7">
        <v>7.147</v>
      </c>
      <c r="C472" s="7">
        <v>7.1522</v>
      </c>
      <c r="D472" s="7">
        <v>7.154</v>
      </c>
      <c r="E472" s="7">
        <v>7.1365</v>
      </c>
      <c r="G472" s="8">
        <v>-0.0013</v>
      </c>
    </row>
    <row r="473" spans="1:7">
      <c r="A473" s="6">
        <v>45252</v>
      </c>
      <c r="B473" s="7">
        <v>7.1564</v>
      </c>
      <c r="C473" s="7">
        <v>7.1363</v>
      </c>
      <c r="D473" s="7">
        <v>7.1566</v>
      </c>
      <c r="E473" s="7">
        <v>7.1363</v>
      </c>
      <c r="G473" s="8">
        <v>0.0026</v>
      </c>
    </row>
    <row r="474" spans="1:7">
      <c r="A474" s="6">
        <v>45251</v>
      </c>
      <c r="B474" s="7">
        <v>7.1376</v>
      </c>
      <c r="C474" s="7">
        <v>7.1387</v>
      </c>
      <c r="D474" s="7">
        <v>7.1426</v>
      </c>
      <c r="E474" s="7">
        <v>7.1266</v>
      </c>
      <c r="G474" s="8">
        <v>-0.0044</v>
      </c>
    </row>
    <row r="475" spans="1:7">
      <c r="A475" s="6">
        <v>45250</v>
      </c>
      <c r="B475" s="7">
        <v>7.1693</v>
      </c>
      <c r="C475" s="7">
        <v>7.1995</v>
      </c>
      <c r="D475" s="7">
        <v>7.2073</v>
      </c>
      <c r="E475" s="7">
        <v>7.1638</v>
      </c>
      <c r="G475" s="8">
        <v>-0.0059</v>
      </c>
    </row>
    <row r="476" spans="1:7">
      <c r="A476" s="6">
        <v>45247</v>
      </c>
      <c r="B476" s="7">
        <v>7.2119</v>
      </c>
      <c r="C476" s="7">
        <v>7.2425</v>
      </c>
      <c r="D476" s="7">
        <v>7.249</v>
      </c>
      <c r="E476" s="7">
        <v>7.2043</v>
      </c>
      <c r="G476" s="8">
        <v>-0.0043</v>
      </c>
    </row>
    <row r="477" spans="1:7">
      <c r="A477" s="6">
        <v>45246</v>
      </c>
      <c r="B477" s="7">
        <v>7.2427</v>
      </c>
      <c r="C477" s="7">
        <v>7.2525</v>
      </c>
      <c r="D477" s="7">
        <v>7.2616</v>
      </c>
      <c r="E477" s="7">
        <v>7.242</v>
      </c>
      <c r="G477" s="8">
        <v>-0.0006</v>
      </c>
    </row>
    <row r="478" spans="1:7">
      <c r="A478" s="6">
        <v>45245</v>
      </c>
      <c r="B478" s="7">
        <v>7.2468</v>
      </c>
      <c r="C478" s="7">
        <v>7.2611</v>
      </c>
      <c r="D478" s="7">
        <v>7.2626</v>
      </c>
      <c r="E478" s="7">
        <v>7.2337</v>
      </c>
      <c r="G478" s="8">
        <v>-0.001</v>
      </c>
    </row>
    <row r="479" spans="1:7">
      <c r="A479" s="6">
        <v>45244</v>
      </c>
      <c r="B479" s="7">
        <v>7.2538</v>
      </c>
      <c r="C479" s="7">
        <v>7.2864</v>
      </c>
      <c r="D479" s="7">
        <v>7.2954</v>
      </c>
      <c r="E479" s="7">
        <v>7.2533</v>
      </c>
      <c r="G479" s="8">
        <v>-0.0049</v>
      </c>
    </row>
    <row r="480" spans="1:7">
      <c r="A480" s="6">
        <v>45243</v>
      </c>
      <c r="B480" s="7">
        <v>7.2893</v>
      </c>
      <c r="C480" s="7">
        <v>7.2947</v>
      </c>
      <c r="D480" s="7">
        <v>7.2981</v>
      </c>
      <c r="E480" s="7">
        <v>7.2889</v>
      </c>
      <c r="G480" s="8">
        <v>0</v>
      </c>
    </row>
    <row r="481" spans="1:7">
      <c r="A481" s="6">
        <v>45240</v>
      </c>
      <c r="B481" s="7">
        <v>7.2894</v>
      </c>
      <c r="C481" s="7">
        <v>7.2882</v>
      </c>
      <c r="D481" s="7">
        <v>7.2937</v>
      </c>
      <c r="E481" s="7">
        <v>7.288</v>
      </c>
      <c r="G481" s="8">
        <v>0.0008</v>
      </c>
    </row>
    <row r="482" spans="1:7">
      <c r="A482" s="6">
        <v>45239</v>
      </c>
      <c r="B482" s="7">
        <v>7.2838</v>
      </c>
      <c r="C482" s="7">
        <v>7.278</v>
      </c>
      <c r="D482" s="7">
        <v>7.2875</v>
      </c>
      <c r="E482" s="7">
        <v>7.2767</v>
      </c>
      <c r="G482" s="8">
        <v>0.0005</v>
      </c>
    </row>
    <row r="483" spans="1:7">
      <c r="A483" s="6">
        <v>45238</v>
      </c>
      <c r="B483" s="7">
        <v>7.2804</v>
      </c>
      <c r="C483" s="7">
        <v>7.2773</v>
      </c>
      <c r="D483" s="7">
        <v>7.282</v>
      </c>
      <c r="E483" s="7">
        <v>7.2658</v>
      </c>
      <c r="G483" s="8">
        <v>0.0001</v>
      </c>
    </row>
    <row r="484" spans="1:7">
      <c r="A484" s="6">
        <v>45237</v>
      </c>
      <c r="B484" s="7">
        <v>7.2799</v>
      </c>
      <c r="C484" s="7">
        <v>7.2759</v>
      </c>
      <c r="D484" s="7">
        <v>7.2868</v>
      </c>
      <c r="E484" s="7">
        <v>7.2755</v>
      </c>
      <c r="G484" s="8">
        <v>0.0013</v>
      </c>
    </row>
    <row r="485" spans="1:7">
      <c r="A485" s="6">
        <v>45236</v>
      </c>
      <c r="B485" s="7">
        <v>7.2703</v>
      </c>
      <c r="C485" s="7">
        <v>7.2873</v>
      </c>
      <c r="D485" s="7">
        <v>7.2887</v>
      </c>
      <c r="E485" s="7">
        <v>7.2667</v>
      </c>
      <c r="G485" s="8">
        <v>-0.0042</v>
      </c>
    </row>
    <row r="486" spans="1:7">
      <c r="A486" s="6">
        <v>45233</v>
      </c>
      <c r="B486" s="7">
        <v>7.3013</v>
      </c>
      <c r="C486" s="7">
        <v>7.3173</v>
      </c>
      <c r="D486" s="7">
        <v>7.3188</v>
      </c>
      <c r="E486" s="7">
        <v>7.3013</v>
      </c>
      <c r="G486" s="8">
        <v>-0.0021</v>
      </c>
    </row>
    <row r="487" spans="1:7">
      <c r="A487" s="6">
        <v>45232</v>
      </c>
      <c r="B487" s="7">
        <v>7.3164</v>
      </c>
      <c r="C487" s="7">
        <v>7.3159</v>
      </c>
      <c r="D487" s="7">
        <v>7.3195</v>
      </c>
      <c r="E487" s="7">
        <v>7.3149</v>
      </c>
      <c r="G487" s="8">
        <v>-0.0002</v>
      </c>
    </row>
    <row r="488" spans="1:7">
      <c r="A488" s="6">
        <v>45231</v>
      </c>
      <c r="B488" s="7">
        <v>7.3177</v>
      </c>
      <c r="C488" s="7">
        <v>7.3158</v>
      </c>
      <c r="D488" s="7">
        <v>7.3199</v>
      </c>
      <c r="E488" s="7">
        <v>7.3158</v>
      </c>
      <c r="G488" s="8">
        <v>0.0002</v>
      </c>
    </row>
    <row r="489" spans="1:7">
      <c r="A489" s="6">
        <v>45230</v>
      </c>
      <c r="B489" s="7">
        <v>7.3165</v>
      </c>
      <c r="C489" s="7">
        <v>7.3163</v>
      </c>
      <c r="D489" s="7">
        <v>7.3193</v>
      </c>
      <c r="E489" s="7">
        <v>7.3148</v>
      </c>
      <c r="G489" s="8">
        <v>0.0004</v>
      </c>
    </row>
    <row r="490" spans="1:7">
      <c r="A490" s="6">
        <v>45229</v>
      </c>
      <c r="B490" s="7">
        <v>7.3134</v>
      </c>
      <c r="C490" s="7">
        <v>7.3148</v>
      </c>
      <c r="D490" s="7">
        <v>7.3186</v>
      </c>
      <c r="E490" s="7">
        <v>7.3134</v>
      </c>
      <c r="G490" s="8">
        <v>-0.0005</v>
      </c>
    </row>
    <row r="491" spans="1:7">
      <c r="A491" s="6">
        <v>45226</v>
      </c>
      <c r="B491" s="7">
        <v>7.3174</v>
      </c>
      <c r="C491" s="7">
        <v>7.3147</v>
      </c>
      <c r="D491" s="7">
        <v>7.3189</v>
      </c>
      <c r="E491" s="7">
        <v>7.3147</v>
      </c>
      <c r="G491" s="8">
        <v>0.0002</v>
      </c>
    </row>
    <row r="492" spans="1:7">
      <c r="A492" s="6">
        <v>45225</v>
      </c>
      <c r="B492" s="7">
        <v>7.3158</v>
      </c>
      <c r="C492" s="7">
        <v>7.317</v>
      </c>
      <c r="D492" s="7">
        <v>7.3195</v>
      </c>
      <c r="E492" s="7">
        <v>7.3141</v>
      </c>
      <c r="G492" s="8">
        <v>-0.0002</v>
      </c>
    </row>
    <row r="493" spans="1:7">
      <c r="A493" s="6">
        <v>45224</v>
      </c>
      <c r="B493" s="7">
        <v>7.3173</v>
      </c>
      <c r="C493" s="7">
        <v>7.3069</v>
      </c>
      <c r="D493" s="7">
        <v>7.3179</v>
      </c>
      <c r="E493" s="7">
        <v>7.306</v>
      </c>
      <c r="G493" s="8">
        <v>0.001</v>
      </c>
    </row>
    <row r="494" spans="1:7">
      <c r="A494" s="6">
        <v>45223</v>
      </c>
      <c r="B494" s="7">
        <v>7.31</v>
      </c>
      <c r="C494" s="7">
        <v>7.3062</v>
      </c>
      <c r="D494" s="7">
        <v>7.3128</v>
      </c>
      <c r="E494" s="7">
        <v>7.298</v>
      </c>
      <c r="G494" s="8">
        <v>-0.0008</v>
      </c>
    </row>
    <row r="495" spans="1:7">
      <c r="A495" s="6">
        <v>45222</v>
      </c>
      <c r="B495" s="7">
        <v>7.3159</v>
      </c>
      <c r="C495" s="7">
        <v>7.3136</v>
      </c>
      <c r="D495" s="7">
        <v>7.3181</v>
      </c>
      <c r="E495" s="7">
        <v>7.3134</v>
      </c>
      <c r="G495" s="8">
        <v>-0.0001</v>
      </c>
    </row>
    <row r="496" spans="1:7">
      <c r="A496" s="6">
        <v>45219</v>
      </c>
      <c r="B496" s="7">
        <v>7.3164</v>
      </c>
      <c r="C496" s="7">
        <v>7.3117</v>
      </c>
      <c r="D496" s="7">
        <v>7.3185</v>
      </c>
      <c r="E496" s="7">
        <v>7.3076</v>
      </c>
      <c r="G496" s="8">
        <v>0.0004</v>
      </c>
    </row>
    <row r="497" spans="1:7">
      <c r="A497" s="6">
        <v>45218</v>
      </c>
      <c r="B497" s="7">
        <v>7.3135</v>
      </c>
      <c r="C497" s="7">
        <v>7.3116</v>
      </c>
      <c r="D497" s="7">
        <v>7.3179</v>
      </c>
      <c r="E497" s="7">
        <v>7.3115</v>
      </c>
      <c r="G497" s="8">
        <v>-0.0003</v>
      </c>
    </row>
    <row r="498" spans="1:7">
      <c r="A498" s="6">
        <v>45217</v>
      </c>
      <c r="B498" s="7">
        <v>7.3155</v>
      </c>
      <c r="C498" s="7">
        <v>7.3112</v>
      </c>
      <c r="D498" s="7">
        <v>7.3173</v>
      </c>
      <c r="E498" s="7">
        <v>7.2984</v>
      </c>
      <c r="G498" s="8">
        <v>0.0004</v>
      </c>
    </row>
    <row r="499" spans="1:7">
      <c r="A499" s="6">
        <v>45216</v>
      </c>
      <c r="B499" s="7">
        <v>7.3128</v>
      </c>
      <c r="C499" s="7">
        <v>7.3111</v>
      </c>
      <c r="D499" s="7">
        <v>7.3167</v>
      </c>
      <c r="E499" s="7">
        <v>7.3091</v>
      </c>
      <c r="G499" s="8">
        <v>0.0002</v>
      </c>
    </row>
    <row r="500" spans="1:7">
      <c r="A500" s="6">
        <v>45215</v>
      </c>
      <c r="B500" s="7">
        <v>7.3111</v>
      </c>
      <c r="C500" s="7">
        <v>7.3089</v>
      </c>
      <c r="D500" s="7">
        <v>7.3142</v>
      </c>
      <c r="E500" s="7">
        <v>7.307</v>
      </c>
      <c r="G500" s="8">
        <v>0.0007</v>
      </c>
    </row>
    <row r="501" spans="1:7">
      <c r="A501" s="6">
        <v>45212</v>
      </c>
      <c r="B501" s="7">
        <v>7.306</v>
      </c>
      <c r="C501" s="7">
        <v>7.3063</v>
      </c>
      <c r="D501" s="7">
        <v>7.309</v>
      </c>
      <c r="E501" s="7">
        <v>7.3013</v>
      </c>
      <c r="G501" s="8">
        <v>0.0004</v>
      </c>
    </row>
    <row r="502" spans="1:7">
      <c r="A502" s="6">
        <v>45211</v>
      </c>
      <c r="B502" s="7">
        <v>7.3028</v>
      </c>
      <c r="C502" s="7">
        <v>7.2983</v>
      </c>
      <c r="D502" s="7">
        <v>7.3038</v>
      </c>
      <c r="E502" s="7">
        <v>7.292</v>
      </c>
      <c r="G502" s="8">
        <v>0.0004</v>
      </c>
    </row>
    <row r="503" spans="1:7">
      <c r="A503" s="6">
        <v>45210</v>
      </c>
      <c r="B503" s="7">
        <v>7.3001</v>
      </c>
      <c r="C503" s="7">
        <v>7.2907</v>
      </c>
      <c r="D503" s="7">
        <v>7.3036</v>
      </c>
      <c r="E503" s="7">
        <v>7.2907</v>
      </c>
      <c r="G503" s="8">
        <v>0.0006</v>
      </c>
    </row>
    <row r="504" spans="1:7">
      <c r="A504" s="6">
        <v>45209</v>
      </c>
      <c r="B504" s="7">
        <v>7.2958</v>
      </c>
      <c r="C504" s="7">
        <v>7.2758</v>
      </c>
      <c r="D504" s="7">
        <v>7.2997</v>
      </c>
      <c r="E504" s="7">
        <v>7.2758</v>
      </c>
      <c r="G504" s="8">
        <v>0.0005</v>
      </c>
    </row>
    <row r="505" spans="1:7">
      <c r="A505" s="6">
        <v>45208</v>
      </c>
      <c r="B505" s="7">
        <v>7.2923</v>
      </c>
      <c r="C505" s="7">
        <v>7.302</v>
      </c>
      <c r="D505" s="7">
        <v>7.3023</v>
      </c>
      <c r="E505" s="7">
        <v>7.2836</v>
      </c>
      <c r="G505" s="8">
        <v>-0.0013</v>
      </c>
    </row>
    <row r="506" spans="1:7">
      <c r="A506" s="6">
        <v>45205</v>
      </c>
      <c r="B506" s="7">
        <v>7.3015</v>
      </c>
      <c r="C506" s="7">
        <v>7.3015</v>
      </c>
      <c r="D506" s="7">
        <v>7.3015</v>
      </c>
      <c r="E506" s="7">
        <v>7.3015</v>
      </c>
      <c r="G506" s="8">
        <v>0</v>
      </c>
    </row>
    <row r="507" spans="1:7">
      <c r="A507" s="6">
        <v>45204</v>
      </c>
      <c r="B507" s="7">
        <v>7.3015</v>
      </c>
      <c r="C507" s="7">
        <v>7.3015</v>
      </c>
      <c r="D507" s="7">
        <v>7.3015</v>
      </c>
      <c r="E507" s="7">
        <v>7.3015</v>
      </c>
      <c r="G507" s="8">
        <v>0</v>
      </c>
    </row>
    <row r="508" spans="1:7">
      <c r="A508" s="6">
        <v>45203</v>
      </c>
      <c r="B508" s="7">
        <v>7.3015</v>
      </c>
      <c r="C508" s="7">
        <v>7.3015</v>
      </c>
      <c r="D508" s="7">
        <v>7.3015</v>
      </c>
      <c r="E508" s="7">
        <v>7.3015</v>
      </c>
      <c r="G508" s="8">
        <v>0</v>
      </c>
    </row>
    <row r="509" spans="1:7">
      <c r="A509" s="6">
        <v>45202</v>
      </c>
      <c r="B509" s="7">
        <v>7.3015</v>
      </c>
      <c r="C509" s="7">
        <v>7.3015</v>
      </c>
      <c r="D509" s="7">
        <v>7.3015</v>
      </c>
      <c r="E509" s="7">
        <v>7.3015</v>
      </c>
      <c r="G509" s="8">
        <v>0</v>
      </c>
    </row>
    <row r="510" spans="1:7">
      <c r="A510" s="6">
        <v>45201</v>
      </c>
      <c r="B510" s="7">
        <v>7.3015</v>
      </c>
      <c r="C510" s="7">
        <v>7.3015</v>
      </c>
      <c r="D510" s="7">
        <v>7.3015</v>
      </c>
      <c r="E510" s="7">
        <v>7.3015</v>
      </c>
      <c r="G510" s="8">
        <v>0</v>
      </c>
    </row>
    <row r="511" spans="1:7">
      <c r="A511" s="6">
        <v>45198</v>
      </c>
      <c r="B511" s="7">
        <v>7.3015</v>
      </c>
      <c r="C511" s="7">
        <v>7.3015</v>
      </c>
      <c r="D511" s="7">
        <v>7.3015</v>
      </c>
      <c r="E511" s="7">
        <v>7.3015</v>
      </c>
      <c r="G511" s="8">
        <v>0</v>
      </c>
    </row>
    <row r="512" spans="1:7">
      <c r="A512" s="6">
        <v>45197</v>
      </c>
      <c r="B512" s="7">
        <v>7.3015</v>
      </c>
      <c r="C512" s="7">
        <v>7.309</v>
      </c>
      <c r="D512" s="7">
        <v>7.3124</v>
      </c>
      <c r="E512" s="7">
        <v>7.3001</v>
      </c>
      <c r="G512" s="8">
        <v>-0.0013</v>
      </c>
    </row>
    <row r="513" spans="1:7">
      <c r="A513" s="6">
        <v>45196</v>
      </c>
      <c r="B513" s="7">
        <v>7.311</v>
      </c>
      <c r="C513" s="7">
        <v>7.2923</v>
      </c>
      <c r="D513" s="7">
        <v>7.3129</v>
      </c>
      <c r="E513" s="7">
        <v>7.2913</v>
      </c>
      <c r="G513" s="8">
        <v>0</v>
      </c>
    </row>
    <row r="514" spans="1:7">
      <c r="A514" s="6">
        <v>45195</v>
      </c>
      <c r="B514" s="7">
        <v>7.3113</v>
      </c>
      <c r="C514" s="7">
        <v>7.3078</v>
      </c>
      <c r="D514" s="7">
        <v>7.3127</v>
      </c>
      <c r="E514" s="7">
        <v>7.3021</v>
      </c>
      <c r="G514" s="8">
        <v>-0.0001</v>
      </c>
    </row>
    <row r="515" spans="1:7">
      <c r="A515" s="6">
        <v>45194</v>
      </c>
      <c r="B515" s="7">
        <v>7.3119</v>
      </c>
      <c r="C515" s="7">
        <v>7.2994</v>
      </c>
      <c r="D515" s="7">
        <v>7.3128</v>
      </c>
      <c r="E515" s="7">
        <v>7.2993</v>
      </c>
      <c r="G515" s="8">
        <v>0.0018</v>
      </c>
    </row>
    <row r="516" spans="1:7">
      <c r="A516" s="6">
        <v>45191</v>
      </c>
      <c r="B516" s="7">
        <v>7.2985</v>
      </c>
      <c r="C516" s="7">
        <v>7.3019</v>
      </c>
      <c r="D516" s="7">
        <v>7.3043</v>
      </c>
      <c r="E516" s="7">
        <v>7.296</v>
      </c>
      <c r="G516" s="8">
        <v>-0.0013</v>
      </c>
    </row>
    <row r="517" spans="1:7">
      <c r="A517" s="6">
        <v>45190</v>
      </c>
      <c r="B517" s="7">
        <v>7.3078</v>
      </c>
      <c r="C517" s="7">
        <v>7.2893</v>
      </c>
      <c r="D517" s="7">
        <v>7.3094</v>
      </c>
      <c r="E517" s="7">
        <v>7.289</v>
      </c>
      <c r="G517" s="8">
        <v>0.0027</v>
      </c>
    </row>
    <row r="518" spans="1:7">
      <c r="A518" s="6">
        <v>45189</v>
      </c>
      <c r="B518" s="7">
        <v>7.2879</v>
      </c>
      <c r="C518" s="7">
        <v>7.2939</v>
      </c>
      <c r="D518" s="7">
        <v>7.2996</v>
      </c>
      <c r="E518" s="7">
        <v>7.2879</v>
      </c>
      <c r="G518" s="8">
        <v>-0.0013</v>
      </c>
    </row>
    <row r="519" spans="1:7">
      <c r="A519" s="6">
        <v>45188</v>
      </c>
      <c r="B519" s="7">
        <v>7.2974</v>
      </c>
      <c r="C519" s="7">
        <v>7.2939</v>
      </c>
      <c r="D519" s="7">
        <v>7.2985</v>
      </c>
      <c r="E519" s="7">
        <v>7.2896</v>
      </c>
      <c r="G519" s="8">
        <v>0.0008</v>
      </c>
    </row>
    <row r="520" spans="1:7">
      <c r="A520" s="6">
        <v>45187</v>
      </c>
      <c r="B520" s="7">
        <v>7.2918</v>
      </c>
      <c r="C520" s="7">
        <v>7.2829</v>
      </c>
      <c r="D520" s="7">
        <v>7.2978</v>
      </c>
      <c r="E520" s="7">
        <v>7.2794</v>
      </c>
      <c r="G520" s="8">
        <v>0.0023</v>
      </c>
    </row>
    <row r="521" spans="1:7">
      <c r="A521" s="6">
        <v>45184</v>
      </c>
      <c r="B521" s="7">
        <v>7.2749</v>
      </c>
      <c r="C521" s="7">
        <v>7.2804</v>
      </c>
      <c r="D521" s="7">
        <v>7.2821</v>
      </c>
      <c r="E521" s="7">
        <v>7.2471</v>
      </c>
      <c r="G521" s="8">
        <v>-0.0004</v>
      </c>
    </row>
    <row r="522" spans="1:7">
      <c r="A522" s="6">
        <v>45183</v>
      </c>
      <c r="B522" s="7">
        <v>7.278</v>
      </c>
      <c r="C522" s="7">
        <v>7.2732</v>
      </c>
      <c r="D522" s="7">
        <v>7.2805</v>
      </c>
      <c r="E522" s="7">
        <v>7.2703</v>
      </c>
      <c r="G522" s="8">
        <v>0.001</v>
      </c>
    </row>
    <row r="523" spans="1:7">
      <c r="A523" s="6">
        <v>45182</v>
      </c>
      <c r="B523" s="7">
        <v>7.2709</v>
      </c>
      <c r="C523" s="7">
        <v>7.2843</v>
      </c>
      <c r="D523" s="7">
        <v>7.2906</v>
      </c>
      <c r="E523" s="7">
        <v>7.2693</v>
      </c>
      <c r="G523" s="8">
        <v>-0.0029</v>
      </c>
    </row>
    <row r="524" spans="1:7">
      <c r="A524" s="6">
        <v>45181</v>
      </c>
      <c r="B524" s="7">
        <v>7.2918</v>
      </c>
      <c r="C524" s="7">
        <v>7.2872</v>
      </c>
      <c r="D524" s="7">
        <v>7.296</v>
      </c>
      <c r="E524" s="7">
        <v>7.2818</v>
      </c>
      <c r="G524" s="8">
        <v>0.0003</v>
      </c>
    </row>
    <row r="525" spans="1:7">
      <c r="A525" s="6">
        <v>45180</v>
      </c>
      <c r="B525" s="7">
        <v>7.2894</v>
      </c>
      <c r="C525" s="7">
        <v>7.3236</v>
      </c>
      <c r="D525" s="7">
        <v>7.3254</v>
      </c>
      <c r="E525" s="7">
        <v>7.2709</v>
      </c>
      <c r="G525" s="8">
        <v>-0.0074</v>
      </c>
    </row>
    <row r="526" spans="1:7">
      <c r="A526" s="6">
        <v>45177</v>
      </c>
      <c r="B526" s="7">
        <v>7.344</v>
      </c>
      <c r="C526" s="7">
        <v>7.3424</v>
      </c>
      <c r="D526" s="7">
        <v>7.3504</v>
      </c>
      <c r="E526" s="7">
        <v>7.3344</v>
      </c>
      <c r="G526" s="8">
        <v>0.002</v>
      </c>
    </row>
    <row r="527" spans="1:7">
      <c r="A527" s="6">
        <v>45176</v>
      </c>
      <c r="B527" s="7">
        <v>7.3293</v>
      </c>
      <c r="C527" s="7">
        <v>7.3165</v>
      </c>
      <c r="D527" s="7">
        <v>7.3299</v>
      </c>
      <c r="E527" s="7">
        <v>7.3165</v>
      </c>
      <c r="G527" s="8">
        <v>0.0017</v>
      </c>
    </row>
    <row r="528" spans="1:7">
      <c r="A528" s="6">
        <v>45175</v>
      </c>
      <c r="B528" s="7">
        <v>7.3172</v>
      </c>
      <c r="C528" s="7">
        <v>7.3208</v>
      </c>
      <c r="D528" s="7">
        <v>7.322</v>
      </c>
      <c r="E528" s="7">
        <v>7.3032</v>
      </c>
      <c r="G528" s="8">
        <v>0.0017</v>
      </c>
    </row>
    <row r="529" spans="1:7">
      <c r="A529" s="6">
        <v>45174</v>
      </c>
      <c r="B529" s="7">
        <v>7.3046</v>
      </c>
      <c r="C529" s="7">
        <v>7.2778</v>
      </c>
      <c r="D529" s="7">
        <v>7.308</v>
      </c>
      <c r="E529" s="7">
        <v>7.2778</v>
      </c>
      <c r="G529" s="8">
        <v>0.0043</v>
      </c>
    </row>
    <row r="530" spans="1:7">
      <c r="A530" s="6">
        <v>45173</v>
      </c>
      <c r="B530" s="7">
        <v>7.2732</v>
      </c>
      <c r="C530" s="7">
        <v>7.2617</v>
      </c>
      <c r="D530" s="7">
        <v>7.2743</v>
      </c>
      <c r="E530" s="7">
        <v>7.2574</v>
      </c>
      <c r="G530" s="8">
        <v>0.0016</v>
      </c>
    </row>
    <row r="531" spans="1:7">
      <c r="A531" s="6">
        <v>45170</v>
      </c>
      <c r="B531" s="7">
        <v>7.2616</v>
      </c>
      <c r="C531" s="7">
        <v>7.2449</v>
      </c>
      <c r="D531" s="7">
        <v>7.2663</v>
      </c>
      <c r="E531" s="7">
        <v>7.2448</v>
      </c>
      <c r="G531" s="8">
        <v>0.0004</v>
      </c>
    </row>
    <row r="532" spans="1:7">
      <c r="A532" s="6">
        <v>45169</v>
      </c>
      <c r="B532" s="7">
        <v>7.2589</v>
      </c>
      <c r="C532" s="7">
        <v>7.2837</v>
      </c>
      <c r="D532" s="7">
        <v>7.2919</v>
      </c>
      <c r="E532" s="7">
        <v>7.257</v>
      </c>
      <c r="G532" s="8">
        <v>-0.0036</v>
      </c>
    </row>
    <row r="533" spans="1:7">
      <c r="A533" s="6">
        <v>45168</v>
      </c>
      <c r="B533" s="7">
        <v>7.2852</v>
      </c>
      <c r="C533" s="7">
        <v>7.2819</v>
      </c>
      <c r="D533" s="7">
        <v>7.294</v>
      </c>
      <c r="E533" s="7">
        <v>7.281</v>
      </c>
      <c r="G533" s="8">
        <v>0.0006</v>
      </c>
    </row>
    <row r="534" spans="1:7">
      <c r="A534" s="6">
        <v>45167</v>
      </c>
      <c r="B534" s="7">
        <v>7.2807</v>
      </c>
      <c r="C534" s="7">
        <v>7.2875</v>
      </c>
      <c r="D534" s="7">
        <v>7.2955</v>
      </c>
      <c r="E534" s="7">
        <v>7.2804</v>
      </c>
      <c r="G534" s="8">
        <v>-0.0013</v>
      </c>
    </row>
    <row r="535" spans="1:7">
      <c r="A535" s="6">
        <v>45166</v>
      </c>
      <c r="B535" s="7">
        <v>7.2905</v>
      </c>
      <c r="C535" s="7">
        <v>7.2687</v>
      </c>
      <c r="D535" s="7">
        <v>7.2957</v>
      </c>
      <c r="E535" s="7">
        <v>7.2687</v>
      </c>
      <c r="G535" s="8">
        <v>0.0001</v>
      </c>
    </row>
    <row r="536" spans="1:7">
      <c r="A536" s="6">
        <v>45163</v>
      </c>
      <c r="B536" s="7">
        <v>7.29</v>
      </c>
      <c r="C536" s="7">
        <v>7.2786</v>
      </c>
      <c r="D536" s="7">
        <v>7.2918</v>
      </c>
      <c r="E536" s="7">
        <v>7.2786</v>
      </c>
      <c r="G536" s="8">
        <v>0.0015</v>
      </c>
    </row>
    <row r="537" spans="1:7">
      <c r="A537" s="6">
        <v>45162</v>
      </c>
      <c r="B537" s="7">
        <v>7.2792</v>
      </c>
      <c r="C537" s="7">
        <v>7.2771</v>
      </c>
      <c r="D537" s="7">
        <v>7.2861</v>
      </c>
      <c r="E537" s="7">
        <v>7.2689</v>
      </c>
      <c r="G537" s="8">
        <v>0.0001</v>
      </c>
    </row>
    <row r="538" spans="1:7">
      <c r="A538" s="6">
        <v>45161</v>
      </c>
      <c r="B538" s="7">
        <v>7.2786</v>
      </c>
      <c r="C538" s="7">
        <v>7.2862</v>
      </c>
      <c r="D538" s="7">
        <v>7.294</v>
      </c>
      <c r="E538" s="7">
        <v>7.276</v>
      </c>
      <c r="G538" s="8">
        <v>-0.0022</v>
      </c>
    </row>
    <row r="539" spans="1:7">
      <c r="A539" s="6">
        <v>45160</v>
      </c>
      <c r="B539" s="7">
        <v>7.2943</v>
      </c>
      <c r="C539" s="7">
        <v>7.2675</v>
      </c>
      <c r="D539" s="7">
        <v>7.298</v>
      </c>
      <c r="E539" s="7">
        <v>7.2675</v>
      </c>
      <c r="G539" s="8">
        <v>0.0009</v>
      </c>
    </row>
    <row r="540" spans="1:7">
      <c r="A540" s="6">
        <v>45159</v>
      </c>
      <c r="B540" s="7">
        <v>7.2878</v>
      </c>
      <c r="C540" s="7">
        <v>7.2968</v>
      </c>
      <c r="D540" s="7">
        <v>7.3155</v>
      </c>
      <c r="E540" s="7">
        <v>7.2768</v>
      </c>
      <c r="G540" s="8">
        <v>0.0008</v>
      </c>
    </row>
    <row r="541" spans="1:7">
      <c r="A541" s="6">
        <v>45156</v>
      </c>
      <c r="B541" s="7">
        <v>7.2817</v>
      </c>
      <c r="C541" s="7">
        <v>7.2658</v>
      </c>
      <c r="D541" s="7">
        <v>7.2959</v>
      </c>
      <c r="E541" s="7">
        <v>7.2658</v>
      </c>
      <c r="G541" s="8">
        <v>-0.0013</v>
      </c>
    </row>
    <row r="542" spans="1:7">
      <c r="A542" s="6">
        <v>45155</v>
      </c>
      <c r="B542" s="7">
        <v>7.2915</v>
      </c>
      <c r="C542" s="7">
        <v>7.309</v>
      </c>
      <c r="D542" s="7">
        <v>7.3174</v>
      </c>
      <c r="E542" s="7">
        <v>7.2791</v>
      </c>
      <c r="G542" s="8">
        <v>-0.001</v>
      </c>
    </row>
    <row r="543" spans="1:7">
      <c r="A543" s="6">
        <v>45154</v>
      </c>
      <c r="B543" s="7">
        <v>7.2986</v>
      </c>
      <c r="C543" s="7">
        <v>7.2906</v>
      </c>
      <c r="D543" s="7">
        <v>7.299</v>
      </c>
      <c r="E543" s="7">
        <v>7.2885</v>
      </c>
      <c r="G543" s="8">
        <v>0.0021</v>
      </c>
    </row>
    <row r="544" spans="1:7">
      <c r="A544" s="6">
        <v>45153</v>
      </c>
      <c r="B544" s="7">
        <v>7.2831</v>
      </c>
      <c r="C544" s="7">
        <v>7.2806</v>
      </c>
      <c r="D544" s="7">
        <v>7.2896</v>
      </c>
      <c r="E544" s="7">
        <v>7.2688</v>
      </c>
      <c r="G544" s="8">
        <v>0.0032</v>
      </c>
    </row>
    <row r="545" spans="1:7">
      <c r="A545" s="6">
        <v>45152</v>
      </c>
      <c r="B545" s="7">
        <v>7.2598</v>
      </c>
      <c r="C545" s="7">
        <v>7.2524</v>
      </c>
      <c r="D545" s="7">
        <v>7.2653</v>
      </c>
      <c r="E545" s="7">
        <v>7.2484</v>
      </c>
      <c r="G545" s="8">
        <v>0.003</v>
      </c>
    </row>
    <row r="546" spans="1:7">
      <c r="A546" s="6">
        <v>45149</v>
      </c>
      <c r="B546" s="7">
        <v>7.2383</v>
      </c>
      <c r="C546" s="7">
        <v>7.2223</v>
      </c>
      <c r="D546" s="7">
        <v>7.2392</v>
      </c>
      <c r="E546" s="7">
        <v>7.2223</v>
      </c>
      <c r="G546" s="8">
        <v>0.0028</v>
      </c>
    </row>
    <row r="547" spans="1:7">
      <c r="A547" s="6">
        <v>45148</v>
      </c>
      <c r="B547" s="7">
        <v>7.218</v>
      </c>
      <c r="C547" s="7">
        <v>7.2049</v>
      </c>
      <c r="D547" s="7">
        <v>7.2186</v>
      </c>
      <c r="E547" s="7">
        <v>7.2037</v>
      </c>
      <c r="G547" s="8">
        <v>0.0011</v>
      </c>
    </row>
    <row r="548" spans="1:7">
      <c r="A548" s="6">
        <v>45147</v>
      </c>
      <c r="B548" s="7">
        <v>7.21</v>
      </c>
      <c r="C548" s="7">
        <v>7.2133</v>
      </c>
      <c r="D548" s="7">
        <v>7.2147</v>
      </c>
      <c r="E548" s="7">
        <v>7.1952</v>
      </c>
      <c r="G548" s="8">
        <v>-0.0011</v>
      </c>
    </row>
    <row r="549" spans="1:7">
      <c r="A549" s="6">
        <v>45146</v>
      </c>
      <c r="B549" s="7">
        <v>7.2177</v>
      </c>
      <c r="C549" s="7">
        <v>7.2034</v>
      </c>
      <c r="D549" s="7">
        <v>7.2217</v>
      </c>
      <c r="E549" s="7">
        <v>7.203</v>
      </c>
      <c r="G549" s="8">
        <v>0.0034</v>
      </c>
    </row>
    <row r="550" spans="1:7">
      <c r="A550" s="6">
        <v>45145</v>
      </c>
      <c r="B550" s="7">
        <v>7.1931</v>
      </c>
      <c r="C550" s="7">
        <v>7.1894</v>
      </c>
      <c r="D550" s="7">
        <v>7.1945</v>
      </c>
      <c r="E550" s="7">
        <v>7.1835</v>
      </c>
      <c r="G550" s="8">
        <v>0.0031</v>
      </c>
    </row>
    <row r="551" spans="1:7">
      <c r="A551" s="6">
        <v>45142</v>
      </c>
      <c r="B551" s="7">
        <v>7.1708</v>
      </c>
      <c r="C551" s="7">
        <v>7.1533</v>
      </c>
      <c r="D551" s="7">
        <v>7.1864</v>
      </c>
      <c r="E551" s="7">
        <v>7.1533</v>
      </c>
      <c r="G551" s="8">
        <v>0.0006</v>
      </c>
    </row>
    <row r="552" spans="1:7">
      <c r="A552" s="6">
        <v>45141</v>
      </c>
      <c r="B552" s="7">
        <v>7.1663</v>
      </c>
      <c r="C552" s="7">
        <v>7.1855</v>
      </c>
      <c r="D552" s="7">
        <v>7.1957</v>
      </c>
      <c r="E552" s="7">
        <v>7.1657</v>
      </c>
      <c r="G552" s="8">
        <v>-0.0035</v>
      </c>
    </row>
    <row r="553" spans="1:7">
      <c r="A553" s="6">
        <v>45140</v>
      </c>
      <c r="B553" s="7">
        <v>7.1916</v>
      </c>
      <c r="C553" s="7">
        <v>7.1676</v>
      </c>
      <c r="D553" s="7">
        <v>7.1954</v>
      </c>
      <c r="E553" s="7">
        <v>7.1653</v>
      </c>
      <c r="G553" s="8">
        <v>0.0019</v>
      </c>
    </row>
    <row r="554" spans="1:7">
      <c r="A554" s="6">
        <v>45139</v>
      </c>
      <c r="B554" s="7">
        <v>7.1778</v>
      </c>
      <c r="C554" s="7">
        <v>7.1593</v>
      </c>
      <c r="D554" s="7">
        <v>7.179</v>
      </c>
      <c r="E554" s="7">
        <v>7.1593</v>
      </c>
      <c r="G554" s="8">
        <v>0.0049</v>
      </c>
    </row>
    <row r="555" spans="1:7">
      <c r="A555" s="6">
        <v>45138</v>
      </c>
      <c r="B555" s="7">
        <v>7.1428</v>
      </c>
      <c r="C555" s="7">
        <v>7.1438</v>
      </c>
      <c r="D555" s="7">
        <v>7.153</v>
      </c>
      <c r="E555" s="7">
        <v>7.1349</v>
      </c>
      <c r="G555" s="8">
        <v>-0.0009</v>
      </c>
    </row>
    <row r="556" spans="1:7">
      <c r="A556" s="6">
        <v>45135</v>
      </c>
      <c r="B556" s="7">
        <v>7.1494</v>
      </c>
      <c r="C556" s="7">
        <v>7.164</v>
      </c>
      <c r="D556" s="7">
        <v>7.1744</v>
      </c>
      <c r="E556" s="7">
        <v>7.1492</v>
      </c>
      <c r="G556" s="8">
        <v>-0.0035</v>
      </c>
    </row>
    <row r="557" spans="1:7">
      <c r="A557" s="6">
        <v>45134</v>
      </c>
      <c r="B557" s="7">
        <v>7.1742</v>
      </c>
      <c r="C557" s="7">
        <v>7.1354</v>
      </c>
      <c r="D557" s="7">
        <v>7.1759</v>
      </c>
      <c r="E557" s="7">
        <v>7.1201</v>
      </c>
      <c r="G557" s="8">
        <v>0.0032</v>
      </c>
    </row>
    <row r="558" spans="1:7">
      <c r="A558" s="6">
        <v>45133</v>
      </c>
      <c r="B558" s="7">
        <v>7.151</v>
      </c>
      <c r="C558" s="7">
        <v>7.1537</v>
      </c>
      <c r="D558" s="7">
        <v>7.1623</v>
      </c>
      <c r="E558" s="7">
        <v>7.144</v>
      </c>
      <c r="G558" s="8">
        <v>0.002</v>
      </c>
    </row>
    <row r="559" spans="1:7">
      <c r="A559" s="6">
        <v>45132</v>
      </c>
      <c r="B559" s="7">
        <v>7.1364</v>
      </c>
      <c r="C559" s="7">
        <v>7.1529</v>
      </c>
      <c r="D559" s="7">
        <v>7.1637</v>
      </c>
      <c r="E559" s="7">
        <v>7.1321</v>
      </c>
      <c r="G559" s="8">
        <v>-0.007</v>
      </c>
    </row>
    <row r="560" spans="1:7">
      <c r="A560" s="6">
        <v>45131</v>
      </c>
      <c r="B560" s="7">
        <v>7.1865</v>
      </c>
      <c r="C560" s="7">
        <v>7.186</v>
      </c>
      <c r="D560" s="7">
        <v>7.2072</v>
      </c>
      <c r="E560" s="7">
        <v>7.1821</v>
      </c>
      <c r="G560" s="8">
        <v>-0.0002</v>
      </c>
    </row>
    <row r="561" spans="1:7">
      <c r="A561" s="6">
        <v>45128</v>
      </c>
      <c r="B561" s="7">
        <v>7.1878</v>
      </c>
      <c r="C561" s="7">
        <v>7.1663</v>
      </c>
      <c r="D561" s="7">
        <v>7.1885</v>
      </c>
      <c r="E561" s="7">
        <v>7.1617</v>
      </c>
      <c r="G561" s="8">
        <v>0.0014</v>
      </c>
    </row>
    <row r="562" spans="1:7">
      <c r="A562" s="6">
        <v>45127</v>
      </c>
      <c r="B562" s="7">
        <v>7.1776</v>
      </c>
      <c r="C562" s="7">
        <v>7.1762</v>
      </c>
      <c r="D562" s="7">
        <v>7.1888</v>
      </c>
      <c r="E562" s="7">
        <v>7.1655</v>
      </c>
      <c r="G562" s="8">
        <v>-0.0068</v>
      </c>
    </row>
    <row r="563" spans="1:7">
      <c r="A563" s="6">
        <v>45126</v>
      </c>
      <c r="B563" s="7">
        <v>7.227</v>
      </c>
      <c r="C563" s="7">
        <v>7.1953</v>
      </c>
      <c r="D563" s="7">
        <v>7.227</v>
      </c>
      <c r="E563" s="7">
        <v>7.1942</v>
      </c>
      <c r="G563" s="8">
        <v>0.0065</v>
      </c>
    </row>
    <row r="564" spans="1:7">
      <c r="A564" s="6">
        <v>45125</v>
      </c>
      <c r="B564" s="7">
        <v>7.1802</v>
      </c>
      <c r="C564" s="7">
        <v>7.1611</v>
      </c>
      <c r="D564" s="7">
        <v>7.1826</v>
      </c>
      <c r="E564" s="7">
        <v>7.1611</v>
      </c>
      <c r="G564" s="8">
        <v>0.0011</v>
      </c>
    </row>
    <row r="565" spans="1:7">
      <c r="A565" s="6">
        <v>45124</v>
      </c>
      <c r="B565" s="7">
        <v>7.1721</v>
      </c>
      <c r="C565" s="7">
        <v>7.1539</v>
      </c>
      <c r="D565" s="7">
        <v>7.1779</v>
      </c>
      <c r="E565" s="7">
        <v>7.1539</v>
      </c>
      <c r="G565" s="8">
        <v>0.0043</v>
      </c>
    </row>
    <row r="566" spans="1:7">
      <c r="A566" s="6">
        <v>45121</v>
      </c>
      <c r="B566" s="7">
        <v>7.1413</v>
      </c>
      <c r="C566" s="7">
        <v>7.1377</v>
      </c>
      <c r="D566" s="7">
        <v>7.1466</v>
      </c>
      <c r="E566" s="7">
        <v>7.1195</v>
      </c>
      <c r="G566" s="8">
        <v>-0.0014</v>
      </c>
    </row>
    <row r="567" spans="1:7">
      <c r="A567" s="6">
        <v>45120</v>
      </c>
      <c r="B567" s="7">
        <v>7.151</v>
      </c>
      <c r="C567" s="7">
        <v>7.1679</v>
      </c>
      <c r="D567" s="7">
        <v>7.1759</v>
      </c>
      <c r="E567" s="7">
        <v>7.1503</v>
      </c>
      <c r="G567" s="8">
        <v>-0.0021</v>
      </c>
    </row>
    <row r="568" spans="1:7">
      <c r="A568" s="6">
        <v>45119</v>
      </c>
      <c r="B568" s="7">
        <v>7.1663</v>
      </c>
      <c r="C568" s="7">
        <v>7.1934</v>
      </c>
      <c r="D568" s="7">
        <v>7.1946</v>
      </c>
      <c r="E568" s="7">
        <v>7.1643</v>
      </c>
      <c r="G568" s="8">
        <v>-0.0061</v>
      </c>
    </row>
    <row r="569" spans="1:7">
      <c r="A569" s="6">
        <v>45118</v>
      </c>
      <c r="B569" s="7">
        <v>7.2102</v>
      </c>
      <c r="C569" s="7">
        <v>7.2209</v>
      </c>
      <c r="D569" s="7">
        <v>7.2308</v>
      </c>
      <c r="E569" s="7">
        <v>7.1947</v>
      </c>
      <c r="G569" s="8">
        <v>-0.003</v>
      </c>
    </row>
    <row r="570" spans="1:7">
      <c r="A570" s="6">
        <v>45117</v>
      </c>
      <c r="B570" s="7">
        <v>7.232</v>
      </c>
      <c r="C570" s="7">
        <v>7.2197</v>
      </c>
      <c r="D570" s="7">
        <v>7.2414</v>
      </c>
      <c r="E570" s="7">
        <v>7.2193</v>
      </c>
      <c r="G570" s="8">
        <v>0.0015</v>
      </c>
    </row>
    <row r="571" spans="1:7">
      <c r="A571" s="6">
        <v>45114</v>
      </c>
      <c r="B571" s="7">
        <v>7.2212</v>
      </c>
      <c r="C571" s="7">
        <v>7.2368</v>
      </c>
      <c r="D571" s="7">
        <v>7.2472</v>
      </c>
      <c r="E571" s="7">
        <v>7.2197</v>
      </c>
      <c r="G571" s="8">
        <v>-0.004</v>
      </c>
    </row>
    <row r="572" spans="1:7">
      <c r="A572" s="6">
        <v>45113</v>
      </c>
      <c r="B572" s="7">
        <v>7.2505</v>
      </c>
      <c r="C572" s="7">
        <v>7.2491</v>
      </c>
      <c r="D572" s="7">
        <v>7.2548</v>
      </c>
      <c r="E572" s="7">
        <v>7.2319</v>
      </c>
      <c r="G572" s="8">
        <v>0.0004</v>
      </c>
    </row>
    <row r="573" spans="1:7">
      <c r="A573" s="6">
        <v>45112</v>
      </c>
      <c r="B573" s="7">
        <v>7.2475</v>
      </c>
      <c r="C573" s="7">
        <v>7.2124</v>
      </c>
      <c r="D573" s="7">
        <v>7.2507</v>
      </c>
      <c r="E573" s="7">
        <v>7.2124</v>
      </c>
      <c r="G573" s="8">
        <v>0.0046</v>
      </c>
    </row>
    <row r="574" spans="1:7">
      <c r="A574" s="6">
        <v>45111</v>
      </c>
      <c r="B574" s="7">
        <v>7.2145</v>
      </c>
      <c r="C574" s="7">
        <v>7.2379</v>
      </c>
      <c r="D574" s="7">
        <v>7.2434</v>
      </c>
      <c r="E574" s="7">
        <v>7.2109</v>
      </c>
      <c r="G574" s="8">
        <v>-0.0036</v>
      </c>
    </row>
    <row r="575" spans="1:7">
      <c r="A575" s="6">
        <v>45110</v>
      </c>
      <c r="B575" s="7">
        <v>7.2408</v>
      </c>
      <c r="C575" s="7">
        <v>7.232</v>
      </c>
      <c r="D575" s="7">
        <v>7.2558</v>
      </c>
      <c r="E575" s="7">
        <v>7.232</v>
      </c>
      <c r="G575" s="8">
        <v>-0.0016</v>
      </c>
    </row>
    <row r="576" spans="1:7">
      <c r="A576" s="6">
        <v>45107</v>
      </c>
      <c r="B576" s="7">
        <v>7.2523</v>
      </c>
      <c r="C576" s="7">
        <v>7.259</v>
      </c>
      <c r="D576" s="7">
        <v>7.269</v>
      </c>
      <c r="E576" s="7">
        <v>7.2427</v>
      </c>
      <c r="G576" s="8">
        <v>0</v>
      </c>
    </row>
    <row r="577" spans="1:7">
      <c r="A577" s="6">
        <v>45106</v>
      </c>
      <c r="B577" s="7">
        <v>7.2525</v>
      </c>
      <c r="C577" s="7">
        <v>7.2307</v>
      </c>
      <c r="D577" s="7">
        <v>7.2538</v>
      </c>
      <c r="E577" s="7">
        <v>7.228</v>
      </c>
      <c r="G577" s="8">
        <v>0.0011</v>
      </c>
    </row>
    <row r="578" spans="1:7">
      <c r="A578" s="6">
        <v>45105</v>
      </c>
      <c r="B578" s="7">
        <v>7.2445</v>
      </c>
      <c r="C578" s="7">
        <v>7.2256</v>
      </c>
      <c r="D578" s="7">
        <v>7.2548</v>
      </c>
      <c r="E578" s="7">
        <v>7.2218</v>
      </c>
      <c r="G578" s="8">
        <v>0.0034</v>
      </c>
    </row>
    <row r="579" spans="1:7">
      <c r="A579" s="6">
        <v>45104</v>
      </c>
      <c r="B579" s="7">
        <v>7.2202</v>
      </c>
      <c r="C579" s="7">
        <v>7.2244</v>
      </c>
      <c r="D579" s="7">
        <v>7.2259</v>
      </c>
      <c r="E579" s="7">
        <v>7.206</v>
      </c>
      <c r="G579" s="8">
        <v>-0.0024</v>
      </c>
    </row>
    <row r="580" spans="1:7">
      <c r="A580" s="6">
        <v>45103</v>
      </c>
      <c r="B580" s="7">
        <v>7.2376</v>
      </c>
      <c r="C580" s="7">
        <v>7.2054</v>
      </c>
      <c r="D580" s="7">
        <v>7.239</v>
      </c>
      <c r="E580" s="7">
        <v>7.2054</v>
      </c>
      <c r="G580" s="8">
        <v>0.0081</v>
      </c>
    </row>
    <row r="581" spans="1:7">
      <c r="A581" s="6">
        <v>45100</v>
      </c>
      <c r="B581" s="7">
        <v>7.1795</v>
      </c>
      <c r="C581" s="7">
        <v>7.1795</v>
      </c>
      <c r="D581" s="7">
        <v>7.1795</v>
      </c>
      <c r="E581" s="7">
        <v>7.1795</v>
      </c>
      <c r="G581" s="8">
        <v>0</v>
      </c>
    </row>
    <row r="582" spans="1:7">
      <c r="A582" s="6">
        <v>45099</v>
      </c>
      <c r="B582" s="7">
        <v>7.1795</v>
      </c>
      <c r="C582" s="7">
        <v>7.1795</v>
      </c>
      <c r="D582" s="7">
        <v>7.1795</v>
      </c>
      <c r="E582" s="7">
        <v>7.1795</v>
      </c>
      <c r="G582" s="8">
        <v>0</v>
      </c>
    </row>
    <row r="583" spans="1:7">
      <c r="A583" s="6">
        <v>45098</v>
      </c>
      <c r="B583" s="7">
        <v>7.1795</v>
      </c>
      <c r="C583" s="7">
        <v>7.1873</v>
      </c>
      <c r="D583" s="7">
        <v>7.1981</v>
      </c>
      <c r="E583" s="7">
        <v>7.1785</v>
      </c>
      <c r="G583" s="8">
        <v>-0.0003</v>
      </c>
    </row>
    <row r="584" spans="1:7">
      <c r="A584" s="6">
        <v>45097</v>
      </c>
      <c r="B584" s="7">
        <v>7.1815</v>
      </c>
      <c r="C584" s="7">
        <v>7.1706</v>
      </c>
      <c r="D584" s="7">
        <v>7.1833</v>
      </c>
      <c r="E584" s="7">
        <v>7.1665</v>
      </c>
      <c r="G584" s="8">
        <v>0.0028</v>
      </c>
    </row>
    <row r="585" spans="1:7">
      <c r="A585" s="6">
        <v>45096</v>
      </c>
      <c r="B585" s="7">
        <v>7.1615</v>
      </c>
      <c r="C585" s="7">
        <v>7.1375</v>
      </c>
      <c r="D585" s="7">
        <v>7.1628</v>
      </c>
      <c r="E585" s="7">
        <v>7.1375</v>
      </c>
      <c r="G585" s="8">
        <v>0.0049</v>
      </c>
    </row>
    <row r="586" spans="1:7">
      <c r="A586" s="6">
        <v>45093</v>
      </c>
      <c r="B586" s="7">
        <v>7.1266</v>
      </c>
      <c r="C586" s="7">
        <v>7.1308</v>
      </c>
      <c r="D586" s="7">
        <v>7.1412</v>
      </c>
      <c r="E586" s="7">
        <v>7.106</v>
      </c>
      <c r="G586" s="8">
        <v>0.0008</v>
      </c>
    </row>
    <row r="587" spans="1:7">
      <c r="A587" s="6">
        <v>45092</v>
      </c>
      <c r="B587" s="7">
        <v>7.121</v>
      </c>
      <c r="C587" s="7">
        <v>7.1732</v>
      </c>
      <c r="D587" s="7">
        <v>7.1807</v>
      </c>
      <c r="E587" s="7">
        <v>7.12</v>
      </c>
      <c r="G587" s="8">
        <v>-0.006</v>
      </c>
    </row>
    <row r="588" spans="1:7">
      <c r="A588" s="6">
        <v>45091</v>
      </c>
      <c r="B588" s="7">
        <v>7.1638</v>
      </c>
      <c r="C588" s="7">
        <v>7.1637</v>
      </c>
      <c r="D588" s="7">
        <v>7.1696</v>
      </c>
      <c r="E588" s="7">
        <v>7.147</v>
      </c>
      <c r="G588" s="8">
        <v>-0.0006</v>
      </c>
    </row>
    <row r="589" spans="1:7">
      <c r="A589" s="6">
        <v>45090</v>
      </c>
      <c r="B589" s="7">
        <v>7.1681</v>
      </c>
      <c r="C589" s="7">
        <v>7.1586</v>
      </c>
      <c r="D589" s="7">
        <v>7.1684</v>
      </c>
      <c r="E589" s="7">
        <v>7.1427</v>
      </c>
      <c r="G589" s="8">
        <v>0.0031</v>
      </c>
    </row>
    <row r="590" spans="1:7">
      <c r="A590" s="6">
        <v>45089</v>
      </c>
      <c r="B590" s="7">
        <v>7.1456</v>
      </c>
      <c r="C590" s="7">
        <v>7.1358</v>
      </c>
      <c r="D590" s="7">
        <v>7.1485</v>
      </c>
      <c r="E590" s="7">
        <v>7.1358</v>
      </c>
      <c r="G590" s="8">
        <v>0.0024</v>
      </c>
    </row>
    <row r="591" spans="1:7">
      <c r="A591" s="6">
        <v>45086</v>
      </c>
      <c r="B591" s="7">
        <v>7.1286</v>
      </c>
      <c r="C591" s="7">
        <v>7.1176</v>
      </c>
      <c r="D591" s="7">
        <v>7.1323</v>
      </c>
      <c r="E591" s="7">
        <v>7.1111</v>
      </c>
      <c r="G591" s="8">
        <v>0.0023</v>
      </c>
    </row>
    <row r="592" spans="1:7">
      <c r="A592" s="6">
        <v>45085</v>
      </c>
      <c r="B592" s="7">
        <v>7.1122</v>
      </c>
      <c r="C592" s="7">
        <v>7.1371</v>
      </c>
      <c r="D592" s="7">
        <v>7.1421</v>
      </c>
      <c r="E592" s="7">
        <v>7.1116</v>
      </c>
      <c r="G592" s="8">
        <v>-0.0024</v>
      </c>
    </row>
    <row r="593" spans="1:7">
      <c r="A593" s="6">
        <v>45084</v>
      </c>
      <c r="B593" s="7">
        <v>7.1293</v>
      </c>
      <c r="C593" s="7">
        <v>7.1029</v>
      </c>
      <c r="D593" s="7">
        <v>7.131</v>
      </c>
      <c r="E593" s="7">
        <v>7.1029</v>
      </c>
      <c r="G593" s="8">
        <v>0.0014</v>
      </c>
    </row>
    <row r="594" spans="1:7">
      <c r="A594" s="6">
        <v>45083</v>
      </c>
      <c r="B594" s="7">
        <v>7.1195</v>
      </c>
      <c r="C594" s="7">
        <v>7.1157</v>
      </c>
      <c r="D594" s="7">
        <v>7.124</v>
      </c>
      <c r="E594" s="7">
        <v>7.1005</v>
      </c>
      <c r="G594" s="8">
        <v>0.0024</v>
      </c>
    </row>
    <row r="595" spans="1:7">
      <c r="A595" s="6">
        <v>45082</v>
      </c>
      <c r="B595" s="7">
        <v>7.1025</v>
      </c>
      <c r="C595" s="7">
        <v>7.104</v>
      </c>
      <c r="D595" s="7">
        <v>7.1245</v>
      </c>
      <c r="E595" s="7">
        <v>7.0938</v>
      </c>
      <c r="G595" s="8">
        <v>0.0025</v>
      </c>
    </row>
    <row r="596" spans="1:7">
      <c r="A596" s="6">
        <v>45079</v>
      </c>
      <c r="B596" s="7">
        <v>7.0848</v>
      </c>
      <c r="C596" s="7">
        <v>7.102</v>
      </c>
      <c r="D596" s="7">
        <v>7.1031</v>
      </c>
      <c r="E596" s="7">
        <v>7.056</v>
      </c>
      <c r="G596" s="8">
        <v>-0.0014</v>
      </c>
    </row>
    <row r="597" spans="1:7">
      <c r="A597" s="6">
        <v>45078</v>
      </c>
      <c r="B597" s="7">
        <v>7.0945</v>
      </c>
      <c r="C597" s="7">
        <v>7.1043</v>
      </c>
      <c r="D597" s="7">
        <v>7.1244</v>
      </c>
      <c r="E597" s="7">
        <v>7.091</v>
      </c>
      <c r="G597" s="8">
        <v>-0.0024</v>
      </c>
    </row>
    <row r="598" spans="1:7">
      <c r="A598" s="6">
        <v>45077</v>
      </c>
      <c r="B598" s="7">
        <v>7.1117</v>
      </c>
      <c r="C598" s="7">
        <v>7.0908</v>
      </c>
      <c r="D598" s="7">
        <v>7.1128</v>
      </c>
      <c r="E598" s="7">
        <v>7.0908</v>
      </c>
      <c r="G598" s="8">
        <v>0.0045</v>
      </c>
    </row>
    <row r="599" spans="1:7">
      <c r="A599" s="6">
        <v>45076</v>
      </c>
      <c r="B599" s="7">
        <v>7.08</v>
      </c>
      <c r="C599" s="7">
        <v>7.0732</v>
      </c>
      <c r="D599" s="7">
        <v>7.0988</v>
      </c>
      <c r="E599" s="7">
        <v>7.0678</v>
      </c>
      <c r="G599" s="8">
        <v>0.001</v>
      </c>
    </row>
    <row r="600" spans="1:7">
      <c r="A600" s="6">
        <v>45075</v>
      </c>
      <c r="B600" s="7">
        <v>7.073</v>
      </c>
      <c r="C600" s="7">
        <v>7.0619</v>
      </c>
      <c r="D600" s="7">
        <v>7.0795</v>
      </c>
      <c r="E600" s="7">
        <v>7.0619</v>
      </c>
      <c r="G600" s="8">
        <v>0.0012</v>
      </c>
    </row>
    <row r="601" spans="1:7">
      <c r="A601" s="6">
        <v>45072</v>
      </c>
      <c r="B601" s="7">
        <v>7.0647</v>
      </c>
      <c r="C601" s="7">
        <v>7.0789</v>
      </c>
      <c r="D601" s="7">
        <v>7.0798</v>
      </c>
      <c r="E601" s="7">
        <v>7.0454</v>
      </c>
      <c r="G601" s="8">
        <v>-0.002</v>
      </c>
    </row>
    <row r="602" spans="1:7">
      <c r="A602" s="6">
        <v>45071</v>
      </c>
      <c r="B602" s="7">
        <v>7.0789</v>
      </c>
      <c r="C602" s="7">
        <v>7.0668</v>
      </c>
      <c r="D602" s="7">
        <v>7.0793</v>
      </c>
      <c r="E602" s="7">
        <v>7.0608</v>
      </c>
      <c r="G602" s="8">
        <v>0.0025</v>
      </c>
    </row>
    <row r="603" spans="1:7">
      <c r="A603" s="6">
        <v>45070</v>
      </c>
      <c r="B603" s="7">
        <v>7.0609</v>
      </c>
      <c r="C603" s="7">
        <v>7.0673</v>
      </c>
      <c r="D603" s="7">
        <v>7.0676</v>
      </c>
      <c r="E603" s="7">
        <v>7.0376</v>
      </c>
      <c r="G603" s="8">
        <v>0.0006</v>
      </c>
    </row>
    <row r="604" spans="1:7">
      <c r="A604" s="6">
        <v>45069</v>
      </c>
      <c r="B604" s="7">
        <v>7.0566</v>
      </c>
      <c r="C604" s="7">
        <v>7.0394</v>
      </c>
      <c r="D604" s="7">
        <v>7.0573</v>
      </c>
      <c r="E604" s="7">
        <v>7.0394</v>
      </c>
      <c r="G604" s="8">
        <v>0.003</v>
      </c>
    </row>
    <row r="605" spans="1:7">
      <c r="A605" s="6">
        <v>45068</v>
      </c>
      <c r="B605" s="7">
        <v>7.0358</v>
      </c>
      <c r="C605" s="7">
        <v>7.0193</v>
      </c>
      <c r="D605" s="7">
        <v>7.0359</v>
      </c>
      <c r="E605" s="7">
        <v>7.0166</v>
      </c>
      <c r="G605" s="8">
        <v>0.004</v>
      </c>
    </row>
    <row r="606" spans="1:7">
      <c r="A606" s="6">
        <v>45065</v>
      </c>
      <c r="B606" s="7">
        <v>7.0079</v>
      </c>
      <c r="C606" s="7">
        <v>7.0559</v>
      </c>
      <c r="D606" s="7">
        <v>7.0603</v>
      </c>
      <c r="E606" s="7">
        <v>7.0024</v>
      </c>
      <c r="G606" s="8">
        <v>-0.004</v>
      </c>
    </row>
    <row r="607" spans="1:7">
      <c r="A607" s="6">
        <v>45064</v>
      </c>
      <c r="B607" s="7">
        <v>7.0358</v>
      </c>
      <c r="C607" s="7">
        <v>6.9986</v>
      </c>
      <c r="D607" s="7">
        <v>7.0433</v>
      </c>
      <c r="E607" s="7">
        <v>6.9969</v>
      </c>
      <c r="G607" s="8">
        <v>0.0053</v>
      </c>
    </row>
    <row r="608" spans="1:7">
      <c r="A608" s="6">
        <v>45063</v>
      </c>
      <c r="B608" s="7">
        <v>6.9986</v>
      </c>
      <c r="C608" s="7">
        <v>6.9889</v>
      </c>
      <c r="D608" s="7">
        <v>7.0039</v>
      </c>
      <c r="E608" s="7">
        <v>6.9873</v>
      </c>
      <c r="G608" s="8">
        <v>0.0029</v>
      </c>
    </row>
    <row r="609" spans="1:7">
      <c r="A609" s="6">
        <v>45062</v>
      </c>
      <c r="B609" s="7">
        <v>6.9787</v>
      </c>
      <c r="C609" s="7">
        <v>6.9525</v>
      </c>
      <c r="D609" s="7">
        <v>6.9792</v>
      </c>
      <c r="E609" s="7">
        <v>6.9525</v>
      </c>
      <c r="G609" s="8">
        <v>0.0038</v>
      </c>
    </row>
    <row r="610" spans="1:7">
      <c r="A610" s="6">
        <v>45061</v>
      </c>
      <c r="B610" s="7">
        <v>6.9525</v>
      </c>
      <c r="C610" s="7">
        <v>6.9583</v>
      </c>
      <c r="D610" s="7">
        <v>6.9656</v>
      </c>
      <c r="E610" s="7">
        <v>6.9475</v>
      </c>
      <c r="G610" s="8">
        <v>-0.0008</v>
      </c>
    </row>
    <row r="611" spans="1:7">
      <c r="A611" s="6">
        <v>45058</v>
      </c>
      <c r="B611" s="7">
        <v>6.9583</v>
      </c>
      <c r="C611" s="7">
        <v>6.9508</v>
      </c>
      <c r="D611" s="7">
        <v>6.9583</v>
      </c>
      <c r="E611" s="7">
        <v>6.9429</v>
      </c>
      <c r="G611" s="8">
        <v>0.0014</v>
      </c>
    </row>
    <row r="612" spans="1:7">
      <c r="A612" s="6">
        <v>45057</v>
      </c>
      <c r="B612" s="7">
        <v>6.9488</v>
      </c>
      <c r="C612" s="7">
        <v>6.9331</v>
      </c>
      <c r="D612" s="7">
        <v>6.9497</v>
      </c>
      <c r="E612" s="7">
        <v>6.9306</v>
      </c>
      <c r="G612" s="8">
        <v>0.0022</v>
      </c>
    </row>
    <row r="613" spans="1:7">
      <c r="A613" s="6">
        <v>45056</v>
      </c>
      <c r="B613" s="7">
        <v>6.9333</v>
      </c>
      <c r="C613" s="7">
        <v>6.9227</v>
      </c>
      <c r="D613" s="7">
        <v>6.9334</v>
      </c>
      <c r="E613" s="7">
        <v>6.9147</v>
      </c>
      <c r="G613" s="8">
        <v>0.0018</v>
      </c>
    </row>
    <row r="614" spans="1:7">
      <c r="A614" s="6">
        <v>45055</v>
      </c>
      <c r="B614" s="7">
        <v>6.9205</v>
      </c>
      <c r="C614" s="7">
        <v>6.9171</v>
      </c>
      <c r="D614" s="7">
        <v>6.9293</v>
      </c>
      <c r="E614" s="7">
        <v>6.9171</v>
      </c>
      <c r="G614" s="8">
        <v>0.0012</v>
      </c>
    </row>
    <row r="615" spans="1:7">
      <c r="A615" s="6">
        <v>45054</v>
      </c>
      <c r="B615" s="7">
        <v>6.9125</v>
      </c>
      <c r="C615" s="7">
        <v>6.9125</v>
      </c>
      <c r="D615" s="7">
        <v>6.919</v>
      </c>
      <c r="E615" s="7">
        <v>6.9103</v>
      </c>
      <c r="G615" s="8">
        <v>0.0003</v>
      </c>
    </row>
    <row r="616" spans="1:7">
      <c r="A616" s="6">
        <v>45051</v>
      </c>
      <c r="B616" s="7">
        <v>6.9105</v>
      </c>
      <c r="C616" s="7">
        <v>6.9054</v>
      </c>
      <c r="D616" s="7">
        <v>6.9201</v>
      </c>
      <c r="E616" s="7">
        <v>6.9053</v>
      </c>
      <c r="G616" s="8">
        <v>0.0006</v>
      </c>
    </row>
    <row r="617" spans="1:7">
      <c r="A617" s="6">
        <v>45050</v>
      </c>
      <c r="B617" s="7">
        <v>6.9067</v>
      </c>
      <c r="C617" s="7">
        <v>6.895</v>
      </c>
      <c r="D617" s="7">
        <v>6.9203</v>
      </c>
      <c r="E617" s="7">
        <v>6.8924</v>
      </c>
      <c r="G617" s="8">
        <v>-0.0008</v>
      </c>
    </row>
    <row r="618" spans="1:7">
      <c r="A618" s="6">
        <v>45049</v>
      </c>
      <c r="B618" s="7">
        <v>6.9121</v>
      </c>
      <c r="C618" s="7">
        <v>6.9121</v>
      </c>
      <c r="D618" s="7">
        <v>6.9121</v>
      </c>
      <c r="E618" s="7">
        <v>6.9121</v>
      </c>
      <c r="G618" s="8">
        <v>0</v>
      </c>
    </row>
    <row r="619" spans="1:7">
      <c r="A619" s="6">
        <v>45048</v>
      </c>
      <c r="B619" s="7">
        <v>6.9121</v>
      </c>
      <c r="C619" s="7">
        <v>6.9121</v>
      </c>
      <c r="D619" s="7">
        <v>6.9121</v>
      </c>
      <c r="E619" s="7">
        <v>6.9121</v>
      </c>
      <c r="G619" s="8">
        <v>0</v>
      </c>
    </row>
    <row r="620" spans="1:7">
      <c r="A620" s="6">
        <v>45047</v>
      </c>
      <c r="B620" s="7">
        <v>6.9121</v>
      </c>
      <c r="C620" s="7">
        <v>6.9121</v>
      </c>
      <c r="D620" s="7">
        <v>6.9121</v>
      </c>
      <c r="E620" s="7">
        <v>6.9121</v>
      </c>
      <c r="G620" s="8">
        <v>0</v>
      </c>
    </row>
    <row r="621" spans="1:7">
      <c r="A621" s="6">
        <v>45044</v>
      </c>
      <c r="B621" s="7">
        <v>6.9121</v>
      </c>
      <c r="C621" s="7">
        <v>6.916</v>
      </c>
      <c r="D621" s="7">
        <v>6.9287</v>
      </c>
      <c r="E621" s="7">
        <v>6.9113</v>
      </c>
      <c r="G621" s="8">
        <v>-0.0017</v>
      </c>
    </row>
    <row r="622" spans="1:7">
      <c r="A622" s="6">
        <v>45043</v>
      </c>
      <c r="B622" s="7">
        <v>6.9238</v>
      </c>
      <c r="C622" s="7">
        <v>6.9312</v>
      </c>
      <c r="D622" s="7">
        <v>6.9328</v>
      </c>
      <c r="E622" s="7">
        <v>6.911</v>
      </c>
      <c r="G622" s="8">
        <v>-0.0004</v>
      </c>
    </row>
    <row r="623" spans="1:7">
      <c r="A623" s="6">
        <v>45042</v>
      </c>
      <c r="B623" s="7">
        <v>6.9268</v>
      </c>
      <c r="C623" s="7">
        <v>6.929</v>
      </c>
      <c r="D623" s="7">
        <v>6.929</v>
      </c>
      <c r="E623" s="7">
        <v>6.9165</v>
      </c>
      <c r="G623" s="8">
        <v>-0.0009</v>
      </c>
    </row>
    <row r="624" spans="1:7">
      <c r="A624" s="6">
        <v>45041</v>
      </c>
      <c r="B624" s="7">
        <v>6.9327</v>
      </c>
      <c r="C624" s="7">
        <v>6.8915</v>
      </c>
      <c r="D624" s="7">
        <v>6.9337</v>
      </c>
      <c r="E624" s="7">
        <v>6.8915</v>
      </c>
      <c r="G624" s="8">
        <v>0.0053</v>
      </c>
    </row>
    <row r="625" spans="1:7">
      <c r="A625" s="6">
        <v>45040</v>
      </c>
      <c r="B625" s="7">
        <v>6.8964</v>
      </c>
      <c r="C625" s="7">
        <v>6.889</v>
      </c>
      <c r="D625" s="7">
        <v>6.9065</v>
      </c>
      <c r="E625" s="7">
        <v>6.889</v>
      </c>
      <c r="G625" s="8">
        <v>0.0004</v>
      </c>
    </row>
    <row r="626" spans="1:7">
      <c r="A626" s="6">
        <v>45037</v>
      </c>
      <c r="B626" s="7">
        <v>6.8935</v>
      </c>
      <c r="C626" s="7">
        <v>6.8771</v>
      </c>
      <c r="D626" s="7">
        <v>6.8966</v>
      </c>
      <c r="E626" s="7">
        <v>6.8763</v>
      </c>
      <c r="G626" s="8">
        <v>0.003</v>
      </c>
    </row>
    <row r="627" spans="1:7">
      <c r="A627" s="6">
        <v>45036</v>
      </c>
      <c r="B627" s="7">
        <v>6.8732</v>
      </c>
      <c r="C627" s="7">
        <v>6.889</v>
      </c>
      <c r="D627" s="7">
        <v>6.8959</v>
      </c>
      <c r="E627" s="7">
        <v>6.8715</v>
      </c>
      <c r="G627" s="8">
        <v>-0.0018</v>
      </c>
    </row>
    <row r="628" spans="1:7">
      <c r="A628" s="6">
        <v>45035</v>
      </c>
      <c r="B628" s="7">
        <v>6.8858</v>
      </c>
      <c r="C628" s="7">
        <v>6.876</v>
      </c>
      <c r="D628" s="7">
        <v>6.9012</v>
      </c>
      <c r="E628" s="7">
        <v>6.8758</v>
      </c>
      <c r="G628" s="8">
        <v>0.0014</v>
      </c>
    </row>
    <row r="629" spans="1:7">
      <c r="A629" s="6">
        <v>45034</v>
      </c>
      <c r="B629" s="7">
        <v>6.876</v>
      </c>
      <c r="C629" s="7">
        <v>6.8763</v>
      </c>
      <c r="D629" s="7">
        <v>6.8802</v>
      </c>
      <c r="E629" s="7">
        <v>6.8652</v>
      </c>
      <c r="G629" s="8">
        <v>-0.0006</v>
      </c>
    </row>
    <row r="630" spans="1:7">
      <c r="A630" s="6">
        <v>45033</v>
      </c>
      <c r="B630" s="7">
        <v>6.8798</v>
      </c>
      <c r="C630" s="7">
        <v>6.8787</v>
      </c>
      <c r="D630" s="7">
        <v>6.882</v>
      </c>
      <c r="E630" s="7">
        <v>6.8667</v>
      </c>
      <c r="G630" s="8">
        <v>0.0012</v>
      </c>
    </row>
    <row r="631" spans="1:7">
      <c r="A631" s="6">
        <v>45030</v>
      </c>
      <c r="B631" s="7">
        <v>6.8714</v>
      </c>
      <c r="C631" s="7">
        <v>6.8592</v>
      </c>
      <c r="D631" s="7">
        <v>6.8724</v>
      </c>
      <c r="E631" s="7">
        <v>6.8321</v>
      </c>
      <c r="G631" s="8">
        <v>0.0005</v>
      </c>
    </row>
    <row r="632" spans="1:7">
      <c r="A632" s="6">
        <v>45029</v>
      </c>
      <c r="B632" s="7">
        <v>6.8683</v>
      </c>
      <c r="C632" s="7">
        <v>6.8711</v>
      </c>
      <c r="D632" s="7">
        <v>6.879</v>
      </c>
      <c r="E632" s="7">
        <v>6.8676</v>
      </c>
      <c r="G632" s="8">
        <v>-0.0009</v>
      </c>
    </row>
    <row r="633" spans="1:7">
      <c r="A633" s="6">
        <v>45028</v>
      </c>
      <c r="B633" s="7">
        <v>6.8748</v>
      </c>
      <c r="C633" s="7">
        <v>6.8901</v>
      </c>
      <c r="D633" s="7">
        <v>6.8901</v>
      </c>
      <c r="E633" s="7">
        <v>6.8714</v>
      </c>
      <c r="G633" s="8">
        <v>-0.0018</v>
      </c>
    </row>
    <row r="634" spans="1:7">
      <c r="A634" s="6">
        <v>45027</v>
      </c>
      <c r="B634" s="7">
        <v>6.887</v>
      </c>
      <c r="C634" s="7">
        <v>6.8897</v>
      </c>
      <c r="D634" s="7">
        <v>6.8927</v>
      </c>
      <c r="E634" s="7">
        <v>6.8826</v>
      </c>
      <c r="G634" s="8">
        <v>0.0008</v>
      </c>
    </row>
    <row r="635" spans="1:7">
      <c r="A635" s="6">
        <v>45026</v>
      </c>
      <c r="B635" s="7">
        <v>6.8816</v>
      </c>
      <c r="C635" s="7">
        <v>6.881</v>
      </c>
      <c r="D635" s="7">
        <v>6.8823</v>
      </c>
      <c r="E635" s="7">
        <v>6.8719</v>
      </c>
      <c r="G635" s="8">
        <v>0.0016</v>
      </c>
    </row>
    <row r="636" spans="1:7">
      <c r="A636" s="6">
        <v>45023</v>
      </c>
      <c r="B636" s="7">
        <v>6.8703</v>
      </c>
      <c r="C636" s="7">
        <v>6.8799</v>
      </c>
      <c r="D636" s="7">
        <v>6.8799</v>
      </c>
      <c r="E636" s="7">
        <v>6.8663</v>
      </c>
      <c r="G636" s="8">
        <v>-0.0008</v>
      </c>
    </row>
    <row r="637" spans="1:7">
      <c r="A637" s="6">
        <v>45022</v>
      </c>
      <c r="B637" s="7">
        <v>6.8758</v>
      </c>
      <c r="C637" s="7">
        <v>6.883</v>
      </c>
      <c r="D637" s="7">
        <v>6.8843</v>
      </c>
      <c r="E637" s="7">
        <v>6.8722</v>
      </c>
      <c r="G637" s="8">
        <v>-0.0006</v>
      </c>
    </row>
    <row r="638" spans="1:7">
      <c r="A638" s="6">
        <v>45021</v>
      </c>
      <c r="B638" s="7">
        <v>6.8798</v>
      </c>
      <c r="C638" s="7">
        <v>6.8798</v>
      </c>
      <c r="D638" s="7">
        <v>6.8798</v>
      </c>
      <c r="E638" s="7">
        <v>6.8798</v>
      </c>
      <c r="G638" s="8">
        <v>0</v>
      </c>
    </row>
    <row r="639" spans="1:7">
      <c r="A639" s="6">
        <v>45020</v>
      </c>
      <c r="B639" s="7">
        <v>6.8798</v>
      </c>
      <c r="C639" s="7">
        <v>6.8787</v>
      </c>
      <c r="D639" s="7">
        <v>6.8857</v>
      </c>
      <c r="E639" s="7">
        <v>6.8762</v>
      </c>
      <c r="G639" s="8">
        <v>0.0002</v>
      </c>
    </row>
    <row r="640" spans="1:7">
      <c r="A640" s="6">
        <v>45019</v>
      </c>
      <c r="B640" s="7">
        <v>6.8783</v>
      </c>
      <c r="C640" s="7">
        <v>6.8789</v>
      </c>
      <c r="D640" s="7">
        <v>6.8948</v>
      </c>
      <c r="E640" s="7">
        <v>6.8744</v>
      </c>
      <c r="G640" s="8">
        <v>0.0014</v>
      </c>
    </row>
    <row r="641" spans="1:7">
      <c r="A641" s="6">
        <v>45016</v>
      </c>
      <c r="B641" s="7">
        <v>6.869</v>
      </c>
      <c r="C641" s="7">
        <v>6.8495</v>
      </c>
      <c r="D641" s="7">
        <v>6.8768</v>
      </c>
      <c r="E641" s="7">
        <v>6.8445</v>
      </c>
      <c r="G641" s="8">
        <v>-0.0004</v>
      </c>
    </row>
    <row r="642" spans="1:7">
      <c r="A642" s="6">
        <v>45015</v>
      </c>
      <c r="B642" s="7">
        <v>6.8719</v>
      </c>
      <c r="C642" s="7">
        <v>6.893</v>
      </c>
      <c r="D642" s="7">
        <v>6.9079</v>
      </c>
      <c r="E642" s="7">
        <v>6.8714</v>
      </c>
      <c r="G642" s="8">
        <v>-0.0022</v>
      </c>
    </row>
    <row r="643" spans="1:7">
      <c r="A643" s="6">
        <v>45014</v>
      </c>
      <c r="B643" s="7">
        <v>6.8871</v>
      </c>
      <c r="C643" s="7">
        <v>6.878</v>
      </c>
      <c r="D643" s="7">
        <v>6.8934</v>
      </c>
      <c r="E643" s="7">
        <v>6.8756</v>
      </c>
      <c r="G643" s="8">
        <v>0.0018</v>
      </c>
    </row>
    <row r="644" spans="1:7">
      <c r="A644" s="6">
        <v>45013</v>
      </c>
      <c r="B644" s="7">
        <v>6.875</v>
      </c>
      <c r="C644" s="7">
        <v>6.8736</v>
      </c>
      <c r="D644" s="7">
        <v>6.888</v>
      </c>
      <c r="E644" s="7">
        <v>6.8717</v>
      </c>
      <c r="G644" s="8">
        <v>-0.0015</v>
      </c>
    </row>
    <row r="645" spans="1:7">
      <c r="A645" s="6">
        <v>45012</v>
      </c>
      <c r="B645" s="7">
        <v>6.8851</v>
      </c>
      <c r="C645" s="7">
        <v>6.8748</v>
      </c>
      <c r="D645" s="7">
        <v>6.8909</v>
      </c>
      <c r="E645" s="7">
        <v>6.873</v>
      </c>
      <c r="G645" s="8">
        <v>0.0025</v>
      </c>
    </row>
    <row r="646" spans="1:7">
      <c r="A646" s="6">
        <v>45009</v>
      </c>
      <c r="B646" s="7">
        <v>6.868</v>
      </c>
      <c r="C646" s="7">
        <v>6.8377</v>
      </c>
      <c r="D646" s="7">
        <v>6.8809</v>
      </c>
      <c r="E646" s="7">
        <v>6.8373</v>
      </c>
      <c r="G646" s="8">
        <v>0.0071</v>
      </c>
    </row>
    <row r="647" spans="1:7">
      <c r="A647" s="6">
        <v>45008</v>
      </c>
      <c r="B647" s="7">
        <v>6.8199</v>
      </c>
      <c r="C647" s="7">
        <v>6.8553</v>
      </c>
      <c r="D647" s="7">
        <v>6.8576</v>
      </c>
      <c r="E647" s="7">
        <v>6.8166</v>
      </c>
      <c r="G647" s="8">
        <v>-0.0088</v>
      </c>
    </row>
    <row r="648" spans="1:7">
      <c r="A648" s="6">
        <v>45007</v>
      </c>
      <c r="B648" s="7">
        <v>6.8807</v>
      </c>
      <c r="C648" s="7">
        <v>6.8788</v>
      </c>
      <c r="D648" s="7">
        <v>6.8936</v>
      </c>
      <c r="E648" s="7">
        <v>6.8773</v>
      </c>
      <c r="G648" s="8">
        <v>-0.0006</v>
      </c>
    </row>
    <row r="649" spans="1:7">
      <c r="A649" s="6">
        <v>45006</v>
      </c>
      <c r="B649" s="7">
        <v>6.8845</v>
      </c>
      <c r="C649" s="7">
        <v>6.8818</v>
      </c>
      <c r="D649" s="7">
        <v>6.8859</v>
      </c>
      <c r="E649" s="7">
        <v>6.8696</v>
      </c>
      <c r="G649" s="8">
        <v>0.0009</v>
      </c>
    </row>
    <row r="650" spans="1:7">
      <c r="A650" s="6">
        <v>45005</v>
      </c>
      <c r="B650" s="7">
        <v>6.8785</v>
      </c>
      <c r="C650" s="7">
        <v>6.879</v>
      </c>
      <c r="D650" s="7">
        <v>6.9036</v>
      </c>
      <c r="E650" s="7">
        <v>6.8753</v>
      </c>
      <c r="G650" s="8">
        <v>-0.0012</v>
      </c>
    </row>
    <row r="651" spans="1:7">
      <c r="A651" s="6">
        <v>45002</v>
      </c>
      <c r="B651" s="7">
        <v>6.8867</v>
      </c>
      <c r="C651" s="7">
        <v>6.8936</v>
      </c>
      <c r="D651" s="7">
        <v>6.8953</v>
      </c>
      <c r="E651" s="7">
        <v>6.862</v>
      </c>
      <c r="G651" s="8">
        <v>-0.0017</v>
      </c>
    </row>
    <row r="652" spans="1:7">
      <c r="A652" s="6">
        <v>45001</v>
      </c>
      <c r="B652" s="7">
        <v>6.8983</v>
      </c>
      <c r="C652" s="7">
        <v>6.8945</v>
      </c>
      <c r="D652" s="7">
        <v>6.911</v>
      </c>
      <c r="E652" s="7">
        <v>6.8907</v>
      </c>
      <c r="G652" s="8">
        <v>-0.0013</v>
      </c>
    </row>
    <row r="653" spans="1:7">
      <c r="A653" s="6">
        <v>45000</v>
      </c>
      <c r="B653" s="7">
        <v>6.9074</v>
      </c>
      <c r="C653" s="7">
        <v>6.887</v>
      </c>
      <c r="D653" s="7">
        <v>6.9093</v>
      </c>
      <c r="E653" s="7">
        <v>6.8752</v>
      </c>
      <c r="G653" s="8">
        <v>0.0052</v>
      </c>
    </row>
    <row r="654" spans="1:7">
      <c r="A654" s="6">
        <v>44999</v>
      </c>
      <c r="B654" s="7">
        <v>6.8715</v>
      </c>
      <c r="C654" s="7">
        <v>6.8606</v>
      </c>
      <c r="D654" s="7">
        <v>6.886</v>
      </c>
      <c r="E654" s="7">
        <v>6.8549</v>
      </c>
      <c r="G654" s="8">
        <v>0.0037</v>
      </c>
    </row>
    <row r="655" spans="1:7">
      <c r="A655" s="6">
        <v>44998</v>
      </c>
      <c r="B655" s="7">
        <v>6.8465</v>
      </c>
      <c r="C655" s="7">
        <v>6.9185</v>
      </c>
      <c r="D655" s="7">
        <v>6.9185</v>
      </c>
      <c r="E655" s="7">
        <v>6.8372</v>
      </c>
      <c r="G655" s="8">
        <v>-0.0087</v>
      </c>
    </row>
    <row r="656" spans="1:7">
      <c r="A656" s="6">
        <v>44995</v>
      </c>
      <c r="B656" s="7">
        <v>6.9063</v>
      </c>
      <c r="C656" s="7">
        <v>6.9648</v>
      </c>
      <c r="D656" s="7">
        <v>6.9714</v>
      </c>
      <c r="E656" s="7">
        <v>6.902</v>
      </c>
      <c r="G656" s="8">
        <v>-0.0084</v>
      </c>
    </row>
    <row r="657" spans="1:7">
      <c r="A657" s="6">
        <v>44994</v>
      </c>
      <c r="B657" s="7">
        <v>6.9648</v>
      </c>
      <c r="C657" s="7">
        <v>6.9633</v>
      </c>
      <c r="D657" s="7">
        <v>6.9742</v>
      </c>
      <c r="E657" s="7">
        <v>6.9566</v>
      </c>
      <c r="G657" s="8">
        <v>0.0019</v>
      </c>
    </row>
    <row r="658" spans="1:7">
      <c r="A658" s="6">
        <v>44993</v>
      </c>
      <c r="B658" s="7">
        <v>6.9516</v>
      </c>
      <c r="C658" s="7">
        <v>6.9731</v>
      </c>
      <c r="D658" s="7">
        <v>6.9773</v>
      </c>
      <c r="E658" s="7">
        <v>6.9455</v>
      </c>
      <c r="G658" s="8">
        <v>-0.0016</v>
      </c>
    </row>
    <row r="659" spans="1:7">
      <c r="A659" s="6">
        <v>44992</v>
      </c>
      <c r="B659" s="7">
        <v>6.9628</v>
      </c>
      <c r="C659" s="7">
        <v>6.9407</v>
      </c>
      <c r="D659" s="7">
        <v>6.9628</v>
      </c>
      <c r="E659" s="7">
        <v>6.9229</v>
      </c>
      <c r="G659" s="8">
        <v>0.0047</v>
      </c>
    </row>
    <row r="660" spans="1:7">
      <c r="A660" s="6">
        <v>44991</v>
      </c>
      <c r="B660" s="7">
        <v>6.93</v>
      </c>
      <c r="C660" s="7">
        <v>6.9086</v>
      </c>
      <c r="D660" s="7">
        <v>6.9354</v>
      </c>
      <c r="E660" s="7">
        <v>6.9043</v>
      </c>
      <c r="G660" s="8">
        <v>0.0033</v>
      </c>
    </row>
    <row r="661" spans="1:7">
      <c r="A661" s="6">
        <v>44988</v>
      </c>
      <c r="B661" s="7">
        <v>6.9074</v>
      </c>
      <c r="C661" s="7">
        <v>6.897</v>
      </c>
      <c r="D661" s="7">
        <v>6.912</v>
      </c>
      <c r="E661" s="7">
        <v>6.8882</v>
      </c>
      <c r="G661" s="8">
        <v>-0.0011</v>
      </c>
    </row>
    <row r="662" spans="1:7">
      <c r="A662" s="6">
        <v>44987</v>
      </c>
      <c r="B662" s="7">
        <v>6.9153</v>
      </c>
      <c r="C662" s="7">
        <v>6.8808</v>
      </c>
      <c r="D662" s="7">
        <v>6.9187</v>
      </c>
      <c r="E662" s="7">
        <v>6.877</v>
      </c>
      <c r="G662" s="8">
        <v>0.0067</v>
      </c>
    </row>
    <row r="663" spans="1:7">
      <c r="A663" s="6">
        <v>44986</v>
      </c>
      <c r="B663" s="7">
        <v>6.8691</v>
      </c>
      <c r="C663" s="7">
        <v>6.9289</v>
      </c>
      <c r="D663" s="7">
        <v>6.9331</v>
      </c>
      <c r="E663" s="7">
        <v>6.8623</v>
      </c>
      <c r="G663" s="8">
        <v>-0.0093</v>
      </c>
    </row>
    <row r="664" spans="1:7">
      <c r="A664" s="6">
        <v>44985</v>
      </c>
      <c r="B664" s="7">
        <v>6.9334</v>
      </c>
      <c r="C664" s="7">
        <v>6.946</v>
      </c>
      <c r="D664" s="7">
        <v>6.949</v>
      </c>
      <c r="E664" s="7">
        <v>6.9308</v>
      </c>
      <c r="G664" s="8">
        <v>-0.0017</v>
      </c>
    </row>
    <row r="665" spans="1:7">
      <c r="A665" s="6">
        <v>44984</v>
      </c>
      <c r="B665" s="7">
        <v>6.945</v>
      </c>
      <c r="C665" s="7">
        <v>6.9619</v>
      </c>
      <c r="D665" s="7">
        <v>6.9733</v>
      </c>
      <c r="E665" s="7">
        <v>6.9426</v>
      </c>
      <c r="G665" s="8">
        <v>-0.0016</v>
      </c>
    </row>
    <row r="666" spans="1:7">
      <c r="A666" s="6">
        <v>44981</v>
      </c>
      <c r="B666" s="7">
        <v>6.9563</v>
      </c>
      <c r="C666" s="7">
        <v>6.9153</v>
      </c>
      <c r="D666" s="7">
        <v>6.9604</v>
      </c>
      <c r="E666" s="7">
        <v>6.9112</v>
      </c>
      <c r="G666" s="8">
        <v>0.007</v>
      </c>
    </row>
    <row r="667" spans="1:7">
      <c r="A667" s="6">
        <v>44980</v>
      </c>
      <c r="B667" s="7">
        <v>6.9081</v>
      </c>
      <c r="C667" s="7">
        <v>6.896</v>
      </c>
      <c r="D667" s="7">
        <v>6.9081</v>
      </c>
      <c r="E667" s="7">
        <v>6.8796</v>
      </c>
      <c r="G667" s="8">
        <v>0.0023</v>
      </c>
    </row>
    <row r="668" spans="1:7">
      <c r="A668" s="6">
        <v>44979</v>
      </c>
      <c r="B668" s="7">
        <v>6.8923</v>
      </c>
      <c r="C668" s="7">
        <v>6.8848</v>
      </c>
      <c r="D668" s="7">
        <v>6.8997</v>
      </c>
      <c r="E668" s="7">
        <v>6.8848</v>
      </c>
      <c r="G668" s="8">
        <v>0.0027</v>
      </c>
    </row>
    <row r="669" spans="1:7">
      <c r="A669" s="6">
        <v>44978</v>
      </c>
      <c r="B669" s="7">
        <v>6.8735</v>
      </c>
      <c r="C669" s="7">
        <v>6.8656</v>
      </c>
      <c r="D669" s="7">
        <v>6.881</v>
      </c>
      <c r="E669" s="7">
        <v>6.8615</v>
      </c>
      <c r="G669" s="8">
        <v>0.0027</v>
      </c>
    </row>
    <row r="670" spans="1:7">
      <c r="A670" s="6">
        <v>44977</v>
      </c>
      <c r="B670" s="7">
        <v>6.8552</v>
      </c>
      <c r="C670" s="7">
        <v>6.8678</v>
      </c>
      <c r="D670" s="7">
        <v>6.8726</v>
      </c>
      <c r="E670" s="7">
        <v>6.8501</v>
      </c>
      <c r="G670" s="8">
        <v>-0.0018</v>
      </c>
    </row>
    <row r="671" spans="1:7">
      <c r="A671" s="6">
        <v>44974</v>
      </c>
      <c r="B671" s="7">
        <v>6.8676</v>
      </c>
      <c r="C671" s="7">
        <v>6.8679</v>
      </c>
      <c r="D671" s="7">
        <v>6.8851</v>
      </c>
      <c r="E671" s="7">
        <v>6.8675</v>
      </c>
      <c r="G671" s="8">
        <v>0.001</v>
      </c>
    </row>
    <row r="672" spans="1:7">
      <c r="A672" s="6">
        <v>44973</v>
      </c>
      <c r="B672" s="7">
        <v>6.8606</v>
      </c>
      <c r="C672" s="7">
        <v>6.8495</v>
      </c>
      <c r="D672" s="7">
        <v>6.8679</v>
      </c>
      <c r="E672" s="7">
        <v>6.8431</v>
      </c>
      <c r="G672" s="8">
        <v>0.0011</v>
      </c>
    </row>
    <row r="673" spans="1:7">
      <c r="A673" s="6">
        <v>44972</v>
      </c>
      <c r="B673" s="7">
        <v>6.853</v>
      </c>
      <c r="C673" s="7">
        <v>6.8244</v>
      </c>
      <c r="D673" s="7">
        <v>6.8537</v>
      </c>
      <c r="E673" s="7">
        <v>6.8242</v>
      </c>
      <c r="G673" s="8">
        <v>0.0038</v>
      </c>
    </row>
    <row r="674" spans="1:7">
      <c r="A674" s="6">
        <v>44971</v>
      </c>
      <c r="B674" s="7">
        <v>6.8269</v>
      </c>
      <c r="C674" s="7">
        <v>6.8157</v>
      </c>
      <c r="D674" s="7">
        <v>6.8318</v>
      </c>
      <c r="E674" s="7">
        <v>6.809</v>
      </c>
      <c r="G674" s="8">
        <v>0.0006</v>
      </c>
    </row>
    <row r="675" spans="1:7">
      <c r="A675" s="6">
        <v>44970</v>
      </c>
      <c r="B675" s="7">
        <v>6.8231</v>
      </c>
      <c r="C675" s="7">
        <v>6.832</v>
      </c>
      <c r="D675" s="7">
        <v>6.8339</v>
      </c>
      <c r="E675" s="7">
        <v>6.8221</v>
      </c>
      <c r="G675" s="8">
        <v>0.002</v>
      </c>
    </row>
    <row r="676" spans="1:7">
      <c r="A676" s="6">
        <v>44967</v>
      </c>
      <c r="B676" s="7">
        <v>6.8095</v>
      </c>
      <c r="C676" s="7">
        <v>6.7892</v>
      </c>
      <c r="D676" s="7">
        <v>6.8136</v>
      </c>
      <c r="E676" s="7">
        <v>6.7868</v>
      </c>
      <c r="G676" s="8">
        <v>0.0043</v>
      </c>
    </row>
    <row r="677" spans="1:7">
      <c r="A677" s="6">
        <v>44966</v>
      </c>
      <c r="B677" s="7">
        <v>6.7806</v>
      </c>
      <c r="C677" s="7">
        <v>6.7898</v>
      </c>
      <c r="D677" s="7">
        <v>6.7923</v>
      </c>
      <c r="E677" s="7">
        <v>6.773</v>
      </c>
      <c r="G677" s="8">
        <v>-0.0013</v>
      </c>
    </row>
    <row r="678" spans="1:7">
      <c r="A678" s="6">
        <v>44965</v>
      </c>
      <c r="B678" s="7">
        <v>6.7891</v>
      </c>
      <c r="C678" s="7">
        <v>6.7743</v>
      </c>
      <c r="D678" s="7">
        <v>6.7902</v>
      </c>
      <c r="E678" s="7">
        <v>6.7715</v>
      </c>
      <c r="G678" s="8">
        <v>-0.0005</v>
      </c>
    </row>
    <row r="679" spans="1:7">
      <c r="A679" s="6">
        <v>44964</v>
      </c>
      <c r="B679" s="7">
        <v>6.7927</v>
      </c>
      <c r="C679" s="7">
        <v>6.7797</v>
      </c>
      <c r="D679" s="7">
        <v>6.7937</v>
      </c>
      <c r="E679" s="7">
        <v>6.7745</v>
      </c>
      <c r="G679" s="8">
        <v>-0.0004</v>
      </c>
    </row>
    <row r="680" spans="1:7">
      <c r="A680" s="6">
        <v>44963</v>
      </c>
      <c r="B680" s="7">
        <v>6.7954</v>
      </c>
      <c r="C680" s="7">
        <v>6.8035</v>
      </c>
      <c r="D680" s="7">
        <v>6.8035</v>
      </c>
      <c r="E680" s="7">
        <v>6.7708</v>
      </c>
      <c r="G680" s="8">
        <v>0.003</v>
      </c>
    </row>
    <row r="681" spans="1:7">
      <c r="A681" s="6">
        <v>44960</v>
      </c>
      <c r="B681" s="7">
        <v>6.7749</v>
      </c>
      <c r="C681" s="7">
        <v>6.7429</v>
      </c>
      <c r="D681" s="7">
        <v>6.7855</v>
      </c>
      <c r="E681" s="7">
        <v>6.7371</v>
      </c>
      <c r="G681" s="8">
        <v>0.0063</v>
      </c>
    </row>
    <row r="682" spans="1:7">
      <c r="A682" s="6">
        <v>44959</v>
      </c>
      <c r="B682" s="7">
        <v>6.7323</v>
      </c>
      <c r="C682" s="7">
        <v>6.7069</v>
      </c>
      <c r="D682" s="7">
        <v>6.7381</v>
      </c>
      <c r="E682" s="7">
        <v>6.7066</v>
      </c>
      <c r="G682" s="8">
        <v>-0.0014</v>
      </c>
    </row>
    <row r="683" spans="1:7">
      <c r="A683" s="6">
        <v>44958</v>
      </c>
      <c r="B683" s="7">
        <v>6.7419</v>
      </c>
      <c r="C683" s="7">
        <v>6.7453</v>
      </c>
      <c r="D683" s="7">
        <v>6.7528</v>
      </c>
      <c r="E683" s="7">
        <v>6.7393</v>
      </c>
      <c r="G683" s="8">
        <v>-0.0019</v>
      </c>
    </row>
    <row r="684" spans="1:7">
      <c r="A684" s="6">
        <v>44957</v>
      </c>
      <c r="B684" s="7">
        <v>6.7547</v>
      </c>
      <c r="C684" s="7">
        <v>6.7598</v>
      </c>
      <c r="D684" s="7">
        <v>6.7598</v>
      </c>
      <c r="E684" s="7">
        <v>6.7498</v>
      </c>
      <c r="G684" s="8">
        <v>0.0008</v>
      </c>
    </row>
    <row r="685" spans="1:7">
      <c r="A685" s="6">
        <v>44956</v>
      </c>
      <c r="B685" s="7">
        <v>6.7495</v>
      </c>
      <c r="C685" s="7">
        <v>6.7528</v>
      </c>
      <c r="D685" s="7">
        <v>6.7629</v>
      </c>
      <c r="E685" s="7">
        <v>6.7444</v>
      </c>
      <c r="G685" s="8">
        <v>-0.0052</v>
      </c>
    </row>
    <row r="686" spans="1:7">
      <c r="A686" s="6">
        <v>44953</v>
      </c>
      <c r="B686" s="7">
        <v>6.7845</v>
      </c>
      <c r="C686" s="7">
        <v>6.7845</v>
      </c>
      <c r="D686" s="7">
        <v>6.7845</v>
      </c>
      <c r="E686" s="7">
        <v>6.7845</v>
      </c>
      <c r="G686" s="8">
        <v>0</v>
      </c>
    </row>
    <row r="687" spans="1:7">
      <c r="A687" s="6">
        <v>44952</v>
      </c>
      <c r="B687" s="7">
        <v>6.7845</v>
      </c>
      <c r="C687" s="7">
        <v>6.7845</v>
      </c>
      <c r="D687" s="7">
        <v>6.7845</v>
      </c>
      <c r="E687" s="7">
        <v>6.7845</v>
      </c>
      <c r="G687" s="8">
        <v>0</v>
      </c>
    </row>
    <row r="688" spans="1:7">
      <c r="A688" s="6">
        <v>44951</v>
      </c>
      <c r="B688" s="7">
        <v>6.7845</v>
      </c>
      <c r="C688" s="7">
        <v>6.7845</v>
      </c>
      <c r="D688" s="7">
        <v>6.7845</v>
      </c>
      <c r="E688" s="7">
        <v>6.7845</v>
      </c>
      <c r="G688" s="8">
        <v>0</v>
      </c>
    </row>
    <row r="689" spans="1:7">
      <c r="A689" s="6">
        <v>44950</v>
      </c>
      <c r="B689" s="7">
        <v>6.7845</v>
      </c>
      <c r="C689" s="7">
        <v>6.7845</v>
      </c>
      <c r="D689" s="7">
        <v>6.7845</v>
      </c>
      <c r="E689" s="7">
        <v>6.7845</v>
      </c>
      <c r="G689" s="8">
        <v>0</v>
      </c>
    </row>
    <row r="690" spans="1:7">
      <c r="A690" s="6">
        <v>44949</v>
      </c>
      <c r="B690" s="7">
        <v>6.7845</v>
      </c>
      <c r="C690" s="7">
        <v>6.7845</v>
      </c>
      <c r="D690" s="7">
        <v>6.7845</v>
      </c>
      <c r="E690" s="7">
        <v>6.7845</v>
      </c>
      <c r="G690" s="8">
        <v>0</v>
      </c>
    </row>
    <row r="691" spans="1:7">
      <c r="A691" s="6">
        <v>44946</v>
      </c>
      <c r="B691" s="7">
        <v>6.7845</v>
      </c>
      <c r="C691" s="7">
        <v>6.7677</v>
      </c>
      <c r="D691" s="7">
        <v>6.7889</v>
      </c>
      <c r="E691" s="7">
        <v>6.7647</v>
      </c>
      <c r="G691" s="8">
        <v>0.0011</v>
      </c>
    </row>
    <row r="692" spans="1:7">
      <c r="A692" s="6">
        <v>44945</v>
      </c>
      <c r="B692" s="7">
        <v>6.7769</v>
      </c>
      <c r="C692" s="7">
        <v>6.7675</v>
      </c>
      <c r="D692" s="7">
        <v>6.7892</v>
      </c>
      <c r="E692" s="7">
        <v>6.7674</v>
      </c>
      <c r="G692" s="8">
        <v>0.0042</v>
      </c>
    </row>
    <row r="693" spans="1:7">
      <c r="A693" s="6">
        <v>44944</v>
      </c>
      <c r="B693" s="7">
        <v>6.7485</v>
      </c>
      <c r="C693" s="7">
        <v>6.7815</v>
      </c>
      <c r="D693" s="7">
        <v>6.7874</v>
      </c>
      <c r="E693" s="7">
        <v>6.7428</v>
      </c>
      <c r="G693" s="8">
        <v>-0.0037</v>
      </c>
    </row>
    <row r="694" spans="1:7">
      <c r="A694" s="6">
        <v>44943</v>
      </c>
      <c r="B694" s="7">
        <v>6.7739</v>
      </c>
      <c r="C694" s="7">
        <v>6.7337</v>
      </c>
      <c r="D694" s="7">
        <v>6.7828</v>
      </c>
      <c r="E694" s="7">
        <v>6.7337</v>
      </c>
      <c r="G694" s="8">
        <v>0.006</v>
      </c>
    </row>
    <row r="695" spans="1:7">
      <c r="A695" s="6">
        <v>44942</v>
      </c>
      <c r="B695" s="7">
        <v>6.7336</v>
      </c>
      <c r="C695" s="7">
        <v>6.6982</v>
      </c>
      <c r="D695" s="7">
        <v>6.7355</v>
      </c>
      <c r="E695" s="7">
        <v>6.691</v>
      </c>
      <c r="G695" s="8">
        <v>0.0046</v>
      </c>
    </row>
    <row r="696" spans="1:7">
      <c r="A696" s="6">
        <v>44939</v>
      </c>
      <c r="B696" s="7">
        <v>6.703</v>
      </c>
      <c r="C696" s="7">
        <v>6.7239</v>
      </c>
      <c r="D696" s="7">
        <v>6.7379</v>
      </c>
      <c r="E696" s="7">
        <v>6.703</v>
      </c>
      <c r="G696" s="8">
        <v>-0.0053</v>
      </c>
    </row>
    <row r="697" spans="1:7">
      <c r="A697" s="6">
        <v>44938</v>
      </c>
      <c r="B697" s="7">
        <v>6.7388</v>
      </c>
      <c r="C697" s="7">
        <v>6.7541</v>
      </c>
      <c r="D697" s="7">
        <v>6.764</v>
      </c>
      <c r="E697" s="7">
        <v>6.7297</v>
      </c>
      <c r="G697" s="8">
        <v>-0.0047</v>
      </c>
    </row>
    <row r="698" spans="1:7">
      <c r="A698" s="6">
        <v>44937</v>
      </c>
      <c r="B698" s="7">
        <v>6.7705</v>
      </c>
      <c r="C698" s="7">
        <v>6.7845</v>
      </c>
      <c r="D698" s="7">
        <v>6.7879</v>
      </c>
      <c r="E698" s="7">
        <v>6.7629</v>
      </c>
      <c r="G698" s="8">
        <v>-0.0012</v>
      </c>
    </row>
    <row r="699" spans="1:7">
      <c r="A699" s="6">
        <v>44936</v>
      </c>
      <c r="B699" s="7">
        <v>6.7785</v>
      </c>
      <c r="C699" s="7">
        <v>6.7587</v>
      </c>
      <c r="D699" s="7">
        <v>6.7893</v>
      </c>
      <c r="E699" s="7">
        <v>6.7533</v>
      </c>
      <c r="G699" s="8">
        <v>0.0009</v>
      </c>
    </row>
    <row r="700" spans="1:7">
      <c r="A700" s="6">
        <v>44935</v>
      </c>
      <c r="B700" s="7">
        <v>6.7725</v>
      </c>
      <c r="C700" s="7">
        <v>6.815</v>
      </c>
      <c r="D700" s="7">
        <v>6.815</v>
      </c>
      <c r="E700" s="7">
        <v>6.7601</v>
      </c>
      <c r="G700" s="8">
        <v>-0.0097</v>
      </c>
    </row>
    <row r="701" spans="1:7">
      <c r="A701" s="6">
        <v>44932</v>
      </c>
      <c r="B701" s="7">
        <v>6.8385</v>
      </c>
      <c r="C701" s="7">
        <v>6.8783</v>
      </c>
      <c r="D701" s="7">
        <v>6.8792</v>
      </c>
      <c r="E701" s="7">
        <v>6.836</v>
      </c>
      <c r="G701" s="8">
        <v>-0.0063</v>
      </c>
    </row>
    <row r="702" spans="1:7">
      <c r="A702" s="6">
        <v>44931</v>
      </c>
      <c r="B702" s="7">
        <v>6.882</v>
      </c>
      <c r="C702" s="7">
        <v>6.8851</v>
      </c>
      <c r="D702" s="7">
        <v>6.89</v>
      </c>
      <c r="E702" s="7">
        <v>6.8688</v>
      </c>
      <c r="G702" s="8">
        <v>-0.001</v>
      </c>
    </row>
    <row r="703" spans="1:7">
      <c r="A703" s="6">
        <v>44930</v>
      </c>
      <c r="B703" s="7">
        <v>6.8888</v>
      </c>
      <c r="C703" s="7">
        <v>6.9035</v>
      </c>
      <c r="D703" s="7">
        <v>6.9078</v>
      </c>
      <c r="E703" s="7">
        <v>6.8787</v>
      </c>
      <c r="G703" s="8">
        <v>-0.0038</v>
      </c>
    </row>
    <row r="704" spans="1:7">
      <c r="A704" s="6">
        <v>44929</v>
      </c>
      <c r="B704" s="7">
        <v>6.915</v>
      </c>
      <c r="C704" s="7">
        <v>6.9143</v>
      </c>
      <c r="D704" s="7">
        <v>6.924</v>
      </c>
      <c r="E704" s="7">
        <v>6.8762</v>
      </c>
      <c r="G704" s="8">
        <v>0.0024</v>
      </c>
    </row>
    <row r="705" spans="1:7">
      <c r="A705" s="6">
        <v>44928</v>
      </c>
      <c r="B705" s="7">
        <v>6.8986</v>
      </c>
      <c r="C705" s="7">
        <v>6.8986</v>
      </c>
      <c r="D705" s="7">
        <v>6.8986</v>
      </c>
      <c r="E705" s="7">
        <v>6.8986</v>
      </c>
      <c r="G705" s="8">
        <v>0</v>
      </c>
    </row>
    <row r="706" spans="1:7">
      <c r="A706" s="6">
        <v>44925</v>
      </c>
      <c r="B706" s="7">
        <v>6.8986</v>
      </c>
      <c r="C706" s="7">
        <v>6.9595</v>
      </c>
      <c r="D706" s="7">
        <v>6.9618</v>
      </c>
      <c r="E706" s="7">
        <v>6.8932</v>
      </c>
      <c r="G706" s="8">
        <v>-0.0094</v>
      </c>
    </row>
    <row r="707" spans="1:7">
      <c r="A707" s="6">
        <v>44924</v>
      </c>
      <c r="B707" s="7">
        <v>6.9638</v>
      </c>
      <c r="C707" s="7">
        <v>6.9805</v>
      </c>
      <c r="D707" s="7">
        <v>6.9814</v>
      </c>
      <c r="E707" s="7">
        <v>6.9611</v>
      </c>
      <c r="G707" s="8">
        <v>-0.0021</v>
      </c>
    </row>
    <row r="708" spans="1:7">
      <c r="A708" s="6">
        <v>44923</v>
      </c>
      <c r="B708" s="7">
        <v>6.9787</v>
      </c>
      <c r="C708" s="7">
        <v>6.963</v>
      </c>
      <c r="D708" s="7">
        <v>6.9787</v>
      </c>
      <c r="E708" s="7">
        <v>6.9616</v>
      </c>
      <c r="G708" s="8">
        <v>0.0027</v>
      </c>
    </row>
    <row r="709" spans="1:7">
      <c r="A709" s="6">
        <v>44922</v>
      </c>
      <c r="B709" s="7">
        <v>6.9601</v>
      </c>
      <c r="C709" s="7">
        <v>6.9629</v>
      </c>
      <c r="D709" s="7">
        <v>6.9684</v>
      </c>
      <c r="E709" s="7">
        <v>6.9491</v>
      </c>
      <c r="G709" s="8">
        <v>-0.0003</v>
      </c>
    </row>
    <row r="710" spans="1:7">
      <c r="A710" s="6">
        <v>44921</v>
      </c>
      <c r="B710" s="7">
        <v>6.9622</v>
      </c>
      <c r="C710" s="7">
        <v>6.9905</v>
      </c>
      <c r="D710" s="7">
        <v>6.9906</v>
      </c>
      <c r="E710" s="7">
        <v>6.9584</v>
      </c>
      <c r="G710" s="8">
        <v>-0.004</v>
      </c>
    </row>
    <row r="711" spans="1:7">
      <c r="A711" s="6">
        <v>44918</v>
      </c>
      <c r="B711" s="7">
        <v>6.9899</v>
      </c>
      <c r="C711" s="7">
        <v>6.9982</v>
      </c>
      <c r="D711" s="7">
        <v>6.9986</v>
      </c>
      <c r="E711" s="7">
        <v>6.9811</v>
      </c>
      <c r="G711" s="8">
        <v>0.0008</v>
      </c>
    </row>
    <row r="712" spans="1:7">
      <c r="A712" s="6">
        <v>44917</v>
      </c>
      <c r="B712" s="7">
        <v>6.9845</v>
      </c>
      <c r="C712" s="7">
        <v>6.9714</v>
      </c>
      <c r="D712" s="7">
        <v>6.9848</v>
      </c>
      <c r="E712" s="7">
        <v>6.9714</v>
      </c>
      <c r="G712" s="8">
        <v>0.0004</v>
      </c>
    </row>
    <row r="713" spans="1:7">
      <c r="A713" s="6">
        <v>44916</v>
      </c>
      <c r="B713" s="7">
        <v>6.9815</v>
      </c>
      <c r="C713" s="7">
        <v>6.9655</v>
      </c>
      <c r="D713" s="7">
        <v>6.9839</v>
      </c>
      <c r="E713" s="7">
        <v>6.9635</v>
      </c>
      <c r="G713" s="8">
        <v>0.0028</v>
      </c>
    </row>
    <row r="714" spans="1:7">
      <c r="A714" s="6">
        <v>44915</v>
      </c>
      <c r="B714" s="7">
        <v>6.9619</v>
      </c>
      <c r="C714" s="7">
        <v>6.981</v>
      </c>
      <c r="D714" s="7">
        <v>6.9905</v>
      </c>
      <c r="E714" s="7">
        <v>6.96</v>
      </c>
      <c r="G714" s="8">
        <v>-0.0026</v>
      </c>
    </row>
    <row r="715" spans="1:7">
      <c r="A715" s="6">
        <v>44914</v>
      </c>
      <c r="B715" s="7">
        <v>6.9797</v>
      </c>
      <c r="C715" s="7">
        <v>6.9699</v>
      </c>
      <c r="D715" s="7">
        <v>6.9854</v>
      </c>
      <c r="E715" s="7">
        <v>6.9694</v>
      </c>
      <c r="G715" s="8">
        <v>0.0009</v>
      </c>
    </row>
    <row r="716" spans="1:7">
      <c r="A716" s="6">
        <v>44911</v>
      </c>
      <c r="B716" s="7">
        <v>6.9733</v>
      </c>
      <c r="C716" s="7">
        <v>6.9821</v>
      </c>
      <c r="D716" s="7">
        <v>6.9855</v>
      </c>
      <c r="E716" s="7">
        <v>6.963</v>
      </c>
      <c r="G716" s="8">
        <v>-0.0001</v>
      </c>
    </row>
    <row r="717" spans="1:7">
      <c r="A717" s="6">
        <v>44910</v>
      </c>
      <c r="B717" s="7">
        <v>6.9738</v>
      </c>
      <c r="C717" s="7">
        <v>6.9471</v>
      </c>
      <c r="D717" s="7">
        <v>6.9783</v>
      </c>
      <c r="E717" s="7">
        <v>6.9471</v>
      </c>
      <c r="G717" s="8">
        <v>0.0033</v>
      </c>
    </row>
    <row r="718" spans="1:7">
      <c r="A718" s="6">
        <v>44909</v>
      </c>
      <c r="B718" s="7">
        <v>6.9509</v>
      </c>
      <c r="C718" s="7">
        <v>6.9525</v>
      </c>
      <c r="D718" s="7">
        <v>6.9634</v>
      </c>
      <c r="E718" s="7">
        <v>6.9393</v>
      </c>
      <c r="G718" s="8">
        <v>0.0009</v>
      </c>
    </row>
    <row r="719" spans="1:7">
      <c r="A719" s="6">
        <v>44908</v>
      </c>
      <c r="B719" s="7">
        <v>6.9445</v>
      </c>
      <c r="C719" s="7">
        <v>6.9867</v>
      </c>
      <c r="D719" s="7">
        <v>6.9888</v>
      </c>
      <c r="E719" s="7">
        <v>6.9445</v>
      </c>
      <c r="G719" s="8">
        <v>-0.0047</v>
      </c>
    </row>
    <row r="720" spans="1:7">
      <c r="A720" s="6">
        <v>44907</v>
      </c>
      <c r="B720" s="7">
        <v>6.9776</v>
      </c>
      <c r="C720" s="7">
        <v>6.9828</v>
      </c>
      <c r="D720" s="7">
        <v>6.9883</v>
      </c>
      <c r="E720" s="7">
        <v>6.9718</v>
      </c>
      <c r="G720" s="8">
        <v>0.0028</v>
      </c>
    </row>
    <row r="721" spans="1:7">
      <c r="A721" s="6">
        <v>44904</v>
      </c>
      <c r="B721" s="7">
        <v>6.9584</v>
      </c>
      <c r="C721" s="7">
        <v>6.9522</v>
      </c>
      <c r="D721" s="7">
        <v>6.9635</v>
      </c>
      <c r="E721" s="7">
        <v>6.9439</v>
      </c>
      <c r="G721" s="8">
        <v>-0.0013</v>
      </c>
    </row>
    <row r="722" spans="1:7">
      <c r="A722" s="6">
        <v>44903</v>
      </c>
      <c r="B722" s="7">
        <v>6.9674</v>
      </c>
      <c r="C722" s="7">
        <v>6.9725</v>
      </c>
      <c r="D722" s="7">
        <v>6.9822</v>
      </c>
      <c r="E722" s="7">
        <v>6.9646</v>
      </c>
      <c r="G722" s="8">
        <v>-0.0006</v>
      </c>
    </row>
    <row r="723" spans="1:7">
      <c r="A723" s="6">
        <v>44902</v>
      </c>
      <c r="B723" s="7">
        <v>6.9718</v>
      </c>
      <c r="C723" s="7">
        <v>6.9916</v>
      </c>
      <c r="D723" s="7">
        <v>6.9959</v>
      </c>
      <c r="E723" s="7">
        <v>6.9718</v>
      </c>
      <c r="G723" s="8">
        <v>-0.0035</v>
      </c>
    </row>
    <row r="724" spans="1:7">
      <c r="A724" s="6">
        <v>44901</v>
      </c>
      <c r="B724" s="7">
        <v>6.996</v>
      </c>
      <c r="C724" s="7">
        <v>6.9612</v>
      </c>
      <c r="D724" s="7">
        <v>7.0009</v>
      </c>
      <c r="E724" s="7">
        <v>6.9564</v>
      </c>
      <c r="G724" s="8">
        <v>0.0049</v>
      </c>
    </row>
    <row r="725" spans="1:7">
      <c r="A725" s="6">
        <v>44900</v>
      </c>
      <c r="B725" s="7">
        <v>6.962</v>
      </c>
      <c r="C725" s="7">
        <v>6.9746</v>
      </c>
      <c r="D725" s="7">
        <v>6.985</v>
      </c>
      <c r="E725" s="7">
        <v>6.9454</v>
      </c>
      <c r="G725" s="8">
        <v>-0.0082</v>
      </c>
    </row>
    <row r="726" spans="1:7">
      <c r="A726" s="6">
        <v>44897</v>
      </c>
      <c r="B726" s="7">
        <v>7.0195</v>
      </c>
      <c r="C726" s="7">
        <v>7.051</v>
      </c>
      <c r="D726" s="7">
        <v>7.0667</v>
      </c>
      <c r="E726" s="7">
        <v>7.0194</v>
      </c>
      <c r="G726" s="8">
        <v>-0.0035</v>
      </c>
    </row>
    <row r="727" spans="1:7">
      <c r="A727" s="6">
        <v>44896</v>
      </c>
      <c r="B727" s="7">
        <v>7.0445</v>
      </c>
      <c r="C727" s="7">
        <v>7.045</v>
      </c>
      <c r="D727" s="7">
        <v>7.0907</v>
      </c>
      <c r="E727" s="7">
        <v>7.0419</v>
      </c>
      <c r="G727" s="8">
        <v>-0.0068</v>
      </c>
    </row>
    <row r="728" spans="1:7">
      <c r="A728" s="6">
        <v>44895</v>
      </c>
      <c r="B728" s="7">
        <v>7.0925</v>
      </c>
      <c r="C728" s="7">
        <v>7.1571</v>
      </c>
      <c r="D728" s="7">
        <v>7.1573</v>
      </c>
      <c r="E728" s="7">
        <v>7.0697</v>
      </c>
      <c r="G728" s="8">
        <v>-0.0093</v>
      </c>
    </row>
    <row r="729" spans="1:7">
      <c r="A729" s="6">
        <v>44894</v>
      </c>
      <c r="B729" s="7">
        <v>7.1593</v>
      </c>
      <c r="C729" s="7">
        <v>7.2097</v>
      </c>
      <c r="D729" s="7">
        <v>7.2097</v>
      </c>
      <c r="E729" s="7">
        <v>7.1547</v>
      </c>
      <c r="G729" s="8">
        <v>-0.0068</v>
      </c>
    </row>
    <row r="730" spans="1:7">
      <c r="A730" s="6">
        <v>44893</v>
      </c>
      <c r="B730" s="7">
        <v>7.2082</v>
      </c>
      <c r="C730" s="7">
        <v>7.2281</v>
      </c>
      <c r="D730" s="7">
        <v>7.2399</v>
      </c>
      <c r="E730" s="7">
        <v>7.1904</v>
      </c>
      <c r="G730" s="8">
        <v>0.006</v>
      </c>
    </row>
    <row r="731" spans="1:7">
      <c r="A731" s="6">
        <v>44890</v>
      </c>
      <c r="B731" s="7">
        <v>7.1654</v>
      </c>
      <c r="C731" s="7">
        <v>7.1643</v>
      </c>
      <c r="D731" s="7">
        <v>7.1806</v>
      </c>
      <c r="E731" s="7">
        <v>7.1477</v>
      </c>
      <c r="G731" s="8">
        <v>0.0019</v>
      </c>
    </row>
    <row r="732" spans="1:7">
      <c r="A732" s="6">
        <v>44889</v>
      </c>
      <c r="B732" s="7">
        <v>7.152</v>
      </c>
      <c r="C732" s="7">
        <v>7.1487</v>
      </c>
      <c r="D732" s="7">
        <v>7.1541</v>
      </c>
      <c r="E732" s="7">
        <v>7.1328</v>
      </c>
      <c r="G732" s="8">
        <v>-0.0012</v>
      </c>
    </row>
    <row r="733" spans="1:7">
      <c r="A733" s="6">
        <v>44888</v>
      </c>
      <c r="B733" s="7">
        <v>7.1605</v>
      </c>
      <c r="C733" s="7">
        <v>7.1422</v>
      </c>
      <c r="D733" s="7">
        <v>7.1725</v>
      </c>
      <c r="E733" s="7">
        <v>7.1408</v>
      </c>
      <c r="G733" s="8">
        <v>0.0029</v>
      </c>
    </row>
    <row r="734" spans="1:7">
      <c r="A734" s="6">
        <v>44887</v>
      </c>
      <c r="B734" s="7">
        <v>7.1399</v>
      </c>
      <c r="C734" s="7">
        <v>7.1608</v>
      </c>
      <c r="D734" s="7">
        <v>7.166</v>
      </c>
      <c r="E734" s="7">
        <v>7.1323</v>
      </c>
      <c r="G734" s="8">
        <v>-0.0035</v>
      </c>
    </row>
    <row r="735" spans="1:7">
      <c r="A735" s="6">
        <v>44886</v>
      </c>
      <c r="B735" s="7">
        <v>7.1653</v>
      </c>
      <c r="C735" s="7">
        <v>7.1508</v>
      </c>
      <c r="D735" s="7">
        <v>7.1696</v>
      </c>
      <c r="E735" s="7">
        <v>7.1504</v>
      </c>
      <c r="G735" s="8">
        <v>0.0064</v>
      </c>
    </row>
    <row r="736" spans="1:7">
      <c r="A736" s="6">
        <v>44883</v>
      </c>
      <c r="B736" s="7">
        <v>7.1196</v>
      </c>
      <c r="C736" s="7">
        <v>7.1402</v>
      </c>
      <c r="D736" s="7">
        <v>7.1558</v>
      </c>
      <c r="E736" s="7">
        <v>7.1104</v>
      </c>
      <c r="G736" s="8">
        <v>-0.0052</v>
      </c>
    </row>
    <row r="737" spans="1:7">
      <c r="A737" s="6">
        <v>44882</v>
      </c>
      <c r="B737" s="7">
        <v>7.1565</v>
      </c>
      <c r="C737" s="7">
        <v>7.095</v>
      </c>
      <c r="D737" s="7">
        <v>7.1644</v>
      </c>
      <c r="E737" s="7">
        <v>7.0943</v>
      </c>
      <c r="G737" s="8">
        <v>0.0095</v>
      </c>
    </row>
    <row r="738" spans="1:7">
      <c r="A738" s="6">
        <v>44881</v>
      </c>
      <c r="B738" s="7">
        <v>7.0889</v>
      </c>
      <c r="C738" s="7">
        <v>7.0496</v>
      </c>
      <c r="D738" s="7">
        <v>7.09</v>
      </c>
      <c r="E738" s="7">
        <v>7.0496</v>
      </c>
      <c r="G738" s="8">
        <v>0.0063</v>
      </c>
    </row>
    <row r="739" spans="1:7">
      <c r="A739" s="6">
        <v>44880</v>
      </c>
      <c r="B739" s="7">
        <v>7.0445</v>
      </c>
      <c r="C739" s="7">
        <v>7.0462</v>
      </c>
      <c r="D739" s="7">
        <v>7.0631</v>
      </c>
      <c r="E739" s="7">
        <v>7.0248</v>
      </c>
      <c r="G739" s="8">
        <v>-0.0042</v>
      </c>
    </row>
    <row r="740" spans="1:7">
      <c r="A740" s="6">
        <v>44879</v>
      </c>
      <c r="B740" s="7">
        <v>7.074</v>
      </c>
      <c r="C740" s="7">
        <v>7.0819</v>
      </c>
      <c r="D740" s="7">
        <v>7.0831</v>
      </c>
      <c r="E740" s="7">
        <v>7.0258</v>
      </c>
      <c r="G740" s="8">
        <v>-0.0048</v>
      </c>
    </row>
    <row r="741" spans="1:7">
      <c r="A741" s="6">
        <v>44876</v>
      </c>
      <c r="B741" s="7">
        <v>7.1083</v>
      </c>
      <c r="C741" s="7">
        <v>7.187</v>
      </c>
      <c r="D741" s="7">
        <v>7.1897</v>
      </c>
      <c r="E741" s="7">
        <v>7.0897</v>
      </c>
      <c r="G741" s="8">
        <v>-0.011</v>
      </c>
    </row>
    <row r="742" spans="1:7">
      <c r="A742" s="6">
        <v>44875</v>
      </c>
      <c r="B742" s="7">
        <v>7.187</v>
      </c>
      <c r="C742" s="7">
        <v>7.2552</v>
      </c>
      <c r="D742" s="7">
        <v>7.2738</v>
      </c>
      <c r="E742" s="7">
        <v>7.1835</v>
      </c>
      <c r="G742" s="8">
        <v>-0.0076</v>
      </c>
    </row>
    <row r="743" spans="1:7">
      <c r="A743" s="6">
        <v>44874</v>
      </c>
      <c r="B743" s="7">
        <v>7.2419</v>
      </c>
      <c r="C743" s="7">
        <v>7.234</v>
      </c>
      <c r="D743" s="7">
        <v>7.2564</v>
      </c>
      <c r="E743" s="7">
        <v>7.2335</v>
      </c>
      <c r="G743" s="8">
        <v>-0.001</v>
      </c>
    </row>
    <row r="744" spans="1:7">
      <c r="A744" s="6">
        <v>44873</v>
      </c>
      <c r="B744" s="7">
        <v>7.2493</v>
      </c>
      <c r="C744" s="7">
        <v>7.225</v>
      </c>
      <c r="D744" s="7">
        <v>7.2645</v>
      </c>
      <c r="E744" s="7">
        <v>7.2202</v>
      </c>
      <c r="G744" s="8">
        <v>0.0027</v>
      </c>
    </row>
    <row r="745" spans="1:7">
      <c r="A745" s="6">
        <v>44872</v>
      </c>
      <c r="B745" s="7">
        <v>7.2296</v>
      </c>
      <c r="C745" s="7">
        <v>7.2165</v>
      </c>
      <c r="D745" s="7">
        <v>7.2505</v>
      </c>
      <c r="E745" s="7">
        <v>7.2047</v>
      </c>
      <c r="G745" s="8">
        <v>0.0062</v>
      </c>
    </row>
    <row r="746" spans="1:7">
      <c r="A746" s="6">
        <v>44869</v>
      </c>
      <c r="B746" s="7">
        <v>7.1851</v>
      </c>
      <c r="C746" s="7">
        <v>7.3015</v>
      </c>
      <c r="D746" s="7">
        <v>7.3119</v>
      </c>
      <c r="E746" s="7">
        <v>7.1785</v>
      </c>
      <c r="G746" s="8">
        <v>-0.0159</v>
      </c>
    </row>
    <row r="747" spans="1:7">
      <c r="A747" s="6">
        <v>44868</v>
      </c>
      <c r="B747" s="7">
        <v>7.3015</v>
      </c>
      <c r="C747" s="7">
        <v>7.29</v>
      </c>
      <c r="D747" s="7">
        <v>7.3224</v>
      </c>
      <c r="E747" s="7">
        <v>7.29</v>
      </c>
      <c r="G747" s="8">
        <v>0.0016</v>
      </c>
    </row>
    <row r="748" spans="1:7">
      <c r="A748" s="6">
        <v>44867</v>
      </c>
      <c r="B748" s="7">
        <v>7.29</v>
      </c>
      <c r="C748" s="7">
        <v>7.2797</v>
      </c>
      <c r="D748" s="7">
        <v>7.29</v>
      </c>
      <c r="E748" s="7">
        <v>7.2657</v>
      </c>
      <c r="G748" s="8">
        <v>0.0017</v>
      </c>
    </row>
    <row r="749" spans="1:7">
      <c r="A749" s="6">
        <v>44866</v>
      </c>
      <c r="B749" s="7">
        <v>7.2775</v>
      </c>
      <c r="C749" s="7">
        <v>7.3231</v>
      </c>
      <c r="D749" s="7">
        <v>7.3285</v>
      </c>
      <c r="E749" s="7">
        <v>7.255</v>
      </c>
      <c r="G749" s="8">
        <v>-0.0035</v>
      </c>
    </row>
    <row r="750" spans="1:7">
      <c r="A750" s="6">
        <v>44865</v>
      </c>
      <c r="B750" s="7">
        <v>7.3029</v>
      </c>
      <c r="C750" s="7">
        <v>7.2627</v>
      </c>
      <c r="D750" s="7">
        <v>7.3041</v>
      </c>
      <c r="E750" s="7">
        <v>7.2543</v>
      </c>
      <c r="G750" s="8">
        <v>0.0069</v>
      </c>
    </row>
    <row r="751" spans="1:7">
      <c r="A751" s="6">
        <v>44862</v>
      </c>
      <c r="B751" s="7">
        <v>7.2525</v>
      </c>
      <c r="C751" s="7">
        <v>7.2358</v>
      </c>
      <c r="D751" s="7">
        <v>7.2626</v>
      </c>
      <c r="E751" s="7">
        <v>7.2185</v>
      </c>
      <c r="G751" s="8">
        <v>0.0033</v>
      </c>
    </row>
    <row r="752" spans="1:7">
      <c r="A752" s="6">
        <v>44861</v>
      </c>
      <c r="B752" s="7">
        <v>7.229</v>
      </c>
      <c r="C752" s="7">
        <v>7.173</v>
      </c>
      <c r="D752" s="7">
        <v>7.2382</v>
      </c>
      <c r="E752" s="7">
        <v>7.1622</v>
      </c>
      <c r="G752" s="8">
        <v>0.0078</v>
      </c>
    </row>
    <row r="753" spans="1:7">
      <c r="A753" s="6">
        <v>44860</v>
      </c>
      <c r="B753" s="7">
        <v>7.173</v>
      </c>
      <c r="C753" s="7">
        <v>7.2879</v>
      </c>
      <c r="D753" s="7">
        <v>7.2998</v>
      </c>
      <c r="E753" s="7">
        <v>7.1662</v>
      </c>
      <c r="G753" s="8">
        <v>-0.0133</v>
      </c>
    </row>
    <row r="754" spans="1:7">
      <c r="A754" s="6">
        <v>44859</v>
      </c>
      <c r="B754" s="7">
        <v>7.2694</v>
      </c>
      <c r="C754" s="7">
        <v>7.2951</v>
      </c>
      <c r="D754" s="7">
        <v>7.3094</v>
      </c>
      <c r="E754" s="7">
        <v>7.2604</v>
      </c>
      <c r="G754" s="8">
        <v>0.0009</v>
      </c>
    </row>
    <row r="755" spans="1:7">
      <c r="A755" s="6">
        <v>44858</v>
      </c>
      <c r="B755" s="7">
        <v>7.263</v>
      </c>
      <c r="C755" s="7">
        <v>7.2444</v>
      </c>
      <c r="D755" s="7">
        <v>7.2636</v>
      </c>
      <c r="E755" s="7">
        <v>7.2428</v>
      </c>
      <c r="G755" s="8">
        <v>0.0027</v>
      </c>
    </row>
    <row r="756" spans="1:7">
      <c r="A756" s="6">
        <v>44855</v>
      </c>
      <c r="B756" s="7">
        <v>7.2438</v>
      </c>
      <c r="C756" s="7">
        <v>7.2372</v>
      </c>
      <c r="D756" s="7">
        <v>7.2525</v>
      </c>
      <c r="E756" s="7">
        <v>7.2364</v>
      </c>
      <c r="G756" s="8">
        <v>0.0037</v>
      </c>
    </row>
    <row r="757" spans="1:7">
      <c r="A757" s="6">
        <v>44854</v>
      </c>
      <c r="B757" s="7">
        <v>7.2168</v>
      </c>
      <c r="C757" s="7">
        <v>7.2288</v>
      </c>
      <c r="D757" s="7">
        <v>7.2485</v>
      </c>
      <c r="E757" s="7">
        <v>7.2135</v>
      </c>
      <c r="G757" s="8">
        <v>-0.0017</v>
      </c>
    </row>
    <row r="758" spans="1:7">
      <c r="A758" s="6">
        <v>44853</v>
      </c>
      <c r="B758" s="7">
        <v>7.2288</v>
      </c>
      <c r="C758" s="7">
        <v>7.2015</v>
      </c>
      <c r="D758" s="7">
        <v>7.2311</v>
      </c>
      <c r="E758" s="7">
        <v>7.1982</v>
      </c>
      <c r="G758" s="8">
        <v>0.0037</v>
      </c>
    </row>
    <row r="759" spans="1:7">
      <c r="A759" s="6">
        <v>44852</v>
      </c>
      <c r="B759" s="7">
        <v>7.2021</v>
      </c>
      <c r="C759" s="7">
        <v>7.192</v>
      </c>
      <c r="D759" s="7">
        <v>7.2022</v>
      </c>
      <c r="E759" s="7">
        <v>7.1879</v>
      </c>
      <c r="G759" s="8">
        <v>0.0008</v>
      </c>
    </row>
    <row r="760" spans="1:7">
      <c r="A760" s="6">
        <v>44851</v>
      </c>
      <c r="B760" s="7">
        <v>7.1965</v>
      </c>
      <c r="C760" s="7">
        <v>7.1814</v>
      </c>
      <c r="D760" s="7">
        <v>7.2061</v>
      </c>
      <c r="E760" s="7">
        <v>7.179</v>
      </c>
      <c r="G760" s="8">
        <v>0.0008</v>
      </c>
    </row>
    <row r="761" spans="1:7">
      <c r="A761" s="6">
        <v>44848</v>
      </c>
      <c r="B761" s="7">
        <v>7.191</v>
      </c>
      <c r="C761" s="7">
        <v>7.1706</v>
      </c>
      <c r="D761" s="7">
        <v>7.2012</v>
      </c>
      <c r="E761" s="7">
        <v>7.1606</v>
      </c>
      <c r="G761" s="8">
        <v>0.0028</v>
      </c>
    </row>
    <row r="762" spans="1:7">
      <c r="A762" s="6">
        <v>44847</v>
      </c>
      <c r="B762" s="7">
        <v>7.1706</v>
      </c>
      <c r="C762" s="7">
        <v>7.1748</v>
      </c>
      <c r="D762" s="7">
        <v>7.223</v>
      </c>
      <c r="E762" s="7">
        <v>7.1667</v>
      </c>
      <c r="G762" s="8">
        <v>-0.0006</v>
      </c>
    </row>
    <row r="763" spans="1:7">
      <c r="A763" s="6">
        <v>44846</v>
      </c>
      <c r="B763" s="7">
        <v>7.1748</v>
      </c>
      <c r="C763" s="7">
        <v>7.1853</v>
      </c>
      <c r="D763" s="7">
        <v>7.191</v>
      </c>
      <c r="E763" s="7">
        <v>7.1558</v>
      </c>
      <c r="G763" s="8">
        <v>0.0013</v>
      </c>
    </row>
    <row r="764" spans="1:7">
      <c r="A764" s="6">
        <v>44845</v>
      </c>
      <c r="B764" s="7">
        <v>7.1655</v>
      </c>
      <c r="C764" s="7">
        <v>7.1509</v>
      </c>
      <c r="D764" s="7">
        <v>7.1949</v>
      </c>
      <c r="E764" s="7">
        <v>7.1508</v>
      </c>
      <c r="G764" s="8">
        <v>0.0015</v>
      </c>
    </row>
    <row r="765" spans="1:7">
      <c r="A765" s="6">
        <v>44844</v>
      </c>
      <c r="B765" s="7">
        <v>7.1546</v>
      </c>
      <c r="C765" s="7">
        <v>7.1102</v>
      </c>
      <c r="D765" s="7">
        <v>7.1547</v>
      </c>
      <c r="E765" s="7">
        <v>7.1082</v>
      </c>
      <c r="G765" s="8">
        <v>0.0054</v>
      </c>
    </row>
    <row r="766" spans="1:7">
      <c r="A766" s="6">
        <v>44841</v>
      </c>
      <c r="B766" s="7">
        <v>7.116</v>
      </c>
      <c r="C766" s="7">
        <v>7.116</v>
      </c>
      <c r="D766" s="7">
        <v>7.116</v>
      </c>
      <c r="E766" s="7">
        <v>7.116</v>
      </c>
      <c r="G766" s="8">
        <v>0</v>
      </c>
    </row>
    <row r="767" spans="1:7">
      <c r="A767" s="6">
        <v>44840</v>
      </c>
      <c r="B767" s="7">
        <v>7.116</v>
      </c>
      <c r="C767" s="7">
        <v>7.116</v>
      </c>
      <c r="D767" s="7">
        <v>7.116</v>
      </c>
      <c r="E767" s="7">
        <v>7.116</v>
      </c>
      <c r="G767" s="8">
        <v>0</v>
      </c>
    </row>
    <row r="768" spans="1:7">
      <c r="A768" s="6">
        <v>44839</v>
      </c>
      <c r="B768" s="7">
        <v>7.116</v>
      </c>
      <c r="C768" s="7">
        <v>7.116</v>
      </c>
      <c r="D768" s="7">
        <v>7.116</v>
      </c>
      <c r="E768" s="7">
        <v>7.116</v>
      </c>
      <c r="G768" s="8">
        <v>0</v>
      </c>
    </row>
    <row r="769" spans="1:7">
      <c r="A769" s="6">
        <v>44838</v>
      </c>
      <c r="B769" s="7">
        <v>7.116</v>
      </c>
      <c r="C769" s="7">
        <v>7.116</v>
      </c>
      <c r="D769" s="7">
        <v>7.116</v>
      </c>
      <c r="E769" s="7">
        <v>7.116</v>
      </c>
      <c r="G769" s="8">
        <v>0</v>
      </c>
    </row>
    <row r="770" spans="1:7">
      <c r="A770" s="6">
        <v>44837</v>
      </c>
      <c r="B770" s="7">
        <v>7.116</v>
      </c>
      <c r="C770" s="7">
        <v>7.116</v>
      </c>
      <c r="D770" s="7">
        <v>7.116</v>
      </c>
      <c r="E770" s="7">
        <v>7.116</v>
      </c>
      <c r="G770" s="8">
        <v>0</v>
      </c>
    </row>
    <row r="771" spans="1:7">
      <c r="A771" s="6">
        <v>44834</v>
      </c>
      <c r="B771" s="7">
        <v>7.116</v>
      </c>
      <c r="C771" s="7">
        <v>7.125</v>
      </c>
      <c r="D771" s="7">
        <v>7.1354</v>
      </c>
      <c r="E771" s="7">
        <v>7.0828</v>
      </c>
      <c r="G771" s="8">
        <v>-0.0013</v>
      </c>
    </row>
    <row r="772" spans="1:7">
      <c r="A772" s="6">
        <v>44833</v>
      </c>
      <c r="B772" s="7">
        <v>7.125</v>
      </c>
      <c r="C772" s="7">
        <v>7.1565</v>
      </c>
      <c r="D772" s="7">
        <v>7.2113</v>
      </c>
      <c r="E772" s="7">
        <v>7.1232</v>
      </c>
      <c r="G772" s="8">
        <v>-0.0105</v>
      </c>
    </row>
    <row r="773" spans="1:7">
      <c r="A773" s="6">
        <v>44832</v>
      </c>
      <c r="B773" s="7">
        <v>7.2005</v>
      </c>
      <c r="C773" s="7">
        <v>7.1985</v>
      </c>
      <c r="D773" s="7">
        <v>7.2507</v>
      </c>
      <c r="E773" s="7">
        <v>7.1945</v>
      </c>
      <c r="G773" s="8">
        <v>0.0031</v>
      </c>
    </row>
    <row r="774" spans="1:7">
      <c r="A774" s="6">
        <v>44831</v>
      </c>
      <c r="B774" s="7">
        <v>7.1779</v>
      </c>
      <c r="C774" s="7">
        <v>7.1338</v>
      </c>
      <c r="D774" s="7">
        <v>7.1787</v>
      </c>
      <c r="E774" s="7">
        <v>7.1338</v>
      </c>
      <c r="G774" s="8">
        <v>0.0062</v>
      </c>
    </row>
    <row r="775" spans="1:7">
      <c r="A775" s="6">
        <v>44830</v>
      </c>
      <c r="B775" s="7">
        <v>7.1338</v>
      </c>
      <c r="C775" s="7">
        <v>7.1378</v>
      </c>
      <c r="D775" s="7">
        <v>7.1685</v>
      </c>
      <c r="E775" s="7">
        <v>7.1338</v>
      </c>
      <c r="G775" s="8">
        <v>0.0008</v>
      </c>
    </row>
    <row r="776" spans="1:7">
      <c r="A776" s="6">
        <v>44827</v>
      </c>
      <c r="B776" s="7">
        <v>7.1284</v>
      </c>
      <c r="C776" s="7">
        <v>7.0873</v>
      </c>
      <c r="D776" s="7">
        <v>7.131</v>
      </c>
      <c r="E776" s="7">
        <v>7.0867</v>
      </c>
      <c r="G776" s="8">
        <v>0.0071</v>
      </c>
    </row>
    <row r="777" spans="1:7">
      <c r="A777" s="6">
        <v>44826</v>
      </c>
      <c r="B777" s="7">
        <v>7.0781</v>
      </c>
      <c r="C777" s="7">
        <v>7.0851</v>
      </c>
      <c r="D777" s="7">
        <v>7.0959</v>
      </c>
      <c r="E777" s="7">
        <v>7.0606</v>
      </c>
      <c r="G777" s="8">
        <v>0.0041</v>
      </c>
    </row>
    <row r="778" spans="1:7">
      <c r="A778" s="6">
        <v>44825</v>
      </c>
      <c r="B778" s="7">
        <v>7.049</v>
      </c>
      <c r="C778" s="7">
        <v>7.0183</v>
      </c>
      <c r="D778" s="7">
        <v>7.0546</v>
      </c>
      <c r="E778" s="7">
        <v>7.0183</v>
      </c>
      <c r="G778" s="8">
        <v>0.0044</v>
      </c>
    </row>
    <row r="779" spans="1:7">
      <c r="A779" s="6">
        <v>44824</v>
      </c>
      <c r="B779" s="7">
        <v>7.0183</v>
      </c>
      <c r="C779" s="7">
        <v>7.0101</v>
      </c>
      <c r="D779" s="7">
        <v>7.0214</v>
      </c>
      <c r="E779" s="7">
        <v>7.0044</v>
      </c>
      <c r="G779" s="8">
        <v>0.0017</v>
      </c>
    </row>
    <row r="780" spans="1:7">
      <c r="A780" s="6">
        <v>44823</v>
      </c>
      <c r="B780" s="7">
        <v>7.0067</v>
      </c>
      <c r="C780" s="7">
        <v>6.9958</v>
      </c>
      <c r="D780" s="7">
        <v>7.0206</v>
      </c>
      <c r="E780" s="7">
        <v>6.9957</v>
      </c>
      <c r="G780" s="8">
        <v>0.0038</v>
      </c>
    </row>
    <row r="781" spans="1:7">
      <c r="A781" s="6">
        <v>44820</v>
      </c>
      <c r="B781" s="7">
        <v>6.98</v>
      </c>
      <c r="C781" s="7">
        <v>7.0055</v>
      </c>
      <c r="D781" s="7">
        <v>7.0256</v>
      </c>
      <c r="E781" s="7">
        <v>6.98</v>
      </c>
      <c r="G781" s="8">
        <v>-0.0021</v>
      </c>
    </row>
    <row r="782" spans="1:7">
      <c r="A782" s="6">
        <v>44819</v>
      </c>
      <c r="B782" s="7">
        <v>6.9945</v>
      </c>
      <c r="C782" s="7">
        <v>6.9645</v>
      </c>
      <c r="D782" s="7">
        <v>6.9963</v>
      </c>
      <c r="E782" s="7">
        <v>6.9606</v>
      </c>
      <c r="G782" s="8">
        <v>0.0047</v>
      </c>
    </row>
    <row r="783" spans="1:7">
      <c r="A783" s="6">
        <v>44818</v>
      </c>
      <c r="B783" s="7">
        <v>6.9621</v>
      </c>
      <c r="C783" s="7">
        <v>6.9671</v>
      </c>
      <c r="D783" s="7">
        <v>6.9734</v>
      </c>
      <c r="E783" s="7">
        <v>6.9569</v>
      </c>
      <c r="G783" s="8">
        <v>0.0053</v>
      </c>
    </row>
    <row r="784" spans="1:7">
      <c r="A784" s="6">
        <v>44817</v>
      </c>
      <c r="B784" s="7">
        <v>6.9255</v>
      </c>
      <c r="C784" s="7">
        <v>6.921</v>
      </c>
      <c r="D784" s="7">
        <v>6.9329</v>
      </c>
      <c r="E784" s="7">
        <v>6.9191</v>
      </c>
      <c r="G784" s="8">
        <v>-0.0001</v>
      </c>
    </row>
    <row r="785" spans="1:7">
      <c r="A785" s="6">
        <v>44816</v>
      </c>
      <c r="B785" s="7">
        <v>6.9265</v>
      </c>
      <c r="C785" s="7">
        <v>6.9265</v>
      </c>
      <c r="D785" s="7">
        <v>6.9265</v>
      </c>
      <c r="E785" s="7">
        <v>6.9265</v>
      </c>
      <c r="G785" s="8">
        <v>0</v>
      </c>
    </row>
    <row r="786" spans="1:7">
      <c r="A786" s="6">
        <v>44813</v>
      </c>
      <c r="B786" s="7">
        <v>6.9265</v>
      </c>
      <c r="C786" s="7">
        <v>6.9468</v>
      </c>
      <c r="D786" s="7">
        <v>6.9515</v>
      </c>
      <c r="E786" s="7">
        <v>6.9172</v>
      </c>
      <c r="G786" s="8">
        <v>-0.0045</v>
      </c>
    </row>
    <row r="787" spans="1:7">
      <c r="A787" s="6">
        <v>44812</v>
      </c>
      <c r="B787" s="7">
        <v>6.9576</v>
      </c>
      <c r="C787" s="7">
        <v>6.9563</v>
      </c>
      <c r="D787" s="7">
        <v>6.9704</v>
      </c>
      <c r="E787" s="7">
        <v>6.9489</v>
      </c>
      <c r="G787" s="8">
        <v>-0.0012</v>
      </c>
    </row>
    <row r="788" spans="1:7">
      <c r="A788" s="6">
        <v>44811</v>
      </c>
      <c r="B788" s="7">
        <v>6.9662</v>
      </c>
      <c r="C788" s="7">
        <v>6.9659</v>
      </c>
      <c r="D788" s="7">
        <v>6.9801</v>
      </c>
      <c r="E788" s="7">
        <v>6.9641</v>
      </c>
      <c r="G788" s="8">
        <v>0.0017</v>
      </c>
    </row>
    <row r="789" spans="1:7">
      <c r="A789" s="6">
        <v>44810</v>
      </c>
      <c r="B789" s="7">
        <v>6.9545</v>
      </c>
      <c r="C789" s="7">
        <v>6.9341</v>
      </c>
      <c r="D789" s="7">
        <v>6.9657</v>
      </c>
      <c r="E789" s="7">
        <v>6.9301</v>
      </c>
      <c r="G789" s="8">
        <v>0.0029</v>
      </c>
    </row>
    <row r="790" spans="1:7">
      <c r="A790" s="6">
        <v>44809</v>
      </c>
      <c r="B790" s="7">
        <v>6.9341</v>
      </c>
      <c r="C790" s="7">
        <v>6.923</v>
      </c>
      <c r="D790" s="7">
        <v>6.9433</v>
      </c>
      <c r="E790" s="7">
        <v>6.9189</v>
      </c>
      <c r="G790" s="8">
        <v>0.0049</v>
      </c>
    </row>
    <row r="791" spans="1:7">
      <c r="A791" s="6">
        <v>44806</v>
      </c>
      <c r="B791" s="7">
        <v>6.9</v>
      </c>
      <c r="C791" s="7">
        <v>6.9062</v>
      </c>
      <c r="D791" s="7">
        <v>6.9095</v>
      </c>
      <c r="E791" s="7">
        <v>6.8998</v>
      </c>
      <c r="G791" s="8">
        <v>-0.001</v>
      </c>
    </row>
    <row r="792" spans="1:7">
      <c r="A792" s="6">
        <v>44805</v>
      </c>
      <c r="B792" s="7">
        <v>6.907</v>
      </c>
      <c r="C792" s="7">
        <v>6.9065</v>
      </c>
      <c r="D792" s="7">
        <v>6.9082</v>
      </c>
      <c r="E792" s="7">
        <v>6.8935</v>
      </c>
      <c r="G792" s="8">
        <v>0.0024</v>
      </c>
    </row>
    <row r="793" spans="1:7">
      <c r="A793" s="6">
        <v>44804</v>
      </c>
      <c r="B793" s="7">
        <v>6.8904</v>
      </c>
      <c r="C793" s="7">
        <v>6.9088</v>
      </c>
      <c r="D793" s="7">
        <v>6.9153</v>
      </c>
      <c r="E793" s="7">
        <v>6.887</v>
      </c>
      <c r="G793" s="8">
        <v>-0.0031</v>
      </c>
    </row>
    <row r="794" spans="1:7">
      <c r="A794" s="6">
        <v>44803</v>
      </c>
      <c r="B794" s="7">
        <v>6.9119</v>
      </c>
      <c r="C794" s="7">
        <v>6.9095</v>
      </c>
      <c r="D794" s="7">
        <v>6.9213</v>
      </c>
      <c r="E794" s="7">
        <v>6.8992</v>
      </c>
      <c r="G794" s="8">
        <v>0.0006</v>
      </c>
    </row>
    <row r="795" spans="1:7">
      <c r="A795" s="6">
        <v>44802</v>
      </c>
      <c r="B795" s="7">
        <v>6.9081</v>
      </c>
      <c r="C795" s="7">
        <v>6.9091</v>
      </c>
      <c r="D795" s="7">
        <v>6.9225</v>
      </c>
      <c r="E795" s="7">
        <v>6.9045</v>
      </c>
      <c r="G795" s="8">
        <v>0.0053</v>
      </c>
    </row>
    <row r="796" spans="1:7">
      <c r="A796" s="6">
        <v>44799</v>
      </c>
      <c r="B796" s="7">
        <v>6.8718</v>
      </c>
      <c r="C796" s="7">
        <v>6.8475</v>
      </c>
      <c r="D796" s="7">
        <v>6.8731</v>
      </c>
      <c r="E796" s="7">
        <v>6.8475</v>
      </c>
      <c r="G796" s="8">
        <v>0.0033</v>
      </c>
    </row>
    <row r="797" spans="1:7">
      <c r="A797" s="6">
        <v>44798</v>
      </c>
      <c r="B797" s="7">
        <v>6.8493</v>
      </c>
      <c r="C797" s="7">
        <v>6.8453</v>
      </c>
      <c r="D797" s="7">
        <v>6.8572</v>
      </c>
      <c r="E797" s="7">
        <v>6.8427</v>
      </c>
      <c r="G797" s="8">
        <v>-0.0015</v>
      </c>
    </row>
    <row r="798" spans="1:7">
      <c r="A798" s="6">
        <v>44797</v>
      </c>
      <c r="B798" s="7">
        <v>6.8596</v>
      </c>
      <c r="C798" s="7">
        <v>6.844</v>
      </c>
      <c r="D798" s="7">
        <v>6.8697</v>
      </c>
      <c r="E798" s="7">
        <v>6.8424</v>
      </c>
      <c r="G798" s="8">
        <v>0.0036</v>
      </c>
    </row>
    <row r="799" spans="1:7">
      <c r="A799" s="6">
        <v>44796</v>
      </c>
      <c r="B799" s="7">
        <v>6.8351</v>
      </c>
      <c r="C799" s="7">
        <v>6.8461</v>
      </c>
      <c r="D799" s="7">
        <v>6.8662</v>
      </c>
      <c r="E799" s="7">
        <v>6.8326</v>
      </c>
      <c r="G799" s="8">
        <v>-0.002</v>
      </c>
    </row>
    <row r="800" spans="1:7">
      <c r="A800" s="6">
        <v>44795</v>
      </c>
      <c r="B800" s="7">
        <v>6.8486</v>
      </c>
      <c r="C800" s="7">
        <v>6.8238</v>
      </c>
      <c r="D800" s="7">
        <v>6.8511</v>
      </c>
      <c r="E800" s="7">
        <v>6.8211</v>
      </c>
      <c r="G800" s="8">
        <v>0.0047</v>
      </c>
    </row>
    <row r="801" spans="1:7">
      <c r="A801" s="6">
        <v>44792</v>
      </c>
      <c r="B801" s="7">
        <v>6.8167</v>
      </c>
      <c r="C801" s="7">
        <v>6.7861</v>
      </c>
      <c r="D801" s="7">
        <v>6.819</v>
      </c>
      <c r="E801" s="7">
        <v>6.7861</v>
      </c>
      <c r="G801" s="8">
        <v>0.0045</v>
      </c>
    </row>
    <row r="802" spans="1:7">
      <c r="A802" s="6">
        <v>44791</v>
      </c>
      <c r="B802" s="7">
        <v>6.7861</v>
      </c>
      <c r="C802" s="7">
        <v>6.781</v>
      </c>
      <c r="D802" s="7">
        <v>6.7961</v>
      </c>
      <c r="E802" s="7">
        <v>6.7769</v>
      </c>
      <c r="G802" s="8">
        <v>0.0008</v>
      </c>
    </row>
    <row r="803" spans="1:7">
      <c r="A803" s="6">
        <v>44790</v>
      </c>
      <c r="B803" s="7">
        <v>6.781</v>
      </c>
      <c r="C803" s="7">
        <v>6.7883</v>
      </c>
      <c r="D803" s="7">
        <v>6.7883</v>
      </c>
      <c r="E803" s="7">
        <v>6.7689</v>
      </c>
      <c r="G803" s="8">
        <v>-0.0011</v>
      </c>
    </row>
    <row r="804" spans="1:7">
      <c r="A804" s="6">
        <v>44789</v>
      </c>
      <c r="B804" s="7">
        <v>6.7883</v>
      </c>
      <c r="C804" s="7">
        <v>6.7893</v>
      </c>
      <c r="D804" s="7">
        <v>6.7974</v>
      </c>
      <c r="E804" s="7">
        <v>6.7825</v>
      </c>
      <c r="G804" s="8">
        <v>0.0022</v>
      </c>
    </row>
    <row r="805" spans="1:7">
      <c r="A805" s="6">
        <v>44788</v>
      </c>
      <c r="B805" s="7">
        <v>6.7735</v>
      </c>
      <c r="C805" s="7">
        <v>6.7428</v>
      </c>
      <c r="D805" s="7">
        <v>6.7748</v>
      </c>
      <c r="E805" s="7">
        <v>6.7428</v>
      </c>
      <c r="G805" s="8">
        <v>0.0046</v>
      </c>
    </row>
    <row r="806" spans="1:7">
      <c r="A806" s="6">
        <v>44785</v>
      </c>
      <c r="B806" s="7">
        <v>6.7428</v>
      </c>
      <c r="C806" s="7">
        <v>6.7448</v>
      </c>
      <c r="D806" s="7">
        <v>6.7466</v>
      </c>
      <c r="E806" s="7">
        <v>6.7325</v>
      </c>
      <c r="G806" s="8">
        <v>-0.0003</v>
      </c>
    </row>
    <row r="807" spans="1:7">
      <c r="A807" s="6">
        <v>44784</v>
      </c>
      <c r="B807" s="7">
        <v>6.7448</v>
      </c>
      <c r="C807" s="7">
        <v>6.7238</v>
      </c>
      <c r="D807" s="7">
        <v>6.7448</v>
      </c>
      <c r="E807" s="7">
        <v>6.7238</v>
      </c>
      <c r="G807" s="8">
        <v>0.0031</v>
      </c>
    </row>
    <row r="808" spans="1:7">
      <c r="A808" s="6">
        <v>44783</v>
      </c>
      <c r="B808" s="7">
        <v>6.7238</v>
      </c>
      <c r="C808" s="7">
        <v>6.7527</v>
      </c>
      <c r="D808" s="7">
        <v>6.76</v>
      </c>
      <c r="E808" s="7">
        <v>6.723</v>
      </c>
      <c r="G808" s="8">
        <v>-0.0043</v>
      </c>
    </row>
    <row r="809" spans="1:7">
      <c r="A809" s="6">
        <v>44782</v>
      </c>
      <c r="B809" s="7">
        <v>6.7527</v>
      </c>
      <c r="C809" s="7">
        <v>6.7506</v>
      </c>
      <c r="D809" s="7">
        <v>6.7583</v>
      </c>
      <c r="E809" s="7">
        <v>6.7506</v>
      </c>
      <c r="G809" s="8">
        <v>0.0003</v>
      </c>
    </row>
    <row r="810" spans="1:7">
      <c r="A810" s="6">
        <v>44781</v>
      </c>
      <c r="B810" s="7">
        <v>6.7506</v>
      </c>
      <c r="C810" s="7">
        <v>6.7605</v>
      </c>
      <c r="D810" s="7">
        <v>6.765</v>
      </c>
      <c r="E810" s="7">
        <v>6.7506</v>
      </c>
      <c r="G810" s="8">
        <v>-0.0017</v>
      </c>
    </row>
    <row r="811" spans="1:7">
      <c r="A811" s="6">
        <v>44778</v>
      </c>
      <c r="B811" s="7">
        <v>6.7619</v>
      </c>
      <c r="C811" s="7">
        <v>6.7417</v>
      </c>
      <c r="D811" s="7">
        <v>6.7626</v>
      </c>
      <c r="E811" s="7">
        <v>6.7417</v>
      </c>
      <c r="G811" s="8">
        <v>0.0019</v>
      </c>
    </row>
    <row r="812" spans="1:7">
      <c r="A812" s="6">
        <v>44777</v>
      </c>
      <c r="B812" s="7">
        <v>6.7493</v>
      </c>
      <c r="C812" s="7">
        <v>6.7512</v>
      </c>
      <c r="D812" s="7">
        <v>6.7591</v>
      </c>
      <c r="E812" s="7">
        <v>6.7465</v>
      </c>
      <c r="G812" s="8">
        <v>-0.0012</v>
      </c>
    </row>
    <row r="813" spans="1:7">
      <c r="A813" s="6">
        <v>44776</v>
      </c>
      <c r="B813" s="7">
        <v>6.7573</v>
      </c>
      <c r="C813" s="7">
        <v>6.7571</v>
      </c>
      <c r="D813" s="7">
        <v>6.7592</v>
      </c>
      <c r="E813" s="7">
        <v>6.7453</v>
      </c>
      <c r="G813" s="8">
        <v>0.0007</v>
      </c>
    </row>
    <row r="814" spans="1:7">
      <c r="A814" s="6">
        <v>44775</v>
      </c>
      <c r="B814" s="7">
        <v>6.7525</v>
      </c>
      <c r="C814" s="7">
        <v>6.7754</v>
      </c>
      <c r="D814" s="7">
        <v>6.7823</v>
      </c>
      <c r="E814" s="7">
        <v>6.7487</v>
      </c>
      <c r="G814" s="8">
        <v>-0.0024</v>
      </c>
    </row>
    <row r="815" spans="1:7">
      <c r="A815" s="6">
        <v>44774</v>
      </c>
      <c r="B815" s="7">
        <v>6.7688</v>
      </c>
      <c r="C815" s="7">
        <v>6.7474</v>
      </c>
      <c r="D815" s="7">
        <v>6.7751</v>
      </c>
      <c r="E815" s="7">
        <v>6.7452</v>
      </c>
      <c r="G815" s="8">
        <v>0.0036</v>
      </c>
    </row>
    <row r="816" spans="1:7">
      <c r="A816" s="6">
        <v>44771</v>
      </c>
      <c r="B816" s="7">
        <v>6.7442</v>
      </c>
      <c r="C816" s="7">
        <v>6.7443</v>
      </c>
      <c r="D816" s="7">
        <v>6.7522</v>
      </c>
      <c r="E816" s="7">
        <v>6.7279</v>
      </c>
      <c r="G816" s="8">
        <v>-0.0005</v>
      </c>
    </row>
    <row r="817" spans="1:7">
      <c r="A817" s="6">
        <v>44770</v>
      </c>
      <c r="B817" s="7">
        <v>6.7473</v>
      </c>
      <c r="C817" s="7">
        <v>6.742</v>
      </c>
      <c r="D817" s="7">
        <v>6.7519</v>
      </c>
      <c r="E817" s="7">
        <v>6.7362</v>
      </c>
      <c r="G817" s="8">
        <v>-0.0017</v>
      </c>
    </row>
    <row r="818" spans="1:7">
      <c r="A818" s="6">
        <v>44769</v>
      </c>
      <c r="B818" s="7">
        <v>6.7585</v>
      </c>
      <c r="C818" s="7">
        <v>6.7629</v>
      </c>
      <c r="D818" s="7">
        <v>6.7689</v>
      </c>
      <c r="E818" s="7">
        <v>6.7505</v>
      </c>
      <c r="G818" s="8">
        <v>-0.0007</v>
      </c>
    </row>
    <row r="819" spans="1:7">
      <c r="A819" s="6">
        <v>44768</v>
      </c>
      <c r="B819" s="7">
        <v>6.7633</v>
      </c>
      <c r="C819" s="7">
        <v>6.7453</v>
      </c>
      <c r="D819" s="7">
        <v>6.7655</v>
      </c>
      <c r="E819" s="7">
        <v>6.7453</v>
      </c>
      <c r="G819" s="8">
        <v>0.0018</v>
      </c>
    </row>
    <row r="820" spans="1:7">
      <c r="A820" s="6">
        <v>44767</v>
      </c>
      <c r="B820" s="7">
        <v>6.751</v>
      </c>
      <c r="C820" s="7">
        <v>6.7548</v>
      </c>
      <c r="D820" s="7">
        <v>6.758</v>
      </c>
      <c r="E820" s="7">
        <v>6.7441</v>
      </c>
      <c r="G820" s="8">
        <v>-0.0001</v>
      </c>
    </row>
    <row r="821" spans="1:7">
      <c r="A821" s="6">
        <v>44764</v>
      </c>
      <c r="B821" s="7">
        <v>6.7515</v>
      </c>
      <c r="C821" s="7">
        <v>6.7628</v>
      </c>
      <c r="D821" s="7">
        <v>6.7714</v>
      </c>
      <c r="E821" s="7">
        <v>6.7473</v>
      </c>
      <c r="G821" s="8">
        <v>-0.0023</v>
      </c>
    </row>
    <row r="822" spans="1:7">
      <c r="A822" s="6">
        <v>44763</v>
      </c>
      <c r="B822" s="7">
        <v>6.7668</v>
      </c>
      <c r="C822" s="7">
        <v>6.7631</v>
      </c>
      <c r="D822" s="7">
        <v>6.7713</v>
      </c>
      <c r="E822" s="7">
        <v>6.7567</v>
      </c>
      <c r="G822" s="8">
        <v>0.0016</v>
      </c>
    </row>
    <row r="823" spans="1:7">
      <c r="A823" s="6">
        <v>44762</v>
      </c>
      <c r="B823" s="7">
        <v>6.7559</v>
      </c>
      <c r="C823" s="7">
        <v>6.74</v>
      </c>
      <c r="D823" s="7">
        <v>6.7564</v>
      </c>
      <c r="E823" s="7">
        <v>6.74</v>
      </c>
      <c r="G823" s="8">
        <v>0.0017</v>
      </c>
    </row>
    <row r="824" spans="1:7">
      <c r="A824" s="6">
        <v>44761</v>
      </c>
      <c r="B824" s="7">
        <v>6.7445</v>
      </c>
      <c r="C824" s="7">
        <v>6.7473</v>
      </c>
      <c r="D824" s="7">
        <v>6.7542</v>
      </c>
      <c r="E824" s="7">
        <v>6.739</v>
      </c>
      <c r="G824" s="8">
        <v>0.0002</v>
      </c>
    </row>
    <row r="825" spans="1:7">
      <c r="A825" s="6">
        <v>44760</v>
      </c>
      <c r="B825" s="7">
        <v>6.7433</v>
      </c>
      <c r="C825" s="7">
        <v>6.7481</v>
      </c>
      <c r="D825" s="7">
        <v>6.7551</v>
      </c>
      <c r="E825" s="7">
        <v>6.732</v>
      </c>
      <c r="G825" s="8">
        <v>-0.0021</v>
      </c>
    </row>
    <row r="826" spans="1:7">
      <c r="A826" s="6">
        <v>44757</v>
      </c>
      <c r="B826" s="7">
        <v>6.7575</v>
      </c>
      <c r="C826" s="7">
        <v>6.7517</v>
      </c>
      <c r="D826" s="7">
        <v>6.7698</v>
      </c>
      <c r="E826" s="7">
        <v>6.7397</v>
      </c>
      <c r="G826" s="8">
        <v>0.0002</v>
      </c>
    </row>
    <row r="827" spans="1:7">
      <c r="A827" s="6">
        <v>44756</v>
      </c>
      <c r="B827" s="7">
        <v>6.7561</v>
      </c>
      <c r="C827" s="7">
        <v>6.7269</v>
      </c>
      <c r="D827" s="7">
        <v>6.7674</v>
      </c>
      <c r="E827" s="7">
        <v>6.7229</v>
      </c>
      <c r="G827" s="8">
        <v>0.0056</v>
      </c>
    </row>
    <row r="828" spans="1:7">
      <c r="A828" s="6">
        <v>44755</v>
      </c>
      <c r="B828" s="7">
        <v>6.7187</v>
      </c>
      <c r="C828" s="7">
        <v>6.728</v>
      </c>
      <c r="D828" s="7">
        <v>6.7402</v>
      </c>
      <c r="E828" s="7">
        <v>6.7166</v>
      </c>
      <c r="G828" s="8">
        <v>-0.0009</v>
      </c>
    </row>
    <row r="829" spans="1:7">
      <c r="A829" s="6">
        <v>44754</v>
      </c>
      <c r="B829" s="7">
        <v>6.7248</v>
      </c>
      <c r="C829" s="7">
        <v>6.7183</v>
      </c>
      <c r="D829" s="7">
        <v>6.7391</v>
      </c>
      <c r="E829" s="7">
        <v>6.7178</v>
      </c>
      <c r="G829" s="8">
        <v>0.001</v>
      </c>
    </row>
    <row r="830" spans="1:7">
      <c r="A830" s="6">
        <v>44753</v>
      </c>
      <c r="B830" s="7">
        <v>6.7183</v>
      </c>
      <c r="C830" s="7">
        <v>6.6981</v>
      </c>
      <c r="D830" s="7">
        <v>6.7202</v>
      </c>
      <c r="E830" s="7">
        <v>6.6965</v>
      </c>
      <c r="G830" s="8">
        <v>0.0034</v>
      </c>
    </row>
    <row r="831" spans="1:7">
      <c r="A831" s="6">
        <v>44750</v>
      </c>
      <c r="B831" s="7">
        <v>6.6953</v>
      </c>
      <c r="C831" s="7">
        <v>6.6985</v>
      </c>
      <c r="D831" s="7">
        <v>6.7095</v>
      </c>
      <c r="E831" s="7">
        <v>6.6917</v>
      </c>
      <c r="G831" s="8">
        <v>-0.001</v>
      </c>
    </row>
    <row r="832" spans="1:7">
      <c r="A832" s="6">
        <v>44749</v>
      </c>
      <c r="B832" s="7">
        <v>6.702</v>
      </c>
      <c r="C832" s="7">
        <v>6.712</v>
      </c>
      <c r="D832" s="7">
        <v>6.7138</v>
      </c>
      <c r="E832" s="7">
        <v>6.6968</v>
      </c>
      <c r="G832" s="8">
        <v>-0.0009</v>
      </c>
    </row>
    <row r="833" spans="1:7">
      <c r="A833" s="6">
        <v>44748</v>
      </c>
      <c r="B833" s="7">
        <v>6.708</v>
      </c>
      <c r="C833" s="7">
        <v>6.7164</v>
      </c>
      <c r="D833" s="7">
        <v>6.7164</v>
      </c>
      <c r="E833" s="7">
        <v>6.7003</v>
      </c>
      <c r="G833" s="8">
        <v>-0.0018</v>
      </c>
    </row>
    <row r="834" spans="1:7">
      <c r="A834" s="6">
        <v>44747</v>
      </c>
      <c r="B834" s="7">
        <v>6.7199</v>
      </c>
      <c r="C834" s="7">
        <v>6.6965</v>
      </c>
      <c r="D834" s="7">
        <v>6.7249</v>
      </c>
      <c r="E834" s="7">
        <v>6.684</v>
      </c>
      <c r="G834" s="8">
        <v>0.003</v>
      </c>
    </row>
    <row r="835" spans="1:7">
      <c r="A835" s="6">
        <v>44746</v>
      </c>
      <c r="B835" s="7">
        <v>6.7</v>
      </c>
      <c r="C835" s="7">
        <v>6.6997</v>
      </c>
      <c r="D835" s="7">
        <v>6.7036</v>
      </c>
      <c r="E835" s="7">
        <v>6.686</v>
      </c>
      <c r="G835" s="8">
        <v>-0.0002</v>
      </c>
    </row>
    <row r="836" spans="1:7">
      <c r="A836" s="6">
        <v>44743</v>
      </c>
      <c r="B836" s="7">
        <v>6.7015</v>
      </c>
      <c r="C836" s="7">
        <v>6.694</v>
      </c>
      <c r="D836" s="7">
        <v>6.7181</v>
      </c>
      <c r="E836" s="7">
        <v>6.6935</v>
      </c>
      <c r="G836" s="8">
        <v>0.0003</v>
      </c>
    </row>
    <row r="837" spans="1:7">
      <c r="A837" s="6">
        <v>44742</v>
      </c>
      <c r="B837" s="7">
        <v>6.6993</v>
      </c>
      <c r="C837" s="7">
        <v>6.7056</v>
      </c>
      <c r="D837" s="7">
        <v>6.7064</v>
      </c>
      <c r="E837" s="7">
        <v>6.6897</v>
      </c>
      <c r="G837" s="8">
        <v>-0.0001</v>
      </c>
    </row>
    <row r="838" spans="1:7">
      <c r="A838" s="6">
        <v>44741</v>
      </c>
      <c r="B838" s="7">
        <v>6.7</v>
      </c>
      <c r="C838" s="7">
        <v>6.706</v>
      </c>
      <c r="D838" s="7">
        <v>6.7097</v>
      </c>
      <c r="E838" s="7">
        <v>6.6879</v>
      </c>
      <c r="G838" s="8">
        <v>-0.0012</v>
      </c>
    </row>
    <row r="839" spans="1:7">
      <c r="A839" s="6">
        <v>44740</v>
      </c>
      <c r="B839" s="7">
        <v>6.7081</v>
      </c>
      <c r="C839" s="7">
        <v>6.6965</v>
      </c>
      <c r="D839" s="7">
        <v>6.7144</v>
      </c>
      <c r="E839" s="7">
        <v>6.6741</v>
      </c>
      <c r="G839" s="8">
        <v>0.0024</v>
      </c>
    </row>
    <row r="840" spans="1:7">
      <c r="A840" s="6">
        <v>44739</v>
      </c>
      <c r="B840" s="7">
        <v>6.6918</v>
      </c>
      <c r="C840" s="7">
        <v>6.6876</v>
      </c>
      <c r="D840" s="7">
        <v>6.6958</v>
      </c>
      <c r="E840" s="7">
        <v>6.6815</v>
      </c>
      <c r="G840" s="8">
        <v>0.0003</v>
      </c>
    </row>
    <row r="841" spans="1:7">
      <c r="A841" s="6">
        <v>44736</v>
      </c>
      <c r="B841" s="7">
        <v>6.6898</v>
      </c>
      <c r="C841" s="7">
        <v>6.6946</v>
      </c>
      <c r="D841" s="7">
        <v>6.701</v>
      </c>
      <c r="E841" s="7">
        <v>6.6838</v>
      </c>
      <c r="G841" s="8">
        <v>-0.0013</v>
      </c>
    </row>
    <row r="842" spans="1:7">
      <c r="A842" s="6">
        <v>44735</v>
      </c>
      <c r="B842" s="7">
        <v>6.6985</v>
      </c>
      <c r="C842" s="7">
        <v>6.7045</v>
      </c>
      <c r="D842" s="7">
        <v>6.7155</v>
      </c>
      <c r="E842" s="7">
        <v>6.6965</v>
      </c>
      <c r="G842" s="8">
        <v>-0.0006</v>
      </c>
    </row>
    <row r="843" spans="1:7">
      <c r="A843" s="6">
        <v>44734</v>
      </c>
      <c r="B843" s="7">
        <v>6.7023</v>
      </c>
      <c r="C843" s="7">
        <v>6.7028</v>
      </c>
      <c r="D843" s="7">
        <v>6.7275</v>
      </c>
      <c r="E843" s="7">
        <v>6.6965</v>
      </c>
      <c r="G843" s="8">
        <v>0.0019</v>
      </c>
    </row>
    <row r="844" spans="1:7">
      <c r="A844" s="6">
        <v>44733</v>
      </c>
      <c r="B844" s="7">
        <v>6.6895</v>
      </c>
      <c r="C844" s="7">
        <v>6.6836</v>
      </c>
      <c r="D844" s="7">
        <v>6.702</v>
      </c>
      <c r="E844" s="7">
        <v>6.6742</v>
      </c>
      <c r="G844" s="8">
        <v>-0.0004</v>
      </c>
    </row>
    <row r="845" spans="1:7">
      <c r="A845" s="6">
        <v>44732</v>
      </c>
      <c r="B845" s="7">
        <v>6.6925</v>
      </c>
      <c r="C845" s="7">
        <v>6.7092</v>
      </c>
      <c r="D845" s="7">
        <v>6.711</v>
      </c>
      <c r="E845" s="7">
        <v>6.6716</v>
      </c>
      <c r="G845" s="8">
        <v>-0.0036</v>
      </c>
    </row>
    <row r="846" spans="1:7">
      <c r="A846" s="6">
        <v>44729</v>
      </c>
      <c r="B846" s="7">
        <v>6.7167</v>
      </c>
      <c r="C846" s="7">
        <v>6.6979</v>
      </c>
      <c r="D846" s="7">
        <v>6.7193</v>
      </c>
      <c r="E846" s="7">
        <v>6.6915</v>
      </c>
      <c r="G846" s="8">
        <v>0.002</v>
      </c>
    </row>
    <row r="847" spans="1:7">
      <c r="A847" s="6">
        <v>44728</v>
      </c>
      <c r="B847" s="7">
        <v>6.7035</v>
      </c>
      <c r="C847" s="7">
        <v>6.6939</v>
      </c>
      <c r="D847" s="7">
        <v>6.7191</v>
      </c>
      <c r="E847" s="7">
        <v>6.6916</v>
      </c>
      <c r="G847" s="8">
        <v>-0.0016</v>
      </c>
    </row>
    <row r="848" spans="1:7">
      <c r="A848" s="6">
        <v>44727</v>
      </c>
      <c r="B848" s="7">
        <v>6.7141</v>
      </c>
      <c r="C848" s="7">
        <v>6.7278</v>
      </c>
      <c r="D848" s="7">
        <v>6.7283</v>
      </c>
      <c r="E848" s="7">
        <v>6.703</v>
      </c>
      <c r="G848" s="8">
        <v>-0.004</v>
      </c>
    </row>
    <row r="849" spans="1:7">
      <c r="A849" s="6">
        <v>44726</v>
      </c>
      <c r="B849" s="7">
        <v>6.741</v>
      </c>
      <c r="C849" s="7">
        <v>6.7606</v>
      </c>
      <c r="D849" s="7">
        <v>6.7617</v>
      </c>
      <c r="E849" s="7">
        <v>6.7134</v>
      </c>
      <c r="G849" s="8">
        <v>-0.002</v>
      </c>
    </row>
    <row r="850" spans="1:7">
      <c r="A850" s="6">
        <v>44725</v>
      </c>
      <c r="B850" s="7">
        <v>6.7546</v>
      </c>
      <c r="C850" s="7">
        <v>6.7393</v>
      </c>
      <c r="D850" s="7">
        <v>6.7593</v>
      </c>
      <c r="E850" s="7">
        <v>6.7265</v>
      </c>
      <c r="G850" s="8">
        <v>0.0068</v>
      </c>
    </row>
    <row r="851" spans="1:7">
      <c r="A851" s="6">
        <v>44722</v>
      </c>
      <c r="B851" s="7">
        <v>6.7089</v>
      </c>
      <c r="C851" s="7">
        <v>6.691</v>
      </c>
      <c r="D851" s="7">
        <v>6.7185</v>
      </c>
      <c r="E851" s="7">
        <v>6.6789</v>
      </c>
      <c r="G851" s="8">
        <v>0.0025</v>
      </c>
    </row>
    <row r="852" spans="1:7">
      <c r="A852" s="6">
        <v>44721</v>
      </c>
      <c r="B852" s="7">
        <v>6.6923</v>
      </c>
      <c r="C852" s="7">
        <v>6.6944</v>
      </c>
      <c r="D852" s="7">
        <v>6.7013</v>
      </c>
      <c r="E852" s="7">
        <v>6.6635</v>
      </c>
      <c r="G852" s="8">
        <v>0.0013</v>
      </c>
    </row>
    <row r="853" spans="1:7">
      <c r="A853" s="6">
        <v>44720</v>
      </c>
      <c r="B853" s="7">
        <v>6.6838</v>
      </c>
      <c r="C853" s="7">
        <v>6.6675</v>
      </c>
      <c r="D853" s="7">
        <v>6.6974</v>
      </c>
      <c r="E853" s="7">
        <v>6.6626</v>
      </c>
      <c r="G853" s="8">
        <v>0.002</v>
      </c>
    </row>
    <row r="854" spans="1:7">
      <c r="A854" s="6">
        <v>44719</v>
      </c>
      <c r="B854" s="7">
        <v>6.6703</v>
      </c>
      <c r="C854" s="7">
        <v>6.6674</v>
      </c>
      <c r="D854" s="7">
        <v>6.679</v>
      </c>
      <c r="E854" s="7">
        <v>6.661</v>
      </c>
      <c r="G854" s="8">
        <v>0.0024</v>
      </c>
    </row>
    <row r="855" spans="1:7">
      <c r="A855" s="6">
        <v>44718</v>
      </c>
      <c r="B855" s="7">
        <v>6.654</v>
      </c>
      <c r="C855" s="7">
        <v>6.6419</v>
      </c>
      <c r="D855" s="7">
        <v>6.6587</v>
      </c>
      <c r="E855" s="7">
        <v>6.6376</v>
      </c>
      <c r="G855" s="8">
        <v>-0.0009</v>
      </c>
    </row>
    <row r="856" spans="1:7">
      <c r="A856" s="6">
        <v>44715</v>
      </c>
      <c r="B856" s="7">
        <v>6.6603</v>
      </c>
      <c r="C856" s="7">
        <v>6.6603</v>
      </c>
      <c r="D856" s="7">
        <v>6.6603</v>
      </c>
      <c r="E856" s="7">
        <v>6.6603</v>
      </c>
      <c r="G856" s="8">
        <v>0</v>
      </c>
    </row>
    <row r="857" spans="1:7">
      <c r="A857" s="6">
        <v>44714</v>
      </c>
      <c r="B857" s="7">
        <v>6.6603</v>
      </c>
      <c r="C857" s="7">
        <v>6.693</v>
      </c>
      <c r="D857" s="7">
        <v>6.7064</v>
      </c>
      <c r="E857" s="7">
        <v>6.6595</v>
      </c>
      <c r="G857" s="8">
        <v>-0.0039</v>
      </c>
    </row>
    <row r="858" spans="1:7">
      <c r="A858" s="6">
        <v>44713</v>
      </c>
      <c r="B858" s="7">
        <v>6.6864</v>
      </c>
      <c r="C858" s="7">
        <v>6.6676</v>
      </c>
      <c r="D858" s="7">
        <v>6.7009</v>
      </c>
      <c r="E858" s="7">
        <v>6.6641</v>
      </c>
      <c r="G858" s="8">
        <v>0.0022</v>
      </c>
    </row>
    <row r="859" spans="1:7">
      <c r="A859" s="6">
        <v>44712</v>
      </c>
      <c r="B859" s="7">
        <v>6.672</v>
      </c>
      <c r="C859" s="7">
        <v>6.6708</v>
      </c>
      <c r="D859" s="7">
        <v>6.6755</v>
      </c>
      <c r="E859" s="7">
        <v>6.6509</v>
      </c>
      <c r="G859" s="8">
        <v>0.0017</v>
      </c>
    </row>
    <row r="860" spans="1:7">
      <c r="A860" s="6">
        <v>44711</v>
      </c>
      <c r="B860" s="7">
        <v>6.6606</v>
      </c>
      <c r="C860" s="7">
        <v>6.7024</v>
      </c>
      <c r="D860" s="7">
        <v>6.7026</v>
      </c>
      <c r="E860" s="7">
        <v>6.6443</v>
      </c>
      <c r="G860" s="8">
        <v>-0.0057</v>
      </c>
    </row>
    <row r="861" spans="1:7">
      <c r="A861" s="6">
        <v>44708</v>
      </c>
      <c r="B861" s="7">
        <v>6.6986</v>
      </c>
      <c r="C861" s="7">
        <v>6.7521</v>
      </c>
      <c r="D861" s="7">
        <v>6.7521</v>
      </c>
      <c r="E861" s="7">
        <v>6.6918</v>
      </c>
      <c r="G861" s="8">
        <v>-0.006</v>
      </c>
    </row>
    <row r="862" spans="1:7">
      <c r="A862" s="6">
        <v>44707</v>
      </c>
      <c r="B862" s="7">
        <v>6.7389</v>
      </c>
      <c r="C862" s="7">
        <v>6.6916</v>
      </c>
      <c r="D862" s="7">
        <v>6.751</v>
      </c>
      <c r="E862" s="7">
        <v>6.6916</v>
      </c>
      <c r="G862" s="8">
        <v>0.0069</v>
      </c>
    </row>
    <row r="863" spans="1:7">
      <c r="A863" s="6">
        <v>44706</v>
      </c>
      <c r="B863" s="7">
        <v>6.6928</v>
      </c>
      <c r="C863" s="7">
        <v>6.6611</v>
      </c>
      <c r="D863" s="7">
        <v>6.6994</v>
      </c>
      <c r="E863" s="7">
        <v>6.6564</v>
      </c>
      <c r="G863" s="8">
        <v>0.0059</v>
      </c>
    </row>
    <row r="864" spans="1:7">
      <c r="A864" s="6">
        <v>44705</v>
      </c>
      <c r="B864" s="7">
        <v>6.6538</v>
      </c>
      <c r="C864" s="7">
        <v>6.6613</v>
      </c>
      <c r="D864" s="7">
        <v>6.6806</v>
      </c>
      <c r="E864" s="7">
        <v>6.6493</v>
      </c>
      <c r="G864" s="8">
        <v>0.0005</v>
      </c>
    </row>
    <row r="865" spans="1:7">
      <c r="A865" s="6">
        <v>44704</v>
      </c>
      <c r="B865" s="7">
        <v>6.6508</v>
      </c>
      <c r="C865" s="7">
        <v>6.6768</v>
      </c>
      <c r="D865" s="7">
        <v>6.6925</v>
      </c>
      <c r="E865" s="7">
        <v>6.6448</v>
      </c>
      <c r="G865" s="8">
        <v>-0.0063</v>
      </c>
    </row>
    <row r="866" spans="1:7">
      <c r="A866" s="6">
        <v>44701</v>
      </c>
      <c r="B866" s="7">
        <v>6.693</v>
      </c>
      <c r="C866" s="7">
        <v>6.7222</v>
      </c>
      <c r="D866" s="7">
        <v>6.732</v>
      </c>
      <c r="E866" s="7">
        <v>6.6674</v>
      </c>
      <c r="G866" s="8">
        <v>-0.0029</v>
      </c>
    </row>
    <row r="867" spans="1:7">
      <c r="A867" s="6">
        <v>44700</v>
      </c>
      <c r="B867" s="7">
        <v>6.7125</v>
      </c>
      <c r="C867" s="7">
        <v>6.7622</v>
      </c>
      <c r="D867" s="7">
        <v>6.7705</v>
      </c>
      <c r="E867" s="7">
        <v>6.7111</v>
      </c>
      <c r="G867" s="8">
        <v>-0.0062</v>
      </c>
    </row>
    <row r="868" spans="1:7">
      <c r="A868" s="6">
        <v>44699</v>
      </c>
      <c r="B868" s="7">
        <v>6.7545</v>
      </c>
      <c r="C868" s="7">
        <v>6.7415</v>
      </c>
      <c r="D868" s="7">
        <v>6.758</v>
      </c>
      <c r="E868" s="7">
        <v>6.7377</v>
      </c>
      <c r="G868" s="8">
        <v>0.0025</v>
      </c>
    </row>
    <row r="869" spans="1:7">
      <c r="A869" s="6">
        <v>44698</v>
      </c>
      <c r="B869" s="7">
        <v>6.7377</v>
      </c>
      <c r="C869" s="7">
        <v>6.7783</v>
      </c>
      <c r="D869" s="7">
        <v>6.7833</v>
      </c>
      <c r="E869" s="7">
        <v>6.7225</v>
      </c>
      <c r="G869" s="8">
        <v>-0.0071</v>
      </c>
    </row>
    <row r="870" spans="1:7">
      <c r="A870" s="6">
        <v>44697</v>
      </c>
      <c r="B870" s="7">
        <v>6.7862</v>
      </c>
      <c r="C870" s="7">
        <v>6.778</v>
      </c>
      <c r="D870" s="7">
        <v>6.8038</v>
      </c>
      <c r="E870" s="7">
        <v>6.7725</v>
      </c>
      <c r="G870" s="8">
        <v>-0.0004</v>
      </c>
    </row>
    <row r="871" spans="1:7">
      <c r="A871" s="6">
        <v>44694</v>
      </c>
      <c r="B871" s="7">
        <v>6.789</v>
      </c>
      <c r="C871" s="7">
        <v>6.7917</v>
      </c>
      <c r="D871" s="7">
        <v>6.8128</v>
      </c>
      <c r="E871" s="7">
        <v>6.7757</v>
      </c>
      <c r="G871" s="8">
        <v>0.0003</v>
      </c>
    </row>
    <row r="872" spans="1:7">
      <c r="A872" s="6">
        <v>44693</v>
      </c>
      <c r="B872" s="7">
        <v>6.787</v>
      </c>
      <c r="C872" s="7">
        <v>6.7325</v>
      </c>
      <c r="D872" s="7">
        <v>6.7977</v>
      </c>
      <c r="E872" s="7">
        <v>6.728</v>
      </c>
      <c r="G872" s="8">
        <v>0.0098</v>
      </c>
    </row>
    <row r="873" spans="1:7">
      <c r="A873" s="6">
        <v>44692</v>
      </c>
      <c r="B873" s="7">
        <v>6.7211</v>
      </c>
      <c r="C873" s="7">
        <v>6.7338</v>
      </c>
      <c r="D873" s="7">
        <v>6.7386</v>
      </c>
      <c r="E873" s="7">
        <v>6.7105</v>
      </c>
      <c r="G873" s="8">
        <v>-0.002</v>
      </c>
    </row>
    <row r="874" spans="1:7">
      <c r="A874" s="6">
        <v>44691</v>
      </c>
      <c r="B874" s="7">
        <v>6.7347</v>
      </c>
      <c r="C874" s="7">
        <v>6.7315</v>
      </c>
      <c r="D874" s="7">
        <v>6.7408</v>
      </c>
      <c r="E874" s="7">
        <v>6.6899</v>
      </c>
      <c r="G874" s="8">
        <v>0.0006</v>
      </c>
    </row>
    <row r="875" spans="1:7">
      <c r="A875" s="6">
        <v>44690</v>
      </c>
      <c r="B875" s="7">
        <v>6.7308</v>
      </c>
      <c r="C875" s="7">
        <v>6.7043</v>
      </c>
      <c r="D875" s="7">
        <v>6.7324</v>
      </c>
      <c r="E875" s="7">
        <v>6.6917</v>
      </c>
      <c r="G875" s="8">
        <v>0.0096</v>
      </c>
    </row>
    <row r="876" spans="1:7">
      <c r="A876" s="6">
        <v>44687</v>
      </c>
      <c r="B876" s="7">
        <v>6.6666</v>
      </c>
      <c r="C876" s="7">
        <v>6.6602</v>
      </c>
      <c r="D876" s="7">
        <v>6.6956</v>
      </c>
      <c r="E876" s="7">
        <v>6.6592</v>
      </c>
      <c r="G876" s="8">
        <v>0.0016</v>
      </c>
    </row>
    <row r="877" spans="1:7">
      <c r="A877" s="6">
        <v>44686</v>
      </c>
      <c r="B877" s="7">
        <v>6.6558</v>
      </c>
      <c r="C877" s="7">
        <v>6.5908</v>
      </c>
      <c r="D877" s="7">
        <v>6.6558</v>
      </c>
      <c r="E877" s="7">
        <v>6.5908</v>
      </c>
      <c r="G877" s="8">
        <v>0.0072</v>
      </c>
    </row>
    <row r="878" spans="1:7">
      <c r="A878" s="6">
        <v>44685</v>
      </c>
      <c r="B878" s="7">
        <v>6.6085</v>
      </c>
      <c r="C878" s="7">
        <v>6.6085</v>
      </c>
      <c r="D878" s="7">
        <v>6.6085</v>
      </c>
      <c r="E878" s="7">
        <v>6.6085</v>
      </c>
      <c r="G878" s="8">
        <v>0</v>
      </c>
    </row>
    <row r="879" spans="1:7">
      <c r="A879" s="6">
        <v>44684</v>
      </c>
      <c r="B879" s="7">
        <v>6.6085</v>
      </c>
      <c r="C879" s="7">
        <v>6.6085</v>
      </c>
      <c r="D879" s="7">
        <v>6.6085</v>
      </c>
      <c r="E879" s="7">
        <v>6.6085</v>
      </c>
      <c r="G879" s="8">
        <v>0</v>
      </c>
    </row>
    <row r="880" spans="1:7">
      <c r="A880" s="6">
        <v>44683</v>
      </c>
      <c r="B880" s="7">
        <v>6.6085</v>
      </c>
      <c r="C880" s="7">
        <v>6.6085</v>
      </c>
      <c r="D880" s="7">
        <v>6.6085</v>
      </c>
      <c r="E880" s="7">
        <v>6.6085</v>
      </c>
      <c r="G880" s="8">
        <v>0</v>
      </c>
    </row>
    <row r="881" spans="1:7">
      <c r="A881" s="6">
        <v>44680</v>
      </c>
      <c r="B881" s="7">
        <v>6.6085</v>
      </c>
      <c r="C881" s="7">
        <v>6.615</v>
      </c>
      <c r="D881" s="7">
        <v>6.6515</v>
      </c>
      <c r="E881" s="7">
        <v>6.5842</v>
      </c>
      <c r="G881" s="8">
        <v>-0.0026</v>
      </c>
    </row>
    <row r="882" spans="1:7">
      <c r="A882" s="6">
        <v>44679</v>
      </c>
      <c r="B882" s="7">
        <v>6.626</v>
      </c>
      <c r="C882" s="7">
        <v>6.5607</v>
      </c>
      <c r="D882" s="7">
        <v>6.6309</v>
      </c>
      <c r="E882" s="7">
        <v>6.5589</v>
      </c>
      <c r="G882" s="8">
        <v>0.01</v>
      </c>
    </row>
    <row r="883" spans="1:7">
      <c r="A883" s="6">
        <v>44678</v>
      </c>
      <c r="B883" s="7">
        <v>6.5606</v>
      </c>
      <c r="C883" s="7">
        <v>6.5613</v>
      </c>
      <c r="D883" s="7">
        <v>6.5656</v>
      </c>
      <c r="E883" s="7">
        <v>6.5469</v>
      </c>
      <c r="G883" s="8">
        <v>0.0006</v>
      </c>
    </row>
    <row r="884" spans="1:7">
      <c r="A884" s="6">
        <v>44677</v>
      </c>
      <c r="B884" s="7">
        <v>6.5566</v>
      </c>
      <c r="C884" s="7">
        <v>6.5608</v>
      </c>
      <c r="D884" s="7">
        <v>6.5637</v>
      </c>
      <c r="E884" s="7">
        <v>6.5266</v>
      </c>
      <c r="G884" s="8">
        <v>-0.0004</v>
      </c>
    </row>
    <row r="885" spans="1:7">
      <c r="A885" s="6">
        <v>44676</v>
      </c>
      <c r="B885" s="7">
        <v>6.5594</v>
      </c>
      <c r="C885" s="7">
        <v>6.5148</v>
      </c>
      <c r="D885" s="7">
        <v>6.5792</v>
      </c>
      <c r="E885" s="7">
        <v>6.5131</v>
      </c>
      <c r="G885" s="8">
        <v>0.0089</v>
      </c>
    </row>
    <row r="886" spans="1:7">
      <c r="A886" s="6">
        <v>44673</v>
      </c>
      <c r="B886" s="7">
        <v>6.5013</v>
      </c>
      <c r="C886" s="7">
        <v>6.4516</v>
      </c>
      <c r="D886" s="7">
        <v>6.5067</v>
      </c>
      <c r="E886" s="7">
        <v>6.4491</v>
      </c>
      <c r="G886" s="8">
        <v>0.0079</v>
      </c>
    </row>
    <row r="887" spans="1:7">
      <c r="A887" s="6">
        <v>44672</v>
      </c>
      <c r="B887" s="7">
        <v>6.4506</v>
      </c>
      <c r="C887" s="7">
        <v>6.4155</v>
      </c>
      <c r="D887" s="7">
        <v>6.454</v>
      </c>
      <c r="E887" s="7">
        <v>6.4083</v>
      </c>
      <c r="G887" s="8">
        <v>0.0049</v>
      </c>
    </row>
    <row r="888" spans="1:7">
      <c r="A888" s="6">
        <v>44671</v>
      </c>
      <c r="B888" s="7">
        <v>6.4192</v>
      </c>
      <c r="C888" s="7">
        <v>6.4095</v>
      </c>
      <c r="D888" s="7">
        <v>6.4211</v>
      </c>
      <c r="E888" s="7">
        <v>6.3947</v>
      </c>
      <c r="G888" s="8">
        <v>0.004</v>
      </c>
    </row>
    <row r="889" spans="1:7">
      <c r="A889" s="6">
        <v>44670</v>
      </c>
      <c r="B889" s="7">
        <v>6.3935</v>
      </c>
      <c r="C889" s="7">
        <v>6.3691</v>
      </c>
      <c r="D889" s="7">
        <v>6.3984</v>
      </c>
      <c r="E889" s="7">
        <v>6.3684</v>
      </c>
      <c r="G889" s="8">
        <v>0.0042</v>
      </c>
    </row>
    <row r="890" spans="1:7">
      <c r="A890" s="6">
        <v>44669</v>
      </c>
      <c r="B890" s="7">
        <v>6.367</v>
      </c>
      <c r="C890" s="7">
        <v>6.3764</v>
      </c>
      <c r="D890" s="7">
        <v>6.3768</v>
      </c>
      <c r="E890" s="7">
        <v>6.3641</v>
      </c>
      <c r="G890" s="8">
        <v>-0.0007</v>
      </c>
    </row>
    <row r="891" spans="1:7">
      <c r="A891" s="6">
        <v>44666</v>
      </c>
      <c r="B891" s="7">
        <v>6.3712</v>
      </c>
      <c r="C891" s="7">
        <v>6.3777</v>
      </c>
      <c r="D891" s="7">
        <v>6.378</v>
      </c>
      <c r="E891" s="7">
        <v>6.3673</v>
      </c>
      <c r="G891" s="8">
        <v>-0.0011</v>
      </c>
    </row>
    <row r="892" spans="1:7">
      <c r="A892" s="6">
        <v>44665</v>
      </c>
      <c r="B892" s="7">
        <v>6.3784</v>
      </c>
      <c r="C892" s="7">
        <v>6.3665</v>
      </c>
      <c r="D892" s="7">
        <v>6.382</v>
      </c>
      <c r="E892" s="7">
        <v>6.3621</v>
      </c>
      <c r="G892" s="8">
        <v>0.0016</v>
      </c>
    </row>
    <row r="893" spans="1:7">
      <c r="A893" s="6">
        <v>44664</v>
      </c>
      <c r="B893" s="7">
        <v>6.3682</v>
      </c>
      <c r="C893" s="7">
        <v>6.3685</v>
      </c>
      <c r="D893" s="7">
        <v>6.3717</v>
      </c>
      <c r="E893" s="7">
        <v>6.3628</v>
      </c>
      <c r="G893" s="8">
        <v>0.0003</v>
      </c>
    </row>
    <row r="894" spans="1:7">
      <c r="A894" s="6">
        <v>44663</v>
      </c>
      <c r="B894" s="7">
        <v>6.366</v>
      </c>
      <c r="C894" s="7">
        <v>6.373</v>
      </c>
      <c r="D894" s="7">
        <v>6.375</v>
      </c>
      <c r="E894" s="7">
        <v>6.3637</v>
      </c>
      <c r="G894" s="8">
        <v>-0.0006</v>
      </c>
    </row>
    <row r="895" spans="1:7">
      <c r="A895" s="6">
        <v>44662</v>
      </c>
      <c r="B895" s="7">
        <v>6.37</v>
      </c>
      <c r="C895" s="7">
        <v>6.3655</v>
      </c>
      <c r="D895" s="7">
        <v>6.3754</v>
      </c>
      <c r="E895" s="7">
        <v>6.3649</v>
      </c>
      <c r="G895" s="8">
        <v>0.0008</v>
      </c>
    </row>
    <row r="896" spans="1:7">
      <c r="A896" s="6">
        <v>44659</v>
      </c>
      <c r="B896" s="7">
        <v>6.365</v>
      </c>
      <c r="C896" s="7">
        <v>6.3626</v>
      </c>
      <c r="D896" s="7">
        <v>6.3688</v>
      </c>
      <c r="E896" s="7">
        <v>6.3557</v>
      </c>
      <c r="G896" s="8">
        <v>0.0007</v>
      </c>
    </row>
    <row r="897" spans="1:7">
      <c r="A897" s="6">
        <v>44658</v>
      </c>
      <c r="B897" s="7">
        <v>6.3604</v>
      </c>
      <c r="C897" s="7">
        <v>6.362</v>
      </c>
      <c r="D897" s="7">
        <v>6.3662</v>
      </c>
      <c r="E897" s="7">
        <v>6.3564</v>
      </c>
      <c r="G897" s="8">
        <v>0.0001</v>
      </c>
    </row>
    <row r="898" spans="1:7">
      <c r="A898" s="6">
        <v>44657</v>
      </c>
      <c r="B898" s="7">
        <v>6.3599</v>
      </c>
      <c r="C898" s="7">
        <v>6.3723</v>
      </c>
      <c r="D898" s="7">
        <v>6.3765</v>
      </c>
      <c r="E898" s="7">
        <v>6.3562</v>
      </c>
      <c r="G898" s="8">
        <v>-0.0005</v>
      </c>
    </row>
    <row r="899" spans="1:7">
      <c r="A899" s="6">
        <v>44656</v>
      </c>
      <c r="B899" s="7">
        <v>6.3631</v>
      </c>
      <c r="C899" s="7">
        <v>6.3631</v>
      </c>
      <c r="D899" s="7">
        <v>6.3631</v>
      </c>
      <c r="E899" s="7">
        <v>6.3631</v>
      </c>
      <c r="G899" s="8">
        <v>0</v>
      </c>
    </row>
    <row r="900" spans="1:7">
      <c r="A900" s="6">
        <v>44655</v>
      </c>
      <c r="B900" s="7">
        <v>6.3631</v>
      </c>
      <c r="C900" s="7">
        <v>6.3631</v>
      </c>
      <c r="D900" s="7">
        <v>6.3631</v>
      </c>
      <c r="E900" s="7">
        <v>6.3631</v>
      </c>
      <c r="G900" s="8">
        <v>0</v>
      </c>
    </row>
    <row r="901" spans="1:7">
      <c r="A901" s="6">
        <v>44652</v>
      </c>
      <c r="B901" s="7">
        <v>6.3631</v>
      </c>
      <c r="C901" s="7">
        <v>6.343</v>
      </c>
      <c r="D901" s="7">
        <v>6.3665</v>
      </c>
      <c r="E901" s="7">
        <v>6.3423</v>
      </c>
      <c r="G901" s="8">
        <v>0.0036</v>
      </c>
    </row>
    <row r="902" spans="1:7">
      <c r="A902" s="6">
        <v>44651</v>
      </c>
      <c r="B902" s="7">
        <v>6.34</v>
      </c>
      <c r="C902" s="7">
        <v>6.3485</v>
      </c>
      <c r="D902" s="7">
        <v>6.3556</v>
      </c>
      <c r="E902" s="7">
        <v>6.3371</v>
      </c>
      <c r="G902" s="8">
        <v>-0.0012</v>
      </c>
    </row>
    <row r="903" spans="1:7">
      <c r="A903" s="6">
        <v>44650</v>
      </c>
      <c r="B903" s="7">
        <v>6.3477</v>
      </c>
      <c r="C903" s="7">
        <v>6.3634</v>
      </c>
      <c r="D903" s="7">
        <v>6.3637</v>
      </c>
      <c r="E903" s="7">
        <v>6.3458</v>
      </c>
      <c r="G903" s="8">
        <v>-0.0026</v>
      </c>
    </row>
    <row r="904" spans="1:7">
      <c r="A904" s="6">
        <v>44649</v>
      </c>
      <c r="B904" s="7">
        <v>6.3642</v>
      </c>
      <c r="C904" s="7">
        <v>6.3694</v>
      </c>
      <c r="D904" s="7">
        <v>6.3754</v>
      </c>
      <c r="E904" s="7">
        <v>6.3608</v>
      </c>
      <c r="G904" s="8">
        <v>-0.0012</v>
      </c>
    </row>
    <row r="905" spans="1:7">
      <c r="A905" s="6">
        <v>44648</v>
      </c>
      <c r="B905" s="7">
        <v>6.3721</v>
      </c>
      <c r="C905" s="7">
        <v>6.3795</v>
      </c>
      <c r="D905" s="7">
        <v>6.382</v>
      </c>
      <c r="E905" s="7">
        <v>6.3664</v>
      </c>
      <c r="G905" s="8">
        <v>0.0009</v>
      </c>
    </row>
    <row r="906" spans="1:7">
      <c r="A906" s="6">
        <v>44645</v>
      </c>
      <c r="B906" s="7">
        <v>6.3662</v>
      </c>
      <c r="C906" s="7">
        <v>6.3654</v>
      </c>
      <c r="D906" s="7">
        <v>6.3684</v>
      </c>
      <c r="E906" s="7">
        <v>6.3581</v>
      </c>
      <c r="G906" s="8">
        <v>-0.0003</v>
      </c>
    </row>
    <row r="907" spans="1:7">
      <c r="A907" s="6">
        <v>44644</v>
      </c>
      <c r="B907" s="7">
        <v>6.3678</v>
      </c>
      <c r="C907" s="7">
        <v>6.3755</v>
      </c>
      <c r="D907" s="7">
        <v>6.3782</v>
      </c>
      <c r="E907" s="7">
        <v>6.3659</v>
      </c>
      <c r="G907" s="8">
        <v>-0.0007</v>
      </c>
    </row>
    <row r="908" spans="1:7">
      <c r="A908" s="6">
        <v>44643</v>
      </c>
      <c r="B908" s="7">
        <v>6.3724</v>
      </c>
      <c r="C908" s="7">
        <v>6.365</v>
      </c>
      <c r="D908" s="7">
        <v>6.3773</v>
      </c>
      <c r="E908" s="7">
        <v>6.3636</v>
      </c>
      <c r="G908" s="8">
        <v>0.0009</v>
      </c>
    </row>
    <row r="909" spans="1:7">
      <c r="A909" s="6">
        <v>44642</v>
      </c>
      <c r="B909" s="7">
        <v>6.3665</v>
      </c>
      <c r="C909" s="7">
        <v>6.3625</v>
      </c>
      <c r="D909" s="7">
        <v>6.3678</v>
      </c>
      <c r="E909" s="7">
        <v>6.3574</v>
      </c>
      <c r="G909" s="8">
        <v>0.0017</v>
      </c>
    </row>
    <row r="910" spans="1:7">
      <c r="A910" s="6">
        <v>44641</v>
      </c>
      <c r="B910" s="7">
        <v>6.356</v>
      </c>
      <c r="C910" s="7">
        <v>6.3575</v>
      </c>
      <c r="D910" s="7">
        <v>6.3683</v>
      </c>
      <c r="E910" s="7">
        <v>6.3511</v>
      </c>
      <c r="G910" s="8">
        <v>-0.0008</v>
      </c>
    </row>
    <row r="911" spans="1:7">
      <c r="A911" s="6">
        <v>44638</v>
      </c>
      <c r="B911" s="7">
        <v>6.3612</v>
      </c>
      <c r="C911" s="7">
        <v>6.3498</v>
      </c>
      <c r="D911" s="7">
        <v>6.3692</v>
      </c>
      <c r="E911" s="7">
        <v>6.347</v>
      </c>
      <c r="G911" s="8">
        <v>0.0022</v>
      </c>
    </row>
    <row r="912" spans="1:7">
      <c r="A912" s="6">
        <v>44637</v>
      </c>
      <c r="B912" s="7">
        <v>6.347</v>
      </c>
      <c r="C912" s="7">
        <v>6.345</v>
      </c>
      <c r="D912" s="7">
        <v>6.3549</v>
      </c>
      <c r="E912" s="7">
        <v>6.3409</v>
      </c>
      <c r="G912" s="8">
        <v>-0.0008</v>
      </c>
    </row>
    <row r="913" spans="1:7">
      <c r="A913" s="6">
        <v>44636</v>
      </c>
      <c r="B913" s="7">
        <v>6.3523</v>
      </c>
      <c r="C913" s="7">
        <v>6.3705</v>
      </c>
      <c r="D913" s="7">
        <v>6.3707</v>
      </c>
      <c r="E913" s="7">
        <v>6.3418</v>
      </c>
      <c r="G913" s="8">
        <v>-0.0029</v>
      </c>
    </row>
    <row r="914" spans="1:7">
      <c r="A914" s="6">
        <v>44635</v>
      </c>
      <c r="B914" s="7">
        <v>6.3706</v>
      </c>
      <c r="C914" s="7">
        <v>6.3657</v>
      </c>
      <c r="D914" s="7">
        <v>6.3868</v>
      </c>
      <c r="E914" s="7">
        <v>6.3657</v>
      </c>
      <c r="G914" s="8">
        <v>0.0008</v>
      </c>
    </row>
    <row r="915" spans="1:7">
      <c r="A915" s="6">
        <v>44634</v>
      </c>
      <c r="B915" s="7">
        <v>6.3657</v>
      </c>
      <c r="C915" s="7">
        <v>6.3477</v>
      </c>
      <c r="D915" s="7">
        <v>6.3681</v>
      </c>
      <c r="E915" s="7">
        <v>6.3447</v>
      </c>
      <c r="G915" s="8">
        <v>0.0041</v>
      </c>
    </row>
    <row r="916" spans="1:7">
      <c r="A916" s="6">
        <v>44631</v>
      </c>
      <c r="B916" s="7">
        <v>6.3398</v>
      </c>
      <c r="C916" s="7">
        <v>6.3245</v>
      </c>
      <c r="D916" s="7">
        <v>6.3403</v>
      </c>
      <c r="E916" s="7">
        <v>6.318</v>
      </c>
      <c r="G916" s="8">
        <v>0.0028</v>
      </c>
    </row>
    <row r="917" spans="1:7">
      <c r="A917" s="6">
        <v>44630</v>
      </c>
      <c r="B917" s="7">
        <v>6.3219</v>
      </c>
      <c r="C917" s="7">
        <v>6.3169</v>
      </c>
      <c r="D917" s="7">
        <v>6.3264</v>
      </c>
      <c r="E917" s="7">
        <v>6.3151</v>
      </c>
      <c r="G917" s="8">
        <v>0.0006</v>
      </c>
    </row>
    <row r="918" spans="1:7">
      <c r="A918" s="6">
        <v>44629</v>
      </c>
      <c r="B918" s="7">
        <v>6.3178</v>
      </c>
      <c r="C918" s="7">
        <v>6.3174</v>
      </c>
      <c r="D918" s="7">
        <v>6.3286</v>
      </c>
      <c r="E918" s="7">
        <v>6.3123</v>
      </c>
      <c r="G918" s="8">
        <v>-0.0001</v>
      </c>
    </row>
    <row r="919" spans="1:7">
      <c r="A919" s="6">
        <v>44628</v>
      </c>
      <c r="B919" s="7">
        <v>6.3187</v>
      </c>
      <c r="C919" s="7">
        <v>6.3162</v>
      </c>
      <c r="D919" s="7">
        <v>6.3214</v>
      </c>
      <c r="E919" s="7">
        <v>6.3095</v>
      </c>
      <c r="G919" s="8">
        <v>-0.0003</v>
      </c>
    </row>
    <row r="920" spans="1:7">
      <c r="A920" s="6">
        <v>44627</v>
      </c>
      <c r="B920" s="7">
        <v>6.3208</v>
      </c>
      <c r="C920" s="7">
        <v>6.3258</v>
      </c>
      <c r="D920" s="7">
        <v>6.3263</v>
      </c>
      <c r="E920" s="7">
        <v>6.3157</v>
      </c>
      <c r="G920" s="8">
        <v>0.0001</v>
      </c>
    </row>
    <row r="921" spans="1:7">
      <c r="A921" s="6">
        <v>44624</v>
      </c>
      <c r="B921" s="7">
        <v>6.32</v>
      </c>
      <c r="C921" s="7">
        <v>6.3202</v>
      </c>
      <c r="D921" s="7">
        <v>6.3235</v>
      </c>
      <c r="E921" s="7">
        <v>6.3139</v>
      </c>
      <c r="G921" s="8">
        <v>0</v>
      </c>
    </row>
    <row r="922" spans="1:7">
      <c r="A922" s="6">
        <v>44623</v>
      </c>
      <c r="B922" s="7">
        <v>6.3202</v>
      </c>
      <c r="C922" s="7">
        <v>6.3191</v>
      </c>
      <c r="D922" s="7">
        <v>6.3226</v>
      </c>
      <c r="E922" s="7">
        <v>6.3143</v>
      </c>
      <c r="G922" s="8">
        <v>-0.0001</v>
      </c>
    </row>
    <row r="923" spans="1:7">
      <c r="A923" s="6">
        <v>44622</v>
      </c>
      <c r="B923" s="7">
        <v>6.3211</v>
      </c>
      <c r="C923" s="7">
        <v>6.3135</v>
      </c>
      <c r="D923" s="7">
        <v>6.3226</v>
      </c>
      <c r="E923" s="7">
        <v>6.3089</v>
      </c>
      <c r="G923" s="8">
        <v>0.0014</v>
      </c>
    </row>
    <row r="924" spans="1:7">
      <c r="A924" s="6">
        <v>44621</v>
      </c>
      <c r="B924" s="7">
        <v>6.3122</v>
      </c>
      <c r="C924" s="7">
        <v>6.3071</v>
      </c>
      <c r="D924" s="7">
        <v>6.3161</v>
      </c>
      <c r="E924" s="7">
        <v>6.3068</v>
      </c>
      <c r="G924" s="8">
        <v>0.0005</v>
      </c>
    </row>
    <row r="925" spans="1:7">
      <c r="A925" s="6">
        <v>44620</v>
      </c>
      <c r="B925" s="7">
        <v>6.3093</v>
      </c>
      <c r="C925" s="7">
        <v>6.3194</v>
      </c>
      <c r="D925" s="7">
        <v>6.3201</v>
      </c>
      <c r="E925" s="7">
        <v>6.3047</v>
      </c>
      <c r="G925" s="8">
        <v>-0.0013</v>
      </c>
    </row>
    <row r="926" spans="1:7">
      <c r="A926" s="6">
        <v>44617</v>
      </c>
      <c r="B926" s="7">
        <v>6.3175</v>
      </c>
      <c r="C926" s="7">
        <v>6.3231</v>
      </c>
      <c r="D926" s="7">
        <v>6.3248</v>
      </c>
      <c r="E926" s="7">
        <v>6.3116</v>
      </c>
      <c r="G926" s="8">
        <v>-0.0018</v>
      </c>
    </row>
    <row r="927" spans="1:7">
      <c r="A927" s="6">
        <v>44616</v>
      </c>
      <c r="B927" s="7">
        <v>6.3292</v>
      </c>
      <c r="C927" s="7">
        <v>6.3216</v>
      </c>
      <c r="D927" s="7">
        <v>6.3322</v>
      </c>
      <c r="E927" s="7">
        <v>6.3104</v>
      </c>
      <c r="G927" s="8">
        <v>0.0022</v>
      </c>
    </row>
    <row r="928" spans="1:7">
      <c r="A928" s="6">
        <v>44615</v>
      </c>
      <c r="B928" s="7">
        <v>6.315</v>
      </c>
      <c r="C928" s="7">
        <v>6.3266</v>
      </c>
      <c r="D928" s="7">
        <v>6.3317</v>
      </c>
      <c r="E928" s="7">
        <v>6.3119</v>
      </c>
      <c r="G928" s="8">
        <v>-0.0018</v>
      </c>
    </row>
    <row r="929" spans="1:7">
      <c r="A929" s="6">
        <v>44614</v>
      </c>
      <c r="B929" s="7">
        <v>6.3265</v>
      </c>
      <c r="C929" s="7">
        <v>6.3379</v>
      </c>
      <c r="D929" s="7">
        <v>6.3465</v>
      </c>
      <c r="E929" s="7">
        <v>6.3222</v>
      </c>
      <c r="G929" s="8">
        <v>-0.0014</v>
      </c>
    </row>
    <row r="930" spans="1:7">
      <c r="A930" s="6">
        <v>44613</v>
      </c>
      <c r="B930" s="7">
        <v>6.3353</v>
      </c>
      <c r="C930" s="7">
        <v>6.3276</v>
      </c>
      <c r="D930" s="7">
        <v>6.3384</v>
      </c>
      <c r="E930" s="7">
        <v>6.3219</v>
      </c>
      <c r="G930" s="8">
        <v>0.0015</v>
      </c>
    </row>
    <row r="931" spans="1:7">
      <c r="A931" s="6">
        <v>44610</v>
      </c>
      <c r="B931" s="7">
        <v>6.3256</v>
      </c>
      <c r="C931" s="7">
        <v>6.3361</v>
      </c>
      <c r="D931" s="7">
        <v>6.3376</v>
      </c>
      <c r="E931" s="7">
        <v>6.324</v>
      </c>
      <c r="G931" s="8">
        <v>-0.002</v>
      </c>
    </row>
    <row r="932" spans="1:7">
      <c r="A932" s="6">
        <v>44609</v>
      </c>
      <c r="B932" s="7">
        <v>6.3384</v>
      </c>
      <c r="C932" s="7">
        <v>6.3324</v>
      </c>
      <c r="D932" s="7">
        <v>6.3411</v>
      </c>
      <c r="E932" s="7">
        <v>6.3292</v>
      </c>
      <c r="G932" s="8">
        <v>0.0002</v>
      </c>
    </row>
    <row r="933" spans="1:7">
      <c r="A933" s="6">
        <v>44608</v>
      </c>
      <c r="B933" s="7">
        <v>6.3372</v>
      </c>
      <c r="C933" s="7">
        <v>6.3386</v>
      </c>
      <c r="D933" s="7">
        <v>6.3434</v>
      </c>
      <c r="E933" s="7">
        <v>6.3324</v>
      </c>
      <c r="G933" s="8">
        <v>-0.0003</v>
      </c>
    </row>
    <row r="934" spans="1:7">
      <c r="A934" s="6">
        <v>44607</v>
      </c>
      <c r="B934" s="7">
        <v>6.3392</v>
      </c>
      <c r="C934" s="7">
        <v>6.3542</v>
      </c>
      <c r="D934" s="7">
        <v>6.3569</v>
      </c>
      <c r="E934" s="7">
        <v>6.3378</v>
      </c>
      <c r="G934" s="8">
        <v>-0.0029</v>
      </c>
    </row>
    <row r="935" spans="1:7">
      <c r="A935" s="6">
        <v>44606</v>
      </c>
      <c r="B935" s="7">
        <v>6.3576</v>
      </c>
      <c r="C935" s="7">
        <v>6.3546</v>
      </c>
      <c r="D935" s="7">
        <v>6.3637</v>
      </c>
      <c r="E935" s="7">
        <v>6.3541</v>
      </c>
      <c r="G935" s="8">
        <v>0.0005</v>
      </c>
    </row>
    <row r="936" spans="1:7">
      <c r="A936" s="6">
        <v>44603</v>
      </c>
      <c r="B936" s="7">
        <v>6.3546</v>
      </c>
      <c r="C936" s="7">
        <v>6.3576</v>
      </c>
      <c r="D936" s="7">
        <v>6.368</v>
      </c>
      <c r="E936" s="7">
        <v>6.3538</v>
      </c>
      <c r="G936" s="8">
        <v>0.0001</v>
      </c>
    </row>
    <row r="937" spans="1:7">
      <c r="A937" s="6">
        <v>44602</v>
      </c>
      <c r="B937" s="7">
        <v>6.3541</v>
      </c>
      <c r="C937" s="7">
        <v>6.3615</v>
      </c>
      <c r="D937" s="7">
        <v>6.3637</v>
      </c>
      <c r="E937" s="7">
        <v>6.3521</v>
      </c>
      <c r="G937" s="8">
        <v>-0.0014</v>
      </c>
    </row>
    <row r="938" spans="1:7">
      <c r="A938" s="6">
        <v>44601</v>
      </c>
      <c r="B938" s="7">
        <v>6.3627</v>
      </c>
      <c r="C938" s="7">
        <v>6.3645</v>
      </c>
      <c r="D938" s="7">
        <v>6.3658</v>
      </c>
      <c r="E938" s="7">
        <v>6.3597</v>
      </c>
      <c r="G938" s="8">
        <v>-0.0006</v>
      </c>
    </row>
    <row r="939" spans="1:7">
      <c r="A939" s="6">
        <v>44600</v>
      </c>
      <c r="B939" s="7">
        <v>6.3666</v>
      </c>
      <c r="C939" s="7">
        <v>6.3565</v>
      </c>
      <c r="D939" s="7">
        <v>6.372</v>
      </c>
      <c r="E939" s="7">
        <v>6.3559</v>
      </c>
      <c r="G939" s="8">
        <v>0.0007</v>
      </c>
    </row>
    <row r="940" spans="1:7">
      <c r="A940" s="6">
        <v>44599</v>
      </c>
      <c r="B940" s="7">
        <v>6.3623</v>
      </c>
      <c r="C940" s="7">
        <v>6.3569</v>
      </c>
      <c r="D940" s="7">
        <v>6.364</v>
      </c>
      <c r="E940" s="7">
        <v>6.3544</v>
      </c>
      <c r="G940" s="8">
        <v>0.0002</v>
      </c>
    </row>
    <row r="941" spans="1:7">
      <c r="A941" s="6">
        <v>44596</v>
      </c>
      <c r="B941" s="7">
        <v>6.361</v>
      </c>
      <c r="C941" s="7">
        <v>6.361</v>
      </c>
      <c r="D941" s="7">
        <v>6.361</v>
      </c>
      <c r="E941" s="7">
        <v>6.361</v>
      </c>
      <c r="G941" s="8">
        <v>0</v>
      </c>
    </row>
    <row r="942" spans="1:7">
      <c r="A942" s="6">
        <v>44595</v>
      </c>
      <c r="B942" s="7">
        <v>6.361</v>
      </c>
      <c r="C942" s="7">
        <v>6.361</v>
      </c>
      <c r="D942" s="7">
        <v>6.361</v>
      </c>
      <c r="E942" s="7">
        <v>6.361</v>
      </c>
      <c r="G942" s="8">
        <v>0</v>
      </c>
    </row>
    <row r="943" spans="1:7">
      <c r="A943" s="6">
        <v>44594</v>
      </c>
      <c r="B943" s="7">
        <v>6.361</v>
      </c>
      <c r="C943" s="7">
        <v>6.361</v>
      </c>
      <c r="D943" s="7">
        <v>6.361</v>
      </c>
      <c r="E943" s="7">
        <v>6.361</v>
      </c>
      <c r="G943" s="8">
        <v>0</v>
      </c>
    </row>
    <row r="944" spans="1:7">
      <c r="A944" s="6">
        <v>44593</v>
      </c>
      <c r="B944" s="7">
        <v>6.361</v>
      </c>
      <c r="C944" s="7">
        <v>6.361</v>
      </c>
      <c r="D944" s="7">
        <v>6.361</v>
      </c>
      <c r="E944" s="7">
        <v>6.361</v>
      </c>
      <c r="G944" s="8">
        <v>0</v>
      </c>
    </row>
    <row r="945" spans="1:7">
      <c r="A945" s="6">
        <v>44592</v>
      </c>
      <c r="B945" s="7">
        <v>6.361</v>
      </c>
      <c r="C945" s="7">
        <v>6.361</v>
      </c>
      <c r="D945" s="7">
        <v>6.361</v>
      </c>
      <c r="E945" s="7">
        <v>6.361</v>
      </c>
      <c r="G945" s="8">
        <v>0</v>
      </c>
    </row>
    <row r="946" spans="1:7">
      <c r="A946" s="6">
        <v>44589</v>
      </c>
      <c r="B946" s="7">
        <v>6.361</v>
      </c>
      <c r="C946" s="7">
        <v>6.3654</v>
      </c>
      <c r="D946" s="7">
        <v>6.3673</v>
      </c>
      <c r="E946" s="7">
        <v>6.3528</v>
      </c>
      <c r="G946" s="8">
        <v>-0.0011</v>
      </c>
    </row>
    <row r="947" spans="1:7">
      <c r="A947" s="6">
        <v>44588</v>
      </c>
      <c r="B947" s="7">
        <v>6.3683</v>
      </c>
      <c r="C947" s="7">
        <v>6.3363</v>
      </c>
      <c r="D947" s="7">
        <v>6.3706</v>
      </c>
      <c r="E947" s="7">
        <v>6.3357</v>
      </c>
      <c r="G947" s="8">
        <v>0.0075</v>
      </c>
    </row>
    <row r="948" spans="1:7">
      <c r="A948" s="6">
        <v>44587</v>
      </c>
      <c r="B948" s="7">
        <v>6.3209</v>
      </c>
      <c r="C948" s="7">
        <v>6.3225</v>
      </c>
      <c r="D948" s="7">
        <v>6.3254</v>
      </c>
      <c r="E948" s="7">
        <v>6.3187</v>
      </c>
      <c r="G948" s="8">
        <v>-0.0008</v>
      </c>
    </row>
    <row r="949" spans="1:7">
      <c r="A949" s="6">
        <v>44586</v>
      </c>
      <c r="B949" s="7">
        <v>6.3261</v>
      </c>
      <c r="C949" s="7">
        <v>6.3285</v>
      </c>
      <c r="D949" s="7">
        <v>6.3326</v>
      </c>
      <c r="E949" s="7">
        <v>6.3223</v>
      </c>
      <c r="G949" s="8">
        <v>-0.0007</v>
      </c>
    </row>
    <row r="950" spans="1:7">
      <c r="A950" s="6">
        <v>44585</v>
      </c>
      <c r="B950" s="7">
        <v>6.3308</v>
      </c>
      <c r="C950" s="7">
        <v>6.335</v>
      </c>
      <c r="D950" s="7">
        <v>6.3354</v>
      </c>
      <c r="E950" s="7">
        <v>6.3243</v>
      </c>
      <c r="G950" s="8">
        <v>-0.0013</v>
      </c>
    </row>
    <row r="951" spans="1:7">
      <c r="A951" s="6">
        <v>44582</v>
      </c>
      <c r="B951" s="7">
        <v>6.339</v>
      </c>
      <c r="C951" s="7">
        <v>6.345</v>
      </c>
      <c r="D951" s="7">
        <v>6.346</v>
      </c>
      <c r="E951" s="7">
        <v>6.3359</v>
      </c>
      <c r="G951" s="8">
        <v>-0.0003</v>
      </c>
    </row>
    <row r="952" spans="1:7">
      <c r="A952" s="6">
        <v>44581</v>
      </c>
      <c r="B952" s="7">
        <v>6.3411</v>
      </c>
      <c r="C952" s="7">
        <v>6.3439</v>
      </c>
      <c r="D952" s="7">
        <v>6.3478</v>
      </c>
      <c r="E952" s="7">
        <v>6.3395</v>
      </c>
      <c r="G952" s="8">
        <v>-0.0006</v>
      </c>
    </row>
    <row r="953" spans="1:7">
      <c r="A953" s="6">
        <v>44580</v>
      </c>
      <c r="B953" s="7">
        <v>6.345</v>
      </c>
      <c r="C953" s="7">
        <v>6.3534</v>
      </c>
      <c r="D953" s="7">
        <v>6.3561</v>
      </c>
      <c r="E953" s="7">
        <v>6.3435</v>
      </c>
      <c r="G953" s="8">
        <v>-0.0013</v>
      </c>
    </row>
    <row r="954" spans="1:7">
      <c r="A954" s="6">
        <v>44579</v>
      </c>
      <c r="B954" s="7">
        <v>6.353</v>
      </c>
      <c r="C954" s="7">
        <v>6.347</v>
      </c>
      <c r="D954" s="7">
        <v>6.356</v>
      </c>
      <c r="E954" s="7">
        <v>6.3376</v>
      </c>
      <c r="G954" s="8">
        <v>0.0007</v>
      </c>
    </row>
    <row r="955" spans="1:7">
      <c r="A955" s="6">
        <v>44578</v>
      </c>
      <c r="B955" s="7">
        <v>6.3488</v>
      </c>
      <c r="C955" s="7">
        <v>6.3586</v>
      </c>
      <c r="D955" s="7">
        <v>6.359</v>
      </c>
      <c r="E955" s="7">
        <v>6.3416</v>
      </c>
      <c r="G955" s="8">
        <v>-0.0006</v>
      </c>
    </row>
    <row r="956" spans="1:7">
      <c r="A956" s="6">
        <v>44575</v>
      </c>
      <c r="B956" s="7">
        <v>6.3528</v>
      </c>
      <c r="C956" s="7">
        <v>6.3606</v>
      </c>
      <c r="D956" s="7">
        <v>6.3618</v>
      </c>
      <c r="E956" s="7">
        <v>6.3386</v>
      </c>
      <c r="G956" s="8">
        <v>-0.0011</v>
      </c>
    </row>
    <row r="957" spans="1:7">
      <c r="A957" s="6">
        <v>44574</v>
      </c>
      <c r="B957" s="7">
        <v>6.3599</v>
      </c>
      <c r="C957" s="7">
        <v>6.3582</v>
      </c>
      <c r="D957" s="7">
        <v>6.3652</v>
      </c>
      <c r="E957" s="7">
        <v>6.3549</v>
      </c>
      <c r="G957" s="8">
        <v>0.0002</v>
      </c>
    </row>
    <row r="958" spans="1:7">
      <c r="A958" s="6">
        <v>44573</v>
      </c>
      <c r="B958" s="7">
        <v>6.3584</v>
      </c>
      <c r="C958" s="7">
        <v>6.3688</v>
      </c>
      <c r="D958" s="7">
        <v>6.3694</v>
      </c>
      <c r="E958" s="7">
        <v>6.3566</v>
      </c>
      <c r="G958" s="8">
        <v>-0.0025</v>
      </c>
    </row>
    <row r="959" spans="1:7">
      <c r="A959" s="6">
        <v>44572</v>
      </c>
      <c r="B959" s="7">
        <v>6.3741</v>
      </c>
      <c r="C959" s="7">
        <v>6.3722</v>
      </c>
      <c r="D959" s="7">
        <v>6.3771</v>
      </c>
      <c r="E959" s="7">
        <v>6.3686</v>
      </c>
      <c r="G959" s="8">
        <v>-0.0003</v>
      </c>
    </row>
    <row r="960" spans="1:7">
      <c r="A960" s="6">
        <v>44571</v>
      </c>
      <c r="B960" s="7">
        <v>6.3762</v>
      </c>
      <c r="C960" s="7">
        <v>6.3744</v>
      </c>
      <c r="D960" s="7">
        <v>6.3779</v>
      </c>
      <c r="E960" s="7">
        <v>6.3698</v>
      </c>
      <c r="G960" s="8">
        <v>-0.0003</v>
      </c>
    </row>
    <row r="961" spans="1:7">
      <c r="A961" s="6">
        <v>44568</v>
      </c>
      <c r="B961" s="7">
        <v>6.3778</v>
      </c>
      <c r="C961" s="7">
        <v>6.3787</v>
      </c>
      <c r="D961" s="7">
        <v>6.3832</v>
      </c>
      <c r="E961" s="7">
        <v>6.3711</v>
      </c>
      <c r="G961" s="8">
        <v>-0.0008</v>
      </c>
    </row>
    <row r="962" spans="1:7">
      <c r="A962" s="6">
        <v>44567</v>
      </c>
      <c r="B962" s="7">
        <v>6.383</v>
      </c>
      <c r="C962" s="7">
        <v>6.3707</v>
      </c>
      <c r="D962" s="7">
        <v>6.3859</v>
      </c>
      <c r="E962" s="7">
        <v>6.3667</v>
      </c>
      <c r="G962" s="8">
        <v>0.0029</v>
      </c>
    </row>
    <row r="963" spans="1:7">
      <c r="A963" s="6">
        <v>44566</v>
      </c>
      <c r="B963" s="7">
        <v>6.3644</v>
      </c>
      <c r="C963" s="7">
        <v>6.3724</v>
      </c>
      <c r="D963" s="7">
        <v>6.3745</v>
      </c>
      <c r="E963" s="7">
        <v>6.3623</v>
      </c>
      <c r="F963" s="7" t="s">
        <v>27</v>
      </c>
      <c r="G963" s="8">
        <v>-0.0013</v>
      </c>
    </row>
    <row r="964" spans="1:7">
      <c r="A964" s="6">
        <v>44565</v>
      </c>
      <c r="B964" s="7">
        <v>6.3726</v>
      </c>
      <c r="C964" s="7">
        <v>6.3719</v>
      </c>
      <c r="D964" s="7">
        <v>6.3795</v>
      </c>
      <c r="E964" s="7">
        <v>6.3691</v>
      </c>
      <c r="F964" s="7" t="s">
        <v>28</v>
      </c>
      <c r="G964" s="8">
        <v>0.0026</v>
      </c>
    </row>
    <row r="965" spans="1:7">
      <c r="A965" s="6">
        <v>44564</v>
      </c>
      <c r="B965" s="7">
        <v>6.3561</v>
      </c>
      <c r="C965" s="7">
        <v>6.3561</v>
      </c>
      <c r="D965" s="7">
        <v>6.3561</v>
      </c>
      <c r="E965" s="7">
        <v>6.3561</v>
      </c>
      <c r="G965" s="8">
        <v>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58"/>
  <sheetViews>
    <sheetView workbookViewId="0">
      <selection activeCell="A1" sqref="A1"/>
    </sheetView>
  </sheetViews>
  <sheetFormatPr defaultColWidth="9" defaultRowHeight="14.25" outlineLevelCol="6"/>
  <cols>
    <col min="1" max="16384" width="9" style="7"/>
  </cols>
  <sheetData>
    <row r="1" spans="1:7">
      <c r="A1" s="7" t="s">
        <v>13</v>
      </c>
      <c r="B1" s="7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26</v>
      </c>
    </row>
    <row r="2" spans="1:7">
      <c r="A2" s="10">
        <v>44564</v>
      </c>
      <c r="B2" s="7">
        <v>96.21</v>
      </c>
      <c r="C2" s="7">
        <v>95.67</v>
      </c>
      <c r="D2" s="7">
        <v>96.33</v>
      </c>
      <c r="E2" s="7">
        <v>95.63</v>
      </c>
      <c r="G2" s="8">
        <v>0.0026</v>
      </c>
    </row>
    <row r="3" spans="1:7">
      <c r="A3" s="10">
        <v>44565</v>
      </c>
      <c r="B3" s="7">
        <v>96.26</v>
      </c>
      <c r="C3" s="7">
        <v>96.19</v>
      </c>
      <c r="D3" s="7">
        <v>96.46</v>
      </c>
      <c r="E3" s="7">
        <v>96.03</v>
      </c>
      <c r="G3" s="8">
        <v>0.0005</v>
      </c>
    </row>
    <row r="4" spans="1:7">
      <c r="A4" s="10">
        <v>44566</v>
      </c>
      <c r="B4" s="7">
        <v>96.17</v>
      </c>
      <c r="C4" s="7">
        <v>96.31</v>
      </c>
      <c r="D4" s="7">
        <v>96.33</v>
      </c>
      <c r="E4" s="7">
        <v>95.89</v>
      </c>
      <c r="G4" s="8">
        <v>-0.0009</v>
      </c>
    </row>
    <row r="5" spans="1:7">
      <c r="A5" s="10">
        <v>44567</v>
      </c>
      <c r="B5" s="7">
        <v>96.32</v>
      </c>
      <c r="C5" s="7">
        <v>96.2</v>
      </c>
      <c r="D5" s="7">
        <v>96.39</v>
      </c>
      <c r="E5" s="7">
        <v>96.04</v>
      </c>
      <c r="G5" s="8">
        <v>0.0015</v>
      </c>
    </row>
    <row r="6" spans="1:7">
      <c r="A6" s="10">
        <v>44568</v>
      </c>
      <c r="B6" s="7">
        <v>95.72</v>
      </c>
      <c r="C6" s="7">
        <v>96.26</v>
      </c>
      <c r="D6" s="7">
        <v>96.29</v>
      </c>
      <c r="E6" s="7">
        <v>95.71</v>
      </c>
      <c r="G6" s="8">
        <v>-0.0062</v>
      </c>
    </row>
    <row r="7" spans="1:7">
      <c r="A7" s="10">
        <v>44571</v>
      </c>
      <c r="B7" s="7">
        <v>95.99</v>
      </c>
      <c r="C7" s="7">
        <v>95.74</v>
      </c>
      <c r="D7" s="7">
        <v>96.23</v>
      </c>
      <c r="E7" s="7">
        <v>95.74</v>
      </c>
      <c r="G7" s="8">
        <v>0.0028</v>
      </c>
    </row>
    <row r="8" spans="1:7">
      <c r="A8" s="10">
        <v>44572</v>
      </c>
      <c r="B8" s="7">
        <v>95.62</v>
      </c>
      <c r="C8" s="7">
        <v>95.93</v>
      </c>
      <c r="D8" s="7">
        <v>96.07</v>
      </c>
      <c r="E8" s="7">
        <v>95.58</v>
      </c>
      <c r="G8" s="8">
        <v>-0.0038</v>
      </c>
    </row>
    <row r="9" spans="1:7">
      <c r="A9" s="10">
        <v>44573</v>
      </c>
      <c r="B9" s="7">
        <v>94.92</v>
      </c>
      <c r="C9" s="7">
        <v>95.58</v>
      </c>
      <c r="D9" s="7">
        <v>95.69</v>
      </c>
      <c r="E9" s="7">
        <v>94.91</v>
      </c>
      <c r="G9" s="8">
        <v>-0.0074</v>
      </c>
    </row>
    <row r="10" spans="1:7">
      <c r="A10" s="10">
        <v>44574</v>
      </c>
      <c r="B10" s="7">
        <v>94.79</v>
      </c>
      <c r="C10" s="7">
        <v>94.99</v>
      </c>
      <c r="D10" s="7">
        <v>95.02</v>
      </c>
      <c r="E10" s="7">
        <v>94.66</v>
      </c>
      <c r="G10" s="8">
        <v>-0.0013</v>
      </c>
    </row>
    <row r="11" spans="1:7">
      <c r="A11" s="10">
        <v>44575</v>
      </c>
      <c r="B11" s="7">
        <v>95.17</v>
      </c>
      <c r="C11" s="7">
        <v>94.87</v>
      </c>
      <c r="D11" s="7">
        <v>95.27</v>
      </c>
      <c r="E11" s="7">
        <v>94.63</v>
      </c>
      <c r="G11" s="8">
        <v>0.004</v>
      </c>
    </row>
    <row r="12" spans="1:7">
      <c r="A12" s="10">
        <v>44578</v>
      </c>
      <c r="B12" s="7">
        <v>95.26</v>
      </c>
      <c r="C12" s="7">
        <v>95.17</v>
      </c>
      <c r="D12" s="7">
        <v>95.35</v>
      </c>
      <c r="E12" s="7">
        <v>95.04</v>
      </c>
      <c r="G12" s="8">
        <v>0.001</v>
      </c>
    </row>
    <row r="13" spans="1:7">
      <c r="A13" s="10">
        <v>44579</v>
      </c>
      <c r="B13" s="7">
        <v>95.73</v>
      </c>
      <c r="C13" s="7">
        <v>95.22</v>
      </c>
      <c r="D13" s="7">
        <v>95.83</v>
      </c>
      <c r="E13" s="7">
        <v>95.13</v>
      </c>
      <c r="G13" s="8">
        <v>0.005</v>
      </c>
    </row>
    <row r="14" spans="1:7">
      <c r="A14" s="10">
        <v>44580</v>
      </c>
      <c r="B14" s="7">
        <v>95.51</v>
      </c>
      <c r="C14" s="7">
        <v>95.77</v>
      </c>
      <c r="D14" s="7">
        <v>95.79</v>
      </c>
      <c r="E14" s="7">
        <v>95.49</v>
      </c>
      <c r="G14" s="8">
        <v>-0.0023</v>
      </c>
    </row>
    <row r="15" spans="1:7">
      <c r="A15" s="10">
        <v>44581</v>
      </c>
      <c r="B15" s="7">
        <v>95.74</v>
      </c>
      <c r="C15" s="7">
        <v>95.59</v>
      </c>
      <c r="D15" s="7">
        <v>95.86</v>
      </c>
      <c r="E15" s="7">
        <v>95.42</v>
      </c>
      <c r="G15" s="8">
        <v>0.0024</v>
      </c>
    </row>
    <row r="16" spans="1:7">
      <c r="A16" s="10">
        <v>44582</v>
      </c>
      <c r="B16" s="7">
        <v>95.64</v>
      </c>
      <c r="C16" s="7">
        <v>95.81</v>
      </c>
      <c r="D16" s="7">
        <v>95.84</v>
      </c>
      <c r="E16" s="7">
        <v>95.5</v>
      </c>
      <c r="G16" s="8">
        <v>-0.001</v>
      </c>
    </row>
    <row r="17" spans="1:7">
      <c r="A17" s="10">
        <v>44585</v>
      </c>
      <c r="B17" s="7">
        <v>95.92</v>
      </c>
      <c r="C17" s="7">
        <v>95.64</v>
      </c>
      <c r="D17" s="7">
        <v>96.13</v>
      </c>
      <c r="E17" s="7">
        <v>95.63</v>
      </c>
      <c r="G17" s="8">
        <v>0.0029</v>
      </c>
    </row>
    <row r="18" spans="1:7">
      <c r="A18" s="10">
        <v>44586</v>
      </c>
      <c r="B18" s="7">
        <v>95.95</v>
      </c>
      <c r="C18" s="7">
        <v>95.93</v>
      </c>
      <c r="D18" s="7">
        <v>96.27</v>
      </c>
      <c r="E18" s="7">
        <v>95.9</v>
      </c>
      <c r="G18" s="8">
        <v>0.0003</v>
      </c>
    </row>
    <row r="19" spans="1:7">
      <c r="A19" s="10">
        <v>44587</v>
      </c>
      <c r="B19" s="7">
        <v>96.39</v>
      </c>
      <c r="C19" s="7">
        <v>95.96</v>
      </c>
      <c r="D19" s="7">
        <v>96.54</v>
      </c>
      <c r="E19" s="7">
        <v>95.91</v>
      </c>
      <c r="G19" s="8">
        <v>0.0046</v>
      </c>
    </row>
    <row r="20" spans="1:7">
      <c r="A20" s="10">
        <v>44588</v>
      </c>
      <c r="B20" s="7">
        <v>97.25</v>
      </c>
      <c r="C20" s="7">
        <v>96.54</v>
      </c>
      <c r="D20" s="7">
        <v>97.29</v>
      </c>
      <c r="E20" s="7">
        <v>96.53</v>
      </c>
      <c r="G20" s="8">
        <v>0.009</v>
      </c>
    </row>
    <row r="21" spans="1:7">
      <c r="A21" s="10">
        <v>44589</v>
      </c>
      <c r="B21" s="7">
        <v>97.27</v>
      </c>
      <c r="C21" s="7">
        <v>97.25</v>
      </c>
      <c r="D21" s="7">
        <v>97.44</v>
      </c>
      <c r="E21" s="7">
        <v>97.06</v>
      </c>
      <c r="G21" s="8">
        <v>0.0002</v>
      </c>
    </row>
    <row r="22" spans="1:7">
      <c r="A22" s="10">
        <v>44592</v>
      </c>
      <c r="B22" s="7">
        <v>96.54</v>
      </c>
      <c r="C22" s="7">
        <v>97.22</v>
      </c>
      <c r="D22" s="7">
        <v>97.3</v>
      </c>
      <c r="E22" s="7">
        <v>96.52</v>
      </c>
      <c r="G22" s="8">
        <v>-0.0075</v>
      </c>
    </row>
    <row r="23" spans="1:7">
      <c r="A23" s="10">
        <v>44593</v>
      </c>
      <c r="B23" s="7">
        <v>96.39</v>
      </c>
      <c r="C23" s="7">
        <v>96.7</v>
      </c>
      <c r="D23" s="7">
        <v>96.72</v>
      </c>
      <c r="E23" s="7">
        <v>96.24</v>
      </c>
      <c r="G23" s="8">
        <v>-0.0016</v>
      </c>
    </row>
    <row r="24" spans="1:7">
      <c r="A24" s="10">
        <v>44594</v>
      </c>
      <c r="B24" s="7">
        <v>95.94</v>
      </c>
      <c r="C24" s="7">
        <v>96.27</v>
      </c>
      <c r="D24" s="7">
        <v>96.3</v>
      </c>
      <c r="E24" s="7">
        <v>95.81</v>
      </c>
      <c r="G24" s="8">
        <v>-0.0047</v>
      </c>
    </row>
    <row r="25" spans="1:7">
      <c r="A25" s="10">
        <v>44595</v>
      </c>
      <c r="B25" s="7">
        <v>95.38</v>
      </c>
      <c r="C25" s="7">
        <v>96.02</v>
      </c>
      <c r="D25" s="7">
        <v>96.25</v>
      </c>
      <c r="E25" s="7">
        <v>95.24</v>
      </c>
      <c r="G25" s="8">
        <v>-0.0058</v>
      </c>
    </row>
    <row r="26" spans="1:7">
      <c r="A26" s="10">
        <v>44596</v>
      </c>
      <c r="B26" s="7">
        <v>95.49</v>
      </c>
      <c r="C26" s="7">
        <v>95.31</v>
      </c>
      <c r="D26" s="7">
        <v>95.7</v>
      </c>
      <c r="E26" s="7">
        <v>95.14</v>
      </c>
      <c r="G26" s="8">
        <v>0.0011</v>
      </c>
    </row>
    <row r="27" spans="1:7">
      <c r="A27" s="10">
        <v>44599</v>
      </c>
      <c r="B27" s="7">
        <v>95.4</v>
      </c>
      <c r="C27" s="7">
        <v>95.48</v>
      </c>
      <c r="D27" s="7">
        <v>95.63</v>
      </c>
      <c r="E27" s="7">
        <v>95.35</v>
      </c>
      <c r="G27" s="8">
        <v>-0.0009</v>
      </c>
    </row>
    <row r="28" spans="1:7">
      <c r="A28" s="10">
        <v>44600</v>
      </c>
      <c r="B28" s="7">
        <v>95.64</v>
      </c>
      <c r="C28" s="7">
        <v>95.43</v>
      </c>
      <c r="D28" s="7">
        <v>95.75</v>
      </c>
      <c r="E28" s="7">
        <v>95.4</v>
      </c>
      <c r="G28" s="8">
        <v>0.0026</v>
      </c>
    </row>
    <row r="29" spans="1:7">
      <c r="A29" s="10">
        <v>44601</v>
      </c>
      <c r="B29" s="7">
        <v>95.49</v>
      </c>
      <c r="C29" s="7">
        <v>95.59</v>
      </c>
      <c r="D29" s="7">
        <v>95.67</v>
      </c>
      <c r="E29" s="7">
        <v>95.38</v>
      </c>
      <c r="G29" s="8">
        <v>-0.0016</v>
      </c>
    </row>
    <row r="30" spans="1:7">
      <c r="A30" s="10">
        <v>44602</v>
      </c>
      <c r="B30" s="7">
        <v>95.55</v>
      </c>
      <c r="C30" s="7">
        <v>95.57</v>
      </c>
      <c r="D30" s="7">
        <v>96</v>
      </c>
      <c r="E30" s="7">
        <v>95.17</v>
      </c>
      <c r="G30" s="8">
        <v>0.0006</v>
      </c>
    </row>
    <row r="31" spans="1:7">
      <c r="A31" s="10">
        <v>44603</v>
      </c>
      <c r="B31" s="7">
        <v>96.08</v>
      </c>
      <c r="C31" s="7">
        <v>95.94</v>
      </c>
      <c r="D31" s="7">
        <v>96.11</v>
      </c>
      <c r="E31" s="7">
        <v>95.64</v>
      </c>
      <c r="G31" s="8">
        <v>0.0055</v>
      </c>
    </row>
    <row r="32" spans="1:7">
      <c r="A32" s="10">
        <v>44606</v>
      </c>
      <c r="B32" s="7">
        <v>96.37</v>
      </c>
      <c r="C32" s="7">
        <v>96.03</v>
      </c>
      <c r="D32" s="7">
        <v>96.43</v>
      </c>
      <c r="E32" s="7">
        <v>95.91</v>
      </c>
      <c r="G32" s="8">
        <v>0.003</v>
      </c>
    </row>
    <row r="33" spans="1:7">
      <c r="A33" s="10">
        <v>44607</v>
      </c>
      <c r="B33" s="7">
        <v>95.99</v>
      </c>
      <c r="C33" s="7">
        <v>96.24</v>
      </c>
      <c r="D33" s="7">
        <v>96.29</v>
      </c>
      <c r="E33" s="7">
        <v>95.96</v>
      </c>
      <c r="G33" s="8">
        <v>-0.004</v>
      </c>
    </row>
    <row r="34" spans="1:7">
      <c r="A34" s="10">
        <v>44608</v>
      </c>
      <c r="B34" s="7">
        <v>95.7</v>
      </c>
      <c r="C34" s="7">
        <v>96.01</v>
      </c>
      <c r="D34" s="7">
        <v>96.06</v>
      </c>
      <c r="E34" s="7">
        <v>95.68</v>
      </c>
      <c r="G34" s="8">
        <v>-0.003</v>
      </c>
    </row>
    <row r="35" spans="1:7">
      <c r="A35" s="10">
        <v>44609</v>
      </c>
      <c r="B35" s="7">
        <v>95.8</v>
      </c>
      <c r="C35" s="7">
        <v>95.77</v>
      </c>
      <c r="D35" s="7">
        <v>96.11</v>
      </c>
      <c r="E35" s="7">
        <v>95.71</v>
      </c>
      <c r="G35" s="8">
        <v>0.001</v>
      </c>
    </row>
    <row r="36" spans="1:7">
      <c r="A36" s="10">
        <v>44610</v>
      </c>
      <c r="B36" s="7">
        <v>96.04</v>
      </c>
      <c r="C36" s="7">
        <v>95.83</v>
      </c>
      <c r="D36" s="7">
        <v>96.17</v>
      </c>
      <c r="E36" s="7">
        <v>95.73</v>
      </c>
      <c r="G36" s="8">
        <v>0.0025</v>
      </c>
    </row>
    <row r="37" spans="1:7">
      <c r="A37" s="10">
        <v>44613</v>
      </c>
      <c r="B37" s="7">
        <v>96.08</v>
      </c>
      <c r="C37" s="7">
        <v>96.11</v>
      </c>
      <c r="D37" s="7">
        <v>96.15</v>
      </c>
      <c r="E37" s="7">
        <v>95.69</v>
      </c>
      <c r="G37" s="8">
        <v>0.0004</v>
      </c>
    </row>
    <row r="38" spans="1:7">
      <c r="A38" s="10">
        <v>44614</v>
      </c>
      <c r="B38" s="7">
        <v>96.03</v>
      </c>
      <c r="C38" s="7">
        <v>96.08</v>
      </c>
      <c r="D38" s="7">
        <v>96.26</v>
      </c>
      <c r="E38" s="7">
        <v>95.84</v>
      </c>
      <c r="G38" s="8">
        <v>-0.0006</v>
      </c>
    </row>
    <row r="39" spans="1:7">
      <c r="A39" s="10">
        <v>44615</v>
      </c>
      <c r="B39" s="7">
        <v>96.19</v>
      </c>
      <c r="C39" s="7">
        <v>96.04</v>
      </c>
      <c r="D39" s="7">
        <v>96.24</v>
      </c>
      <c r="E39" s="7">
        <v>95.85</v>
      </c>
      <c r="G39" s="8">
        <v>0.0017</v>
      </c>
    </row>
    <row r="40" spans="1:7">
      <c r="A40" s="10">
        <v>44616</v>
      </c>
      <c r="B40" s="7">
        <v>97.14</v>
      </c>
      <c r="C40" s="7">
        <v>96.22</v>
      </c>
      <c r="D40" s="7">
        <v>97.74</v>
      </c>
      <c r="E40" s="7">
        <v>96.22</v>
      </c>
      <c r="G40" s="8">
        <v>0.0098</v>
      </c>
    </row>
    <row r="41" spans="1:7">
      <c r="A41" s="10">
        <v>44617</v>
      </c>
      <c r="B41" s="7">
        <v>96.61</v>
      </c>
      <c r="C41" s="7">
        <v>97</v>
      </c>
      <c r="D41" s="7">
        <v>97.22</v>
      </c>
      <c r="E41" s="7">
        <v>96.52</v>
      </c>
      <c r="G41" s="8">
        <v>-0.0054</v>
      </c>
    </row>
    <row r="42" spans="1:7">
      <c r="A42" s="10">
        <v>44620</v>
      </c>
      <c r="B42" s="7">
        <v>96.71</v>
      </c>
      <c r="C42" s="7">
        <v>96.54</v>
      </c>
      <c r="D42" s="7">
        <v>97.42</v>
      </c>
      <c r="E42" s="7">
        <v>96.54</v>
      </c>
      <c r="G42" s="8">
        <v>0.001</v>
      </c>
    </row>
    <row r="43" spans="1:7">
      <c r="A43" s="10">
        <v>44621</v>
      </c>
      <c r="B43" s="7">
        <v>97.41</v>
      </c>
      <c r="C43" s="7">
        <v>96.76</v>
      </c>
      <c r="D43" s="7">
        <v>97.58</v>
      </c>
      <c r="E43" s="7">
        <v>96.63</v>
      </c>
      <c r="G43" s="8">
        <v>0.0073</v>
      </c>
    </row>
    <row r="44" spans="1:7">
      <c r="A44" s="10">
        <v>44622</v>
      </c>
      <c r="B44" s="7">
        <v>97.39</v>
      </c>
      <c r="C44" s="7">
        <v>97.37</v>
      </c>
      <c r="D44" s="7">
        <v>97.83</v>
      </c>
      <c r="E44" s="7">
        <v>97.29</v>
      </c>
      <c r="G44" s="8">
        <v>-0.0002</v>
      </c>
    </row>
    <row r="45" spans="1:7">
      <c r="A45" s="10">
        <v>44623</v>
      </c>
      <c r="B45" s="7">
        <v>97.79</v>
      </c>
      <c r="C45" s="7">
        <v>97.47</v>
      </c>
      <c r="D45" s="7">
        <v>97.95</v>
      </c>
      <c r="E45" s="7">
        <v>97.43</v>
      </c>
      <c r="G45" s="8">
        <v>0.0041</v>
      </c>
    </row>
    <row r="46" spans="1:7">
      <c r="A46" s="10">
        <v>44624</v>
      </c>
      <c r="B46" s="7">
        <v>98.65</v>
      </c>
      <c r="C46" s="7">
        <v>98.04</v>
      </c>
      <c r="D46" s="7">
        <v>98.92</v>
      </c>
      <c r="E46" s="7">
        <v>97.84</v>
      </c>
      <c r="G46" s="8">
        <v>0.0088</v>
      </c>
    </row>
    <row r="47" spans="1:7">
      <c r="A47" s="10">
        <v>44627</v>
      </c>
      <c r="B47" s="7">
        <v>99.29</v>
      </c>
      <c r="C47" s="7">
        <v>98.51</v>
      </c>
      <c r="D47" s="7">
        <v>99.42</v>
      </c>
      <c r="E47" s="7">
        <v>98.51</v>
      </c>
      <c r="G47" s="8">
        <v>0.0065</v>
      </c>
    </row>
    <row r="48" spans="1:7">
      <c r="A48" s="10">
        <v>44628</v>
      </c>
      <c r="B48" s="7">
        <v>99.06</v>
      </c>
      <c r="C48" s="7">
        <v>99.24</v>
      </c>
      <c r="D48" s="7">
        <v>99.32</v>
      </c>
      <c r="E48" s="7">
        <v>98.71</v>
      </c>
      <c r="G48" s="8">
        <v>-0.0023</v>
      </c>
    </row>
    <row r="49" spans="1:7">
      <c r="A49" s="10">
        <v>44629</v>
      </c>
      <c r="B49" s="7">
        <v>97.97</v>
      </c>
      <c r="C49" s="7">
        <v>99.12</v>
      </c>
      <c r="D49" s="7">
        <v>99.12</v>
      </c>
      <c r="E49" s="7">
        <v>97.85</v>
      </c>
      <c r="G49" s="8">
        <v>-0.011</v>
      </c>
    </row>
    <row r="50" spans="1:7">
      <c r="A50" s="10">
        <v>44630</v>
      </c>
      <c r="B50" s="7">
        <v>98.51</v>
      </c>
      <c r="C50" s="7">
        <v>98.06</v>
      </c>
      <c r="D50" s="7">
        <v>98.6</v>
      </c>
      <c r="E50" s="7">
        <v>97.71</v>
      </c>
      <c r="G50" s="8">
        <v>0.0055</v>
      </c>
    </row>
    <row r="51" spans="1:7">
      <c r="A51" s="10">
        <v>44631</v>
      </c>
      <c r="B51" s="7">
        <v>99.12</v>
      </c>
      <c r="C51" s="7">
        <v>98.36</v>
      </c>
      <c r="D51" s="7">
        <v>99.16</v>
      </c>
      <c r="E51" s="7">
        <v>98.27</v>
      </c>
      <c r="G51" s="8">
        <v>0.0063</v>
      </c>
    </row>
    <row r="52" spans="1:7">
      <c r="A52" s="10">
        <v>44634</v>
      </c>
      <c r="B52" s="7">
        <v>99</v>
      </c>
      <c r="C52" s="7">
        <v>99.13</v>
      </c>
      <c r="D52" s="7">
        <v>99.29</v>
      </c>
      <c r="E52" s="7">
        <v>98.68</v>
      </c>
      <c r="G52" s="8">
        <v>-0.0013</v>
      </c>
    </row>
    <row r="53" spans="1:7">
      <c r="A53" s="10">
        <v>44635</v>
      </c>
      <c r="B53" s="7">
        <v>99.1</v>
      </c>
      <c r="C53" s="7">
        <v>99.13</v>
      </c>
      <c r="D53" s="7">
        <v>99.2</v>
      </c>
      <c r="E53" s="7">
        <v>98.64</v>
      </c>
      <c r="G53" s="8">
        <v>0.001</v>
      </c>
    </row>
    <row r="54" spans="1:7">
      <c r="A54" s="10">
        <v>44636</v>
      </c>
      <c r="B54" s="7">
        <v>98.62</v>
      </c>
      <c r="C54" s="7">
        <v>98.89</v>
      </c>
      <c r="D54" s="7">
        <v>99.08</v>
      </c>
      <c r="E54" s="7">
        <v>98.29</v>
      </c>
      <c r="G54" s="8">
        <v>-0.0048</v>
      </c>
    </row>
    <row r="55" spans="1:7">
      <c r="A55" s="10">
        <v>44637</v>
      </c>
      <c r="B55" s="7">
        <v>97.97</v>
      </c>
      <c r="C55" s="7">
        <v>98.5</v>
      </c>
      <c r="D55" s="7">
        <v>98.51</v>
      </c>
      <c r="E55" s="7">
        <v>97.73</v>
      </c>
      <c r="G55" s="8">
        <v>-0.0065</v>
      </c>
    </row>
    <row r="56" spans="1:7">
      <c r="A56" s="10">
        <v>44638</v>
      </c>
      <c r="B56" s="7">
        <v>98.23</v>
      </c>
      <c r="C56" s="7">
        <v>98</v>
      </c>
      <c r="D56" s="7">
        <v>98.62</v>
      </c>
      <c r="E56" s="7">
        <v>97.84</v>
      </c>
      <c r="G56" s="8">
        <v>0.0026</v>
      </c>
    </row>
    <row r="57" spans="1:7">
      <c r="A57" s="10">
        <v>44641</v>
      </c>
      <c r="B57" s="7">
        <v>98.5</v>
      </c>
      <c r="C57" s="7">
        <v>98.24</v>
      </c>
      <c r="D57" s="7">
        <v>98.53</v>
      </c>
      <c r="E57" s="7">
        <v>98.16</v>
      </c>
      <c r="G57" s="8">
        <v>0.0027</v>
      </c>
    </row>
    <row r="58" spans="1:7">
      <c r="A58" s="10">
        <v>44642</v>
      </c>
      <c r="B58" s="7">
        <v>98.49</v>
      </c>
      <c r="C58" s="7">
        <v>98.49</v>
      </c>
      <c r="D58" s="7">
        <v>98.96</v>
      </c>
      <c r="E58" s="7">
        <v>98.32</v>
      </c>
      <c r="G58" s="8">
        <v>-0.0001</v>
      </c>
    </row>
    <row r="59" spans="1:7">
      <c r="A59" s="10">
        <v>44643</v>
      </c>
      <c r="B59" s="7">
        <v>98.62</v>
      </c>
      <c r="C59" s="7">
        <v>98.47</v>
      </c>
      <c r="D59" s="7">
        <v>98.88</v>
      </c>
      <c r="E59" s="7">
        <v>98.39</v>
      </c>
      <c r="G59" s="8">
        <v>0.0013</v>
      </c>
    </row>
    <row r="60" spans="1:7">
      <c r="A60" s="10">
        <v>44644</v>
      </c>
      <c r="B60" s="7">
        <v>98.79</v>
      </c>
      <c r="C60" s="7">
        <v>98.64</v>
      </c>
      <c r="D60" s="7">
        <v>98.96</v>
      </c>
      <c r="E60" s="7">
        <v>98.6</v>
      </c>
      <c r="G60" s="8">
        <v>0.0017</v>
      </c>
    </row>
    <row r="61" spans="1:7">
      <c r="A61" s="10">
        <v>44645</v>
      </c>
      <c r="B61" s="7">
        <v>98.79</v>
      </c>
      <c r="C61" s="7">
        <v>98.75</v>
      </c>
      <c r="D61" s="7">
        <v>98.83</v>
      </c>
      <c r="E61" s="7">
        <v>98.4</v>
      </c>
      <c r="G61" s="8">
        <v>0</v>
      </c>
    </row>
    <row r="62" spans="1:7">
      <c r="A62" s="10">
        <v>44648</v>
      </c>
      <c r="B62" s="7">
        <v>99.09</v>
      </c>
      <c r="C62" s="7">
        <v>98.81</v>
      </c>
      <c r="D62" s="7">
        <v>99.37</v>
      </c>
      <c r="E62" s="7">
        <v>98.8</v>
      </c>
      <c r="G62" s="8">
        <v>0.0031</v>
      </c>
    </row>
    <row r="63" spans="1:7">
      <c r="A63" s="10">
        <v>44649</v>
      </c>
      <c r="B63" s="7">
        <v>98.4</v>
      </c>
      <c r="C63" s="7">
        <v>99.08</v>
      </c>
      <c r="D63" s="7">
        <v>99.29</v>
      </c>
      <c r="E63" s="7">
        <v>98.04</v>
      </c>
      <c r="G63" s="8">
        <v>-0.0069</v>
      </c>
    </row>
    <row r="64" spans="1:7">
      <c r="A64" s="10">
        <v>44650</v>
      </c>
      <c r="B64" s="7">
        <v>97.79</v>
      </c>
      <c r="C64" s="7">
        <v>98.37</v>
      </c>
      <c r="D64" s="7">
        <v>98.43</v>
      </c>
      <c r="E64" s="7">
        <v>97.68</v>
      </c>
      <c r="G64" s="8">
        <v>-0.0062</v>
      </c>
    </row>
    <row r="65" spans="1:7">
      <c r="A65" s="10">
        <v>44651</v>
      </c>
      <c r="B65" s="7">
        <v>98.31</v>
      </c>
      <c r="C65" s="7">
        <v>97.83</v>
      </c>
      <c r="D65" s="7">
        <v>98.4</v>
      </c>
      <c r="E65" s="7">
        <v>97.69</v>
      </c>
      <c r="G65" s="8">
        <v>0.0053</v>
      </c>
    </row>
    <row r="66" spans="1:7">
      <c r="A66" s="10">
        <v>44652</v>
      </c>
      <c r="B66" s="7">
        <v>98.63</v>
      </c>
      <c r="C66" s="7">
        <v>98.33</v>
      </c>
      <c r="D66" s="7">
        <v>98.74</v>
      </c>
      <c r="E66" s="7">
        <v>98.31</v>
      </c>
      <c r="G66" s="8">
        <v>0.0033</v>
      </c>
    </row>
    <row r="67" spans="1:7">
      <c r="A67" s="10">
        <v>44655</v>
      </c>
      <c r="B67" s="7">
        <v>99</v>
      </c>
      <c r="C67" s="7">
        <v>98.57</v>
      </c>
      <c r="D67" s="7">
        <v>99.08</v>
      </c>
      <c r="E67" s="7">
        <v>98.52</v>
      </c>
      <c r="G67" s="8">
        <v>0.0037</v>
      </c>
    </row>
    <row r="68" spans="1:7">
      <c r="A68" s="10">
        <v>44656</v>
      </c>
      <c r="B68" s="7">
        <v>99.47</v>
      </c>
      <c r="C68" s="7">
        <v>99</v>
      </c>
      <c r="D68" s="7">
        <v>99.52</v>
      </c>
      <c r="E68" s="7">
        <v>98.84</v>
      </c>
      <c r="G68" s="8">
        <v>0.0048</v>
      </c>
    </row>
    <row r="69" spans="1:7">
      <c r="A69" s="10">
        <v>44657</v>
      </c>
      <c r="B69" s="7">
        <v>99.6</v>
      </c>
      <c r="C69" s="7">
        <v>99.47</v>
      </c>
      <c r="D69" s="7">
        <v>99.77</v>
      </c>
      <c r="E69" s="7">
        <v>99.31</v>
      </c>
      <c r="G69" s="8">
        <v>0.0013</v>
      </c>
    </row>
    <row r="70" spans="1:7">
      <c r="A70" s="10">
        <v>44658</v>
      </c>
      <c r="B70" s="7">
        <v>99.75</v>
      </c>
      <c r="C70" s="7">
        <v>99.65</v>
      </c>
      <c r="D70" s="7">
        <v>99.83</v>
      </c>
      <c r="E70" s="7">
        <v>99.4</v>
      </c>
      <c r="G70" s="8">
        <v>0.0015</v>
      </c>
    </row>
    <row r="71" spans="1:7">
      <c r="A71" s="10">
        <v>44659</v>
      </c>
      <c r="B71" s="7">
        <v>99.8</v>
      </c>
      <c r="C71" s="7">
        <v>99.82</v>
      </c>
      <c r="D71" s="7">
        <v>100.19</v>
      </c>
      <c r="E71" s="7">
        <v>99.74</v>
      </c>
      <c r="G71" s="8">
        <v>0.0005</v>
      </c>
    </row>
    <row r="72" spans="1:7">
      <c r="A72" s="10">
        <v>44662</v>
      </c>
      <c r="B72" s="7">
        <v>99.93</v>
      </c>
      <c r="C72" s="7">
        <v>99.84</v>
      </c>
      <c r="D72" s="7">
        <v>100.05</v>
      </c>
      <c r="E72" s="7">
        <v>99.61</v>
      </c>
      <c r="G72" s="8">
        <v>0.0014</v>
      </c>
    </row>
    <row r="73" spans="1:7">
      <c r="A73" s="10">
        <v>44663</v>
      </c>
      <c r="B73" s="7">
        <v>100.29</v>
      </c>
      <c r="C73" s="7">
        <v>100.04</v>
      </c>
      <c r="D73" s="7">
        <v>100.33</v>
      </c>
      <c r="E73" s="7">
        <v>99.74</v>
      </c>
      <c r="G73" s="8">
        <v>0.0036</v>
      </c>
    </row>
    <row r="74" spans="1:7">
      <c r="A74" s="10">
        <v>44664</v>
      </c>
      <c r="B74" s="7">
        <v>99.88</v>
      </c>
      <c r="C74" s="7">
        <v>100.34</v>
      </c>
      <c r="D74" s="7">
        <v>100.52</v>
      </c>
      <c r="E74" s="7">
        <v>99.83</v>
      </c>
      <c r="G74" s="8">
        <v>-0.0042</v>
      </c>
    </row>
    <row r="75" spans="1:7">
      <c r="A75" s="10">
        <v>44665</v>
      </c>
      <c r="B75" s="7">
        <v>100.32</v>
      </c>
      <c r="C75" s="7">
        <v>99.79</v>
      </c>
      <c r="D75" s="7">
        <v>100.76</v>
      </c>
      <c r="E75" s="7">
        <v>99.57</v>
      </c>
      <c r="G75" s="8">
        <v>0.0045</v>
      </c>
    </row>
    <row r="76" spans="1:7">
      <c r="A76" s="10">
        <v>44666</v>
      </c>
      <c r="B76" s="7">
        <v>100.32</v>
      </c>
      <c r="C76" s="7">
        <v>100.42</v>
      </c>
      <c r="D76" s="7">
        <v>100.57</v>
      </c>
      <c r="E76" s="7">
        <v>100.32</v>
      </c>
      <c r="G76" s="8">
        <v>0</v>
      </c>
    </row>
    <row r="77" spans="1:7">
      <c r="A77" s="10">
        <v>44669</v>
      </c>
      <c r="B77" s="7">
        <v>100.78</v>
      </c>
      <c r="C77" s="7">
        <v>100.5</v>
      </c>
      <c r="D77" s="7">
        <v>100.86</v>
      </c>
      <c r="E77" s="7">
        <v>100.46</v>
      </c>
      <c r="G77" s="8">
        <v>0.0046</v>
      </c>
    </row>
    <row r="78" spans="1:7">
      <c r="A78" s="10">
        <v>44670</v>
      </c>
      <c r="B78" s="7">
        <v>100.96</v>
      </c>
      <c r="C78" s="7">
        <v>100.83</v>
      </c>
      <c r="D78" s="7">
        <v>101.03</v>
      </c>
      <c r="E78" s="7">
        <v>100.7</v>
      </c>
      <c r="G78" s="8">
        <v>0.0018</v>
      </c>
    </row>
    <row r="79" spans="1:7">
      <c r="A79" s="10">
        <v>44671</v>
      </c>
      <c r="B79" s="7">
        <v>100.39</v>
      </c>
      <c r="C79" s="7">
        <v>100.98</v>
      </c>
      <c r="D79" s="7">
        <v>101.04</v>
      </c>
      <c r="E79" s="7">
        <v>100.22</v>
      </c>
      <c r="G79" s="8">
        <v>-0.0057</v>
      </c>
    </row>
    <row r="80" spans="1:7">
      <c r="A80" s="10">
        <v>44672</v>
      </c>
      <c r="B80" s="7">
        <v>100.58</v>
      </c>
      <c r="C80" s="7">
        <v>100.35</v>
      </c>
      <c r="D80" s="7">
        <v>100.64</v>
      </c>
      <c r="E80" s="7">
        <v>99.82</v>
      </c>
      <c r="G80" s="8">
        <v>0.0019</v>
      </c>
    </row>
    <row r="81" spans="1:7">
      <c r="A81" s="10">
        <v>44673</v>
      </c>
      <c r="B81" s="7">
        <v>101.22</v>
      </c>
      <c r="C81" s="7">
        <v>100.62</v>
      </c>
      <c r="D81" s="7">
        <v>101.33</v>
      </c>
      <c r="E81" s="7">
        <v>100.47</v>
      </c>
      <c r="G81" s="8">
        <v>0.0064</v>
      </c>
    </row>
    <row r="82" spans="1:7">
      <c r="A82" s="10">
        <v>44676</v>
      </c>
      <c r="B82" s="7">
        <v>101.75</v>
      </c>
      <c r="C82" s="7">
        <v>101.12</v>
      </c>
      <c r="D82" s="7">
        <v>101.86</v>
      </c>
      <c r="E82" s="7">
        <v>101.04</v>
      </c>
      <c r="G82" s="8">
        <v>0.0053</v>
      </c>
    </row>
    <row r="83" spans="1:7">
      <c r="A83" s="10">
        <v>44677</v>
      </c>
      <c r="B83" s="7">
        <v>102.3</v>
      </c>
      <c r="C83" s="7">
        <v>101.73</v>
      </c>
      <c r="D83" s="7">
        <v>102.36</v>
      </c>
      <c r="E83" s="7">
        <v>101.51</v>
      </c>
      <c r="G83" s="8">
        <v>0.0054</v>
      </c>
    </row>
    <row r="84" spans="1:7">
      <c r="A84" s="10">
        <v>44678</v>
      </c>
      <c r="B84" s="7">
        <v>102.95</v>
      </c>
      <c r="C84" s="7">
        <v>102.28</v>
      </c>
      <c r="D84" s="7">
        <v>103.28</v>
      </c>
      <c r="E84" s="7">
        <v>102.22</v>
      </c>
      <c r="G84" s="8">
        <v>0.0064</v>
      </c>
    </row>
    <row r="85" spans="1:7">
      <c r="A85" s="10">
        <v>44679</v>
      </c>
      <c r="B85" s="7">
        <v>103.62</v>
      </c>
      <c r="C85" s="7">
        <v>103.04</v>
      </c>
      <c r="D85" s="7">
        <v>103.93</v>
      </c>
      <c r="E85" s="7">
        <v>102.98</v>
      </c>
      <c r="G85" s="8">
        <v>0.0065</v>
      </c>
    </row>
    <row r="86" spans="1:7">
      <c r="A86" s="10">
        <v>44680</v>
      </c>
      <c r="B86" s="7">
        <v>102.96</v>
      </c>
      <c r="C86" s="7">
        <v>103.67</v>
      </c>
      <c r="D86" s="7">
        <v>103.67</v>
      </c>
      <c r="E86" s="7">
        <v>102.82</v>
      </c>
      <c r="G86" s="8">
        <v>-0.0064</v>
      </c>
    </row>
    <row r="87" spans="1:7">
      <c r="A87" s="10">
        <v>44683</v>
      </c>
      <c r="B87" s="7">
        <v>103.74</v>
      </c>
      <c r="C87" s="7">
        <v>103.21</v>
      </c>
      <c r="D87" s="7">
        <v>103.75</v>
      </c>
      <c r="E87" s="7">
        <v>103.11</v>
      </c>
      <c r="G87" s="8">
        <v>0.0076</v>
      </c>
    </row>
    <row r="88" spans="1:7">
      <c r="A88" s="10">
        <v>44684</v>
      </c>
      <c r="B88" s="7">
        <v>103.46</v>
      </c>
      <c r="C88" s="7">
        <v>103.6</v>
      </c>
      <c r="D88" s="7">
        <v>103.67</v>
      </c>
      <c r="E88" s="7">
        <v>103.03</v>
      </c>
      <c r="G88" s="8">
        <v>-0.0027</v>
      </c>
    </row>
    <row r="89" spans="1:7">
      <c r="A89" s="10">
        <v>44685</v>
      </c>
      <c r="B89" s="7">
        <v>102.59</v>
      </c>
      <c r="C89" s="7">
        <v>103.46</v>
      </c>
      <c r="D89" s="7">
        <v>103.61</v>
      </c>
      <c r="E89" s="7">
        <v>102.46</v>
      </c>
      <c r="G89" s="8">
        <v>-0.0085</v>
      </c>
    </row>
    <row r="90" spans="1:7">
      <c r="A90" s="10">
        <v>44686</v>
      </c>
      <c r="B90" s="7">
        <v>103.75</v>
      </c>
      <c r="C90" s="7">
        <v>102.68</v>
      </c>
      <c r="D90" s="7">
        <v>103.94</v>
      </c>
      <c r="E90" s="7">
        <v>102.35</v>
      </c>
      <c r="G90" s="8">
        <v>0.0114</v>
      </c>
    </row>
    <row r="91" spans="1:7">
      <c r="A91" s="10">
        <v>44687</v>
      </c>
      <c r="B91" s="7">
        <v>103.66</v>
      </c>
      <c r="C91" s="7">
        <v>103.56</v>
      </c>
      <c r="D91" s="7">
        <v>104.06</v>
      </c>
      <c r="E91" s="7">
        <v>103.19</v>
      </c>
      <c r="G91" s="8">
        <v>-0.0009</v>
      </c>
    </row>
    <row r="92" spans="1:7">
      <c r="A92" s="10">
        <v>44690</v>
      </c>
      <c r="B92" s="7">
        <v>103.65</v>
      </c>
      <c r="C92" s="7">
        <v>103.66</v>
      </c>
      <c r="D92" s="7">
        <v>104.19</v>
      </c>
      <c r="E92" s="7">
        <v>103.39</v>
      </c>
      <c r="G92" s="8">
        <v>-0.0001</v>
      </c>
    </row>
    <row r="93" spans="1:7">
      <c r="A93" s="10">
        <v>44691</v>
      </c>
      <c r="B93" s="7">
        <v>103.92</v>
      </c>
      <c r="C93" s="7">
        <v>103.73</v>
      </c>
      <c r="D93" s="7">
        <v>103.98</v>
      </c>
      <c r="E93" s="7">
        <v>103.5</v>
      </c>
      <c r="G93" s="8">
        <v>0.0026</v>
      </c>
    </row>
    <row r="94" spans="1:7">
      <c r="A94" s="10">
        <v>44692</v>
      </c>
      <c r="B94" s="7">
        <v>103.85</v>
      </c>
      <c r="C94" s="7">
        <v>103.9</v>
      </c>
      <c r="D94" s="7">
        <v>104.11</v>
      </c>
      <c r="E94" s="7">
        <v>103.37</v>
      </c>
      <c r="G94" s="8">
        <v>-0.0007</v>
      </c>
    </row>
    <row r="95" spans="1:7">
      <c r="A95" s="10">
        <v>44693</v>
      </c>
      <c r="B95" s="7">
        <v>104.85</v>
      </c>
      <c r="C95" s="7">
        <v>104.01</v>
      </c>
      <c r="D95" s="7">
        <v>104.93</v>
      </c>
      <c r="E95" s="7">
        <v>103.88</v>
      </c>
      <c r="G95" s="8">
        <v>0.0097</v>
      </c>
    </row>
    <row r="96" spans="1:7">
      <c r="A96" s="10">
        <v>44694</v>
      </c>
      <c r="B96" s="7">
        <v>104.56</v>
      </c>
      <c r="C96" s="7">
        <v>104.77</v>
      </c>
      <c r="D96" s="7">
        <v>105</v>
      </c>
      <c r="E96" s="7">
        <v>104.46</v>
      </c>
      <c r="G96" s="8">
        <v>-0.0027</v>
      </c>
    </row>
    <row r="97" spans="1:7">
      <c r="A97" s="10">
        <v>44697</v>
      </c>
      <c r="B97" s="7">
        <v>104.19</v>
      </c>
      <c r="C97" s="7">
        <v>104.46</v>
      </c>
      <c r="D97" s="7">
        <v>104.64</v>
      </c>
      <c r="E97" s="7">
        <v>104.14</v>
      </c>
      <c r="G97" s="8">
        <v>-0.0036</v>
      </c>
    </row>
    <row r="98" spans="1:7">
      <c r="A98" s="10">
        <v>44698</v>
      </c>
      <c r="B98" s="7">
        <v>103.36</v>
      </c>
      <c r="C98" s="7">
        <v>104.17</v>
      </c>
      <c r="D98" s="7">
        <v>104.23</v>
      </c>
      <c r="E98" s="7">
        <v>103.23</v>
      </c>
      <c r="G98" s="8">
        <v>-0.0079</v>
      </c>
    </row>
    <row r="99" spans="1:7">
      <c r="A99" s="10">
        <v>44699</v>
      </c>
      <c r="B99" s="7">
        <v>103.81</v>
      </c>
      <c r="C99" s="7">
        <v>103.34</v>
      </c>
      <c r="D99" s="7">
        <v>103.93</v>
      </c>
      <c r="E99" s="7">
        <v>103.19</v>
      </c>
      <c r="G99" s="8">
        <v>0.0044</v>
      </c>
    </row>
    <row r="100" spans="1:7">
      <c r="A100" s="10">
        <v>44700</v>
      </c>
      <c r="B100" s="7">
        <v>102.72</v>
      </c>
      <c r="C100" s="7">
        <v>103.83</v>
      </c>
      <c r="D100" s="7">
        <v>103.88</v>
      </c>
      <c r="E100" s="7">
        <v>102.66</v>
      </c>
      <c r="G100" s="8">
        <v>-0.0105</v>
      </c>
    </row>
    <row r="101" spans="1:7">
      <c r="A101" s="10">
        <v>44701</v>
      </c>
      <c r="B101" s="7">
        <v>103.15</v>
      </c>
      <c r="C101" s="7">
        <v>102.9</v>
      </c>
      <c r="D101" s="7">
        <v>103.26</v>
      </c>
      <c r="E101" s="7">
        <v>102.77</v>
      </c>
      <c r="G101" s="8">
        <v>0.0041</v>
      </c>
    </row>
    <row r="102" spans="1:7">
      <c r="A102" s="10">
        <v>44704</v>
      </c>
      <c r="B102" s="7">
        <v>102.08</v>
      </c>
      <c r="C102" s="7">
        <v>103.03</v>
      </c>
      <c r="D102" s="7">
        <v>103.05</v>
      </c>
      <c r="E102" s="7">
        <v>102.04</v>
      </c>
      <c r="G102" s="8">
        <v>-0.0104</v>
      </c>
    </row>
    <row r="103" spans="1:7">
      <c r="A103" s="10">
        <v>44705</v>
      </c>
      <c r="B103" s="7">
        <v>101.86</v>
      </c>
      <c r="C103" s="7">
        <v>102.11</v>
      </c>
      <c r="D103" s="7">
        <v>102.32</v>
      </c>
      <c r="E103" s="7">
        <v>101.65</v>
      </c>
      <c r="G103" s="8">
        <v>-0.0021</v>
      </c>
    </row>
    <row r="104" spans="1:7">
      <c r="A104" s="10">
        <v>44706</v>
      </c>
      <c r="B104" s="7">
        <v>102.06</v>
      </c>
      <c r="C104" s="7">
        <v>101.77</v>
      </c>
      <c r="D104" s="7">
        <v>102.45</v>
      </c>
      <c r="E104" s="7">
        <v>101.73</v>
      </c>
      <c r="G104" s="8">
        <v>0.002</v>
      </c>
    </row>
    <row r="105" spans="1:7">
      <c r="A105" s="10">
        <v>44707</v>
      </c>
      <c r="B105" s="7">
        <v>101.83</v>
      </c>
      <c r="C105" s="7">
        <v>102.02</v>
      </c>
      <c r="D105" s="7">
        <v>102.27</v>
      </c>
      <c r="E105" s="7">
        <v>101.74</v>
      </c>
      <c r="G105" s="8">
        <v>-0.0022</v>
      </c>
    </row>
    <row r="106" spans="1:7">
      <c r="A106" s="10">
        <v>44708</v>
      </c>
      <c r="B106" s="7">
        <v>101.67</v>
      </c>
      <c r="C106" s="7">
        <v>101.72</v>
      </c>
      <c r="D106" s="7">
        <v>101.94</v>
      </c>
      <c r="E106" s="7">
        <v>101.43</v>
      </c>
      <c r="G106" s="8">
        <v>-0.0016</v>
      </c>
    </row>
    <row r="107" spans="1:7">
      <c r="A107" s="10">
        <v>44711</v>
      </c>
      <c r="B107" s="7">
        <v>101.67</v>
      </c>
      <c r="C107" s="7">
        <v>101.64</v>
      </c>
      <c r="D107" s="7">
        <v>101.72</v>
      </c>
      <c r="E107" s="7">
        <v>101.3</v>
      </c>
      <c r="G107" s="8">
        <v>0</v>
      </c>
    </row>
    <row r="108" spans="1:7">
      <c r="A108" s="10">
        <v>44712</v>
      </c>
      <c r="B108" s="7">
        <v>101.75</v>
      </c>
      <c r="C108" s="7">
        <v>101.43</v>
      </c>
      <c r="D108" s="7">
        <v>102.17</v>
      </c>
      <c r="E108" s="7">
        <v>101.41</v>
      </c>
      <c r="G108" s="8">
        <v>0.0008</v>
      </c>
    </row>
    <row r="109" spans="1:7">
      <c r="A109" s="10">
        <v>44713</v>
      </c>
      <c r="B109" s="7">
        <v>102.5</v>
      </c>
      <c r="C109" s="7">
        <v>101.76</v>
      </c>
      <c r="D109" s="7">
        <v>102.73</v>
      </c>
      <c r="E109" s="7">
        <v>101.74</v>
      </c>
      <c r="G109" s="8">
        <v>0.0073</v>
      </c>
    </row>
    <row r="110" spans="1:7">
      <c r="A110" s="10">
        <v>44714</v>
      </c>
      <c r="B110" s="7">
        <v>101.82</v>
      </c>
      <c r="C110" s="7">
        <v>102.55</v>
      </c>
      <c r="D110" s="7">
        <v>102.62</v>
      </c>
      <c r="E110" s="7">
        <v>101.74</v>
      </c>
      <c r="G110" s="8">
        <v>-0.0066</v>
      </c>
    </row>
    <row r="111" spans="1:7">
      <c r="A111" s="10">
        <v>44715</v>
      </c>
      <c r="B111" s="7">
        <v>102.14</v>
      </c>
      <c r="C111" s="7">
        <v>101.75</v>
      </c>
      <c r="D111" s="7">
        <v>102.22</v>
      </c>
      <c r="E111" s="7">
        <v>101.64</v>
      </c>
      <c r="G111" s="8">
        <v>0.0031</v>
      </c>
    </row>
    <row r="112" spans="1:7">
      <c r="A112" s="10">
        <v>44718</v>
      </c>
      <c r="B112" s="7">
        <v>102.44</v>
      </c>
      <c r="C112" s="7">
        <v>102.17</v>
      </c>
      <c r="D112" s="7">
        <v>102.47</v>
      </c>
      <c r="E112" s="7">
        <v>101.85</v>
      </c>
      <c r="G112" s="8">
        <v>0.0029</v>
      </c>
    </row>
    <row r="113" spans="1:7">
      <c r="A113" s="10">
        <v>44719</v>
      </c>
      <c r="B113" s="7">
        <v>102.32</v>
      </c>
      <c r="C113" s="7">
        <v>102.49</v>
      </c>
      <c r="D113" s="7">
        <v>102.84</v>
      </c>
      <c r="E113" s="7">
        <v>102.26</v>
      </c>
      <c r="G113" s="8">
        <v>-0.0012</v>
      </c>
    </row>
    <row r="114" spans="1:7">
      <c r="A114" s="10">
        <v>44720</v>
      </c>
      <c r="B114" s="7">
        <v>102.54</v>
      </c>
      <c r="C114" s="7">
        <v>102.39</v>
      </c>
      <c r="D114" s="7">
        <v>102.78</v>
      </c>
      <c r="E114" s="7">
        <v>102.27</v>
      </c>
      <c r="G114" s="8">
        <v>0.0022</v>
      </c>
    </row>
    <row r="115" spans="1:7">
      <c r="A115" s="10">
        <v>44721</v>
      </c>
      <c r="B115" s="7">
        <v>103.22</v>
      </c>
      <c r="C115" s="7">
        <v>102.56</v>
      </c>
      <c r="D115" s="7">
        <v>103.37</v>
      </c>
      <c r="E115" s="7">
        <v>102.15</v>
      </c>
      <c r="G115" s="8">
        <v>0.0066</v>
      </c>
    </row>
    <row r="116" spans="1:7">
      <c r="A116" s="10">
        <v>44722</v>
      </c>
      <c r="B116" s="7">
        <v>104.15</v>
      </c>
      <c r="C116" s="7">
        <v>103.34</v>
      </c>
      <c r="D116" s="7">
        <v>104.23</v>
      </c>
      <c r="E116" s="7">
        <v>103.05</v>
      </c>
      <c r="G116" s="8">
        <v>0.009</v>
      </c>
    </row>
    <row r="117" spans="1:7">
      <c r="A117" s="10">
        <v>44725</v>
      </c>
      <c r="B117" s="7">
        <v>105.08</v>
      </c>
      <c r="C117" s="7">
        <v>104.19</v>
      </c>
      <c r="D117" s="7">
        <v>105.29</v>
      </c>
      <c r="E117" s="7">
        <v>104.21</v>
      </c>
      <c r="G117" s="8">
        <v>0.0089</v>
      </c>
    </row>
    <row r="118" spans="1:7">
      <c r="A118" s="10">
        <v>44726</v>
      </c>
      <c r="B118" s="7">
        <v>105.52</v>
      </c>
      <c r="C118" s="7">
        <v>105.19</v>
      </c>
      <c r="D118" s="7">
        <v>105.65</v>
      </c>
      <c r="E118" s="7">
        <v>104.62</v>
      </c>
      <c r="G118" s="8">
        <v>0.0042</v>
      </c>
    </row>
    <row r="119" spans="1:7">
      <c r="A119" s="10">
        <v>44727</v>
      </c>
      <c r="B119" s="7">
        <v>105.16</v>
      </c>
      <c r="C119" s="7">
        <v>105.35</v>
      </c>
      <c r="D119" s="7">
        <v>105.79</v>
      </c>
      <c r="E119" s="7">
        <v>104.66</v>
      </c>
      <c r="G119" s="8">
        <v>-0.0034</v>
      </c>
    </row>
    <row r="120" spans="1:7">
      <c r="A120" s="10">
        <v>44728</v>
      </c>
      <c r="B120" s="7">
        <v>103.63</v>
      </c>
      <c r="C120" s="7">
        <v>104.9</v>
      </c>
      <c r="D120" s="7">
        <v>105.49</v>
      </c>
      <c r="E120" s="7">
        <v>103.42</v>
      </c>
      <c r="G120" s="8">
        <v>-0.0145</v>
      </c>
    </row>
    <row r="121" spans="1:7">
      <c r="A121" s="10">
        <v>44729</v>
      </c>
      <c r="B121" s="7">
        <v>104.7</v>
      </c>
      <c r="C121" s="7">
        <v>103.88</v>
      </c>
      <c r="D121" s="7">
        <v>105.08</v>
      </c>
      <c r="E121" s="7">
        <v>103.83</v>
      </c>
      <c r="G121" s="8">
        <v>0.0103</v>
      </c>
    </row>
    <row r="122" spans="1:7">
      <c r="A122" s="10">
        <v>44732</v>
      </c>
      <c r="B122" s="7">
        <v>104.7</v>
      </c>
      <c r="C122" s="7">
        <v>104.65</v>
      </c>
      <c r="D122" s="7">
        <v>104.82</v>
      </c>
      <c r="E122" s="7">
        <v>104.23</v>
      </c>
      <c r="G122" s="8">
        <v>0</v>
      </c>
    </row>
    <row r="123" spans="1:7">
      <c r="A123" s="10">
        <v>44733</v>
      </c>
      <c r="B123" s="7">
        <v>104.43</v>
      </c>
      <c r="C123" s="7">
        <v>104.44</v>
      </c>
      <c r="D123" s="7">
        <v>104.54</v>
      </c>
      <c r="E123" s="7">
        <v>103.94</v>
      </c>
      <c r="G123" s="8">
        <v>-0.0025</v>
      </c>
    </row>
    <row r="124" spans="1:7">
      <c r="A124" s="10">
        <v>44734</v>
      </c>
      <c r="B124" s="7">
        <v>104.2</v>
      </c>
      <c r="C124" s="7">
        <v>104.43</v>
      </c>
      <c r="D124" s="7">
        <v>104.95</v>
      </c>
      <c r="E124" s="7">
        <v>103.86</v>
      </c>
      <c r="G124" s="8">
        <v>-0.0023</v>
      </c>
    </row>
    <row r="125" spans="1:7">
      <c r="A125" s="10">
        <v>44735</v>
      </c>
      <c r="B125" s="7">
        <v>104.43</v>
      </c>
      <c r="C125" s="7">
        <v>104.21</v>
      </c>
      <c r="D125" s="7">
        <v>104.77</v>
      </c>
      <c r="E125" s="7">
        <v>104.06</v>
      </c>
      <c r="G125" s="8">
        <v>0.0022</v>
      </c>
    </row>
    <row r="126" spans="1:7">
      <c r="A126" s="10">
        <v>44736</v>
      </c>
      <c r="B126" s="7">
        <v>104.18</v>
      </c>
      <c r="C126" s="7">
        <v>104.38</v>
      </c>
      <c r="D126" s="7">
        <v>104.51</v>
      </c>
      <c r="E126" s="7">
        <v>103.95</v>
      </c>
      <c r="G126" s="8">
        <v>-0.0024</v>
      </c>
    </row>
    <row r="127" spans="1:7">
      <c r="A127" s="10">
        <v>44739</v>
      </c>
      <c r="B127" s="7">
        <v>103.94</v>
      </c>
      <c r="C127" s="7">
        <v>104.12</v>
      </c>
      <c r="D127" s="7">
        <v>104.21</v>
      </c>
      <c r="E127" s="7">
        <v>103.67</v>
      </c>
      <c r="G127" s="8">
        <v>-0.0024</v>
      </c>
    </row>
    <row r="128" spans="1:7">
      <c r="A128" s="10">
        <v>44740</v>
      </c>
      <c r="B128" s="7">
        <v>104.51</v>
      </c>
      <c r="C128" s="7">
        <v>103.97</v>
      </c>
      <c r="D128" s="7">
        <v>104.61</v>
      </c>
      <c r="E128" s="7">
        <v>103.77</v>
      </c>
      <c r="G128" s="8">
        <v>0.0055</v>
      </c>
    </row>
    <row r="129" spans="1:7">
      <c r="A129" s="10">
        <v>44741</v>
      </c>
      <c r="B129" s="7">
        <v>105.11</v>
      </c>
      <c r="C129" s="7">
        <v>104.46</v>
      </c>
      <c r="D129" s="7">
        <v>105.15</v>
      </c>
      <c r="E129" s="7">
        <v>104.36</v>
      </c>
      <c r="G129" s="8">
        <v>0.0057</v>
      </c>
    </row>
    <row r="130" spans="1:7">
      <c r="A130" s="10">
        <v>44742</v>
      </c>
      <c r="B130" s="7">
        <v>104.68</v>
      </c>
      <c r="C130" s="7">
        <v>105.06</v>
      </c>
      <c r="D130" s="7">
        <v>105.54</v>
      </c>
      <c r="E130" s="7">
        <v>104.64</v>
      </c>
      <c r="G130" s="8">
        <v>-0.004</v>
      </c>
    </row>
    <row r="131" spans="1:7">
      <c r="A131" s="10">
        <v>44743</v>
      </c>
      <c r="B131" s="7">
        <v>105.14</v>
      </c>
      <c r="C131" s="7">
        <v>104.78</v>
      </c>
      <c r="D131" s="7">
        <v>105.64</v>
      </c>
      <c r="E131" s="7">
        <v>104.74</v>
      </c>
      <c r="G131" s="8">
        <v>0.0043</v>
      </c>
    </row>
    <row r="132" spans="1:7">
      <c r="A132" s="10">
        <v>44746</v>
      </c>
      <c r="B132" s="7">
        <v>105.14</v>
      </c>
      <c r="C132" s="7">
        <v>105.12</v>
      </c>
      <c r="D132" s="7">
        <v>105.25</v>
      </c>
      <c r="E132" s="7">
        <v>104.82</v>
      </c>
      <c r="G132" s="8">
        <v>0</v>
      </c>
    </row>
    <row r="133" spans="1:7">
      <c r="A133" s="10">
        <v>44747</v>
      </c>
      <c r="B133" s="7">
        <v>106.54</v>
      </c>
      <c r="C133" s="7">
        <v>105.14</v>
      </c>
      <c r="D133" s="7">
        <v>106.79</v>
      </c>
      <c r="E133" s="7">
        <v>105.05</v>
      </c>
      <c r="G133" s="8">
        <v>0.0133</v>
      </c>
    </row>
    <row r="134" spans="1:7">
      <c r="A134" s="10">
        <v>44748</v>
      </c>
      <c r="B134" s="7">
        <v>107.1</v>
      </c>
      <c r="C134" s="7">
        <v>106.49</v>
      </c>
      <c r="D134" s="7">
        <v>107.26</v>
      </c>
      <c r="E134" s="7">
        <v>106.36</v>
      </c>
      <c r="G134" s="8">
        <v>0.0053</v>
      </c>
    </row>
    <row r="135" spans="1:7">
      <c r="A135" s="10">
        <v>44749</v>
      </c>
      <c r="B135" s="7">
        <v>107.13</v>
      </c>
      <c r="C135" s="7">
        <v>107.07</v>
      </c>
      <c r="D135" s="7">
        <v>107.24</v>
      </c>
      <c r="E135" s="7">
        <v>106.71</v>
      </c>
      <c r="G135" s="8">
        <v>0.0003</v>
      </c>
    </row>
    <row r="136" spans="1:7">
      <c r="A136" s="10">
        <v>44750</v>
      </c>
      <c r="B136" s="7">
        <v>107.01</v>
      </c>
      <c r="C136" s="7">
        <v>107.04</v>
      </c>
      <c r="D136" s="7">
        <v>107.79</v>
      </c>
      <c r="E136" s="7">
        <v>106.81</v>
      </c>
      <c r="G136" s="8">
        <v>-0.0011</v>
      </c>
    </row>
    <row r="137" spans="1:7">
      <c r="A137" s="10">
        <v>44753</v>
      </c>
      <c r="B137" s="7">
        <v>108.02</v>
      </c>
      <c r="C137" s="7">
        <v>106.89</v>
      </c>
      <c r="D137" s="7">
        <v>108.27</v>
      </c>
      <c r="E137" s="7">
        <v>106.92</v>
      </c>
      <c r="G137" s="8">
        <v>0.0095</v>
      </c>
    </row>
    <row r="138" spans="1:7">
      <c r="A138" s="10">
        <v>44754</v>
      </c>
      <c r="B138" s="7">
        <v>108.07</v>
      </c>
      <c r="C138" s="7">
        <v>108.18</v>
      </c>
      <c r="D138" s="7">
        <v>108.56</v>
      </c>
      <c r="E138" s="7">
        <v>107.84</v>
      </c>
      <c r="G138" s="8">
        <v>0.0005</v>
      </c>
    </row>
    <row r="139" spans="1:7">
      <c r="A139" s="10">
        <v>44755</v>
      </c>
      <c r="B139" s="7">
        <v>107.96</v>
      </c>
      <c r="C139" s="7">
        <v>108.18</v>
      </c>
      <c r="D139" s="7">
        <v>108.58</v>
      </c>
      <c r="E139" s="7">
        <v>107.48</v>
      </c>
      <c r="G139" s="8">
        <v>-0.0011</v>
      </c>
    </row>
    <row r="140" spans="1:7">
      <c r="A140" s="10">
        <v>44756</v>
      </c>
      <c r="B140" s="7">
        <v>108.54</v>
      </c>
      <c r="C140" s="7">
        <v>108.14</v>
      </c>
      <c r="D140" s="7">
        <v>109.29</v>
      </c>
      <c r="E140" s="7">
        <v>108.14</v>
      </c>
      <c r="G140" s="8">
        <v>0.0054</v>
      </c>
    </row>
    <row r="141" spans="1:7">
      <c r="A141" s="10">
        <v>44757</v>
      </c>
      <c r="B141" s="7">
        <v>108.06</v>
      </c>
      <c r="C141" s="7">
        <v>108.67</v>
      </c>
      <c r="D141" s="7">
        <v>108.71</v>
      </c>
      <c r="E141" s="7">
        <v>107.91</v>
      </c>
      <c r="G141" s="8">
        <v>-0.0044</v>
      </c>
    </row>
    <row r="142" spans="1:7">
      <c r="A142" s="10">
        <v>44760</v>
      </c>
      <c r="B142" s="7">
        <v>107.37</v>
      </c>
      <c r="C142" s="7">
        <v>107.98</v>
      </c>
      <c r="D142" s="7">
        <v>108.04</v>
      </c>
      <c r="E142" s="7">
        <v>106.89</v>
      </c>
      <c r="G142" s="8">
        <v>-0.0064</v>
      </c>
    </row>
    <row r="143" spans="1:7">
      <c r="A143" s="10">
        <v>44761</v>
      </c>
      <c r="B143" s="7">
        <v>106.68</v>
      </c>
      <c r="C143" s="7">
        <v>107.49</v>
      </c>
      <c r="D143" s="7">
        <v>107.63</v>
      </c>
      <c r="E143" s="7">
        <v>106.4</v>
      </c>
      <c r="G143" s="8">
        <v>-0.0064</v>
      </c>
    </row>
    <row r="144" spans="1:7">
      <c r="A144" s="10">
        <v>44762</v>
      </c>
      <c r="B144" s="7">
        <v>107.08</v>
      </c>
      <c r="C144" s="7">
        <v>106.67</v>
      </c>
      <c r="D144" s="7">
        <v>107.25</v>
      </c>
      <c r="E144" s="7">
        <v>106.39</v>
      </c>
      <c r="G144" s="8">
        <v>0.0037</v>
      </c>
    </row>
    <row r="145" spans="1:7">
      <c r="A145" s="10">
        <v>44763</v>
      </c>
      <c r="B145" s="7">
        <v>106.91</v>
      </c>
      <c r="C145" s="7">
        <v>107.08</v>
      </c>
      <c r="D145" s="7">
        <v>107.32</v>
      </c>
      <c r="E145" s="7">
        <v>106.42</v>
      </c>
      <c r="G145" s="8">
        <v>-0.0016</v>
      </c>
    </row>
    <row r="146" spans="1:7">
      <c r="A146" s="10">
        <v>44764</v>
      </c>
      <c r="B146" s="7">
        <v>106.73</v>
      </c>
      <c r="C146" s="7">
        <v>106.59</v>
      </c>
      <c r="D146" s="7">
        <v>107.36</v>
      </c>
      <c r="E146" s="7">
        <v>106.11</v>
      </c>
      <c r="G146" s="8">
        <v>-0.0017</v>
      </c>
    </row>
    <row r="147" spans="1:7">
      <c r="A147" s="10">
        <v>44767</v>
      </c>
      <c r="B147" s="7">
        <v>106.48</v>
      </c>
      <c r="C147" s="7">
        <v>106.54</v>
      </c>
      <c r="D147" s="7">
        <v>106.88</v>
      </c>
      <c r="E147" s="7">
        <v>106.19</v>
      </c>
      <c r="G147" s="8">
        <v>-0.0023</v>
      </c>
    </row>
    <row r="148" spans="1:7">
      <c r="A148" s="10">
        <v>44768</v>
      </c>
      <c r="B148" s="7">
        <v>107.19</v>
      </c>
      <c r="C148" s="7">
        <v>106.45</v>
      </c>
      <c r="D148" s="7">
        <v>107.28</v>
      </c>
      <c r="E148" s="7">
        <v>106.2</v>
      </c>
      <c r="G148" s="8">
        <v>0.0066</v>
      </c>
    </row>
    <row r="149" spans="1:7">
      <c r="A149" s="10">
        <v>44769</v>
      </c>
      <c r="B149" s="7">
        <v>106.45</v>
      </c>
      <c r="C149" s="7">
        <v>107.13</v>
      </c>
      <c r="D149" s="7">
        <v>107.43</v>
      </c>
      <c r="E149" s="7">
        <v>106.26</v>
      </c>
      <c r="G149" s="8">
        <v>-0.0069</v>
      </c>
    </row>
    <row r="150" spans="1:7">
      <c r="A150" s="10">
        <v>44770</v>
      </c>
      <c r="B150" s="7">
        <v>106.35</v>
      </c>
      <c r="C150" s="7">
        <v>106.37</v>
      </c>
      <c r="D150" s="7">
        <v>106.97</v>
      </c>
      <c r="E150" s="7">
        <v>106.06</v>
      </c>
      <c r="G150" s="8">
        <v>-0.0009</v>
      </c>
    </row>
    <row r="151" spans="1:7">
      <c r="A151" s="10">
        <v>44771</v>
      </c>
      <c r="B151" s="7">
        <v>105.9</v>
      </c>
      <c r="C151" s="7">
        <v>106.21</v>
      </c>
      <c r="D151" s="7">
        <v>106.66</v>
      </c>
      <c r="E151" s="7">
        <v>105.54</v>
      </c>
      <c r="G151" s="8">
        <v>-0.0042</v>
      </c>
    </row>
    <row r="152" spans="1:7">
      <c r="A152" s="10">
        <v>44774</v>
      </c>
      <c r="B152" s="7">
        <v>105.45</v>
      </c>
      <c r="C152" s="7">
        <v>105.83</v>
      </c>
      <c r="D152" s="7">
        <v>106.03</v>
      </c>
      <c r="E152" s="7">
        <v>105.24</v>
      </c>
      <c r="G152" s="8">
        <v>-0.0043</v>
      </c>
    </row>
    <row r="153" spans="1:7">
      <c r="A153" s="10">
        <v>44775</v>
      </c>
      <c r="B153" s="7">
        <v>106.24</v>
      </c>
      <c r="C153" s="7">
        <v>105.36</v>
      </c>
      <c r="D153" s="7">
        <v>106.35</v>
      </c>
      <c r="E153" s="7">
        <v>105.05</v>
      </c>
      <c r="G153" s="8">
        <v>0.0075</v>
      </c>
    </row>
    <row r="154" spans="1:7">
      <c r="A154" s="10">
        <v>44776</v>
      </c>
      <c r="B154" s="7">
        <v>106.51</v>
      </c>
      <c r="C154" s="7">
        <v>106.43</v>
      </c>
      <c r="D154" s="7">
        <v>106.82</v>
      </c>
      <c r="E154" s="7">
        <v>105.97</v>
      </c>
      <c r="G154" s="8">
        <v>0.0025</v>
      </c>
    </row>
    <row r="155" spans="1:7">
      <c r="A155" s="10">
        <v>44777</v>
      </c>
      <c r="B155" s="7">
        <v>105.69</v>
      </c>
      <c r="C155" s="7">
        <v>106.48</v>
      </c>
      <c r="D155" s="7">
        <v>106.51</v>
      </c>
      <c r="E155" s="7">
        <v>105.67</v>
      </c>
      <c r="G155" s="8">
        <v>-0.0076</v>
      </c>
    </row>
    <row r="156" spans="1:7">
      <c r="A156" s="10">
        <v>44778</v>
      </c>
      <c r="B156" s="7">
        <v>106.62</v>
      </c>
      <c r="C156" s="7">
        <v>105.72</v>
      </c>
      <c r="D156" s="7">
        <v>106.93</v>
      </c>
      <c r="E156" s="7">
        <v>105.69</v>
      </c>
      <c r="G156" s="8">
        <v>0.0088</v>
      </c>
    </row>
    <row r="157" spans="1:7">
      <c r="A157" s="10">
        <v>44781</v>
      </c>
      <c r="B157" s="7">
        <v>106.43</v>
      </c>
      <c r="C157" s="7">
        <v>106.58</v>
      </c>
      <c r="D157" s="7">
        <v>106.8</v>
      </c>
      <c r="E157" s="7">
        <v>106.09</v>
      </c>
      <c r="G157" s="8">
        <v>-0.0017</v>
      </c>
    </row>
    <row r="158" spans="1:7">
      <c r="A158" s="10">
        <v>44782</v>
      </c>
      <c r="B158" s="7">
        <v>106.37</v>
      </c>
      <c r="C158" s="7">
        <v>106.33</v>
      </c>
      <c r="D158" s="7">
        <v>106.41</v>
      </c>
      <c r="E158" s="7">
        <v>105.97</v>
      </c>
      <c r="G158" s="8">
        <v>-0.0006</v>
      </c>
    </row>
    <row r="159" spans="1:7">
      <c r="A159" s="10">
        <v>44783</v>
      </c>
      <c r="B159" s="7">
        <v>105.2</v>
      </c>
      <c r="C159" s="7">
        <v>106.34</v>
      </c>
      <c r="D159" s="7">
        <v>106.4</v>
      </c>
      <c r="E159" s="7">
        <v>104.64</v>
      </c>
      <c r="G159" s="8">
        <v>-0.0111</v>
      </c>
    </row>
    <row r="160" spans="1:7">
      <c r="A160" s="10">
        <v>44784</v>
      </c>
      <c r="B160" s="7">
        <v>105.09</v>
      </c>
      <c r="C160" s="7">
        <v>105.21</v>
      </c>
      <c r="D160" s="7">
        <v>105.46</v>
      </c>
      <c r="E160" s="7">
        <v>104.65</v>
      </c>
      <c r="G160" s="8">
        <v>-0.001</v>
      </c>
    </row>
    <row r="161" spans="1:7">
      <c r="A161" s="10">
        <v>44785</v>
      </c>
      <c r="B161" s="7">
        <v>105.63</v>
      </c>
      <c r="C161" s="7">
        <v>105.16</v>
      </c>
      <c r="D161" s="7">
        <v>105.88</v>
      </c>
      <c r="E161" s="7">
        <v>105.09</v>
      </c>
      <c r="G161" s="8">
        <v>0.0051</v>
      </c>
    </row>
    <row r="162" spans="1:7">
      <c r="A162" s="10">
        <v>44788</v>
      </c>
      <c r="B162" s="7">
        <v>106.55</v>
      </c>
      <c r="C162" s="7">
        <v>105.67</v>
      </c>
      <c r="D162" s="7">
        <v>106.55</v>
      </c>
      <c r="E162" s="7">
        <v>105.55</v>
      </c>
      <c r="G162" s="8">
        <v>0.0087</v>
      </c>
    </row>
    <row r="163" spans="1:7">
      <c r="A163" s="10">
        <v>44789</v>
      </c>
      <c r="B163" s="7">
        <v>106.5</v>
      </c>
      <c r="C163" s="7">
        <v>106.48</v>
      </c>
      <c r="D163" s="7">
        <v>106.94</v>
      </c>
      <c r="E163" s="7">
        <v>106.32</v>
      </c>
      <c r="G163" s="8">
        <v>-0.0004</v>
      </c>
    </row>
    <row r="164" spans="1:7">
      <c r="A164" s="10">
        <v>44790</v>
      </c>
      <c r="B164" s="7">
        <v>106.57</v>
      </c>
      <c r="C164" s="7">
        <v>106.45</v>
      </c>
      <c r="D164" s="7">
        <v>106.89</v>
      </c>
      <c r="E164" s="7">
        <v>106.31</v>
      </c>
      <c r="G164" s="8">
        <v>0.0007</v>
      </c>
    </row>
    <row r="165" spans="1:7">
      <c r="A165" s="10">
        <v>44791</v>
      </c>
      <c r="B165" s="7">
        <v>107.48</v>
      </c>
      <c r="C165" s="7">
        <v>106.68</v>
      </c>
      <c r="D165" s="7">
        <v>107.56</v>
      </c>
      <c r="E165" s="7">
        <v>106.5</v>
      </c>
      <c r="G165" s="8">
        <v>0.0085</v>
      </c>
    </row>
    <row r="166" spans="1:7">
      <c r="A166" s="10">
        <v>44792</v>
      </c>
      <c r="B166" s="7">
        <v>108.17</v>
      </c>
      <c r="C166" s="7">
        <v>107.5</v>
      </c>
      <c r="D166" s="7">
        <v>108.21</v>
      </c>
      <c r="E166" s="7">
        <v>107.47</v>
      </c>
      <c r="G166" s="8">
        <v>0.0064</v>
      </c>
    </row>
    <row r="167" spans="1:7">
      <c r="A167" s="10">
        <v>44795</v>
      </c>
      <c r="B167" s="7">
        <v>109.05</v>
      </c>
      <c r="C167" s="7">
        <v>108.1</v>
      </c>
      <c r="D167" s="7">
        <v>109.1</v>
      </c>
      <c r="E167" s="7">
        <v>108.08</v>
      </c>
      <c r="G167" s="8">
        <v>0.0081</v>
      </c>
    </row>
    <row r="168" spans="1:7">
      <c r="A168" s="10">
        <v>44796</v>
      </c>
      <c r="B168" s="7">
        <v>108.62</v>
      </c>
      <c r="C168" s="7">
        <v>109</v>
      </c>
      <c r="D168" s="7">
        <v>109.27</v>
      </c>
      <c r="E168" s="7">
        <v>108.08</v>
      </c>
      <c r="G168" s="8">
        <v>-0.0039</v>
      </c>
    </row>
    <row r="169" spans="1:7">
      <c r="A169" s="10">
        <v>44797</v>
      </c>
      <c r="B169" s="7">
        <v>108.68</v>
      </c>
      <c r="C169" s="7">
        <v>108.52</v>
      </c>
      <c r="D169" s="7">
        <v>109.11</v>
      </c>
      <c r="E169" s="7">
        <v>108.36</v>
      </c>
      <c r="G169" s="8">
        <v>0.0005</v>
      </c>
    </row>
    <row r="170" spans="1:7">
      <c r="A170" s="10">
        <v>44798</v>
      </c>
      <c r="B170" s="7">
        <v>108.47</v>
      </c>
      <c r="C170" s="7">
        <v>108.63</v>
      </c>
      <c r="D170" s="7">
        <v>108.69</v>
      </c>
      <c r="E170" s="7">
        <v>107.99</v>
      </c>
      <c r="G170" s="8">
        <v>-0.0019</v>
      </c>
    </row>
    <row r="171" spans="1:7">
      <c r="A171" s="10">
        <v>44799</v>
      </c>
      <c r="B171" s="7">
        <v>108.8</v>
      </c>
      <c r="C171" s="7">
        <v>108.47</v>
      </c>
      <c r="D171" s="7">
        <v>108.87</v>
      </c>
      <c r="E171" s="7">
        <v>107.59</v>
      </c>
      <c r="G171" s="8">
        <v>0.0031</v>
      </c>
    </row>
    <row r="172" spans="1:7">
      <c r="A172" s="10">
        <v>44802</v>
      </c>
      <c r="B172" s="7">
        <v>108.83</v>
      </c>
      <c r="C172" s="7">
        <v>108.84</v>
      </c>
      <c r="D172" s="7">
        <v>109.48</v>
      </c>
      <c r="E172" s="7">
        <v>108.49</v>
      </c>
      <c r="G172" s="8">
        <v>0.0003</v>
      </c>
    </row>
    <row r="173" spans="1:7">
      <c r="A173" s="10">
        <v>44803</v>
      </c>
      <c r="B173" s="7">
        <v>108.77</v>
      </c>
      <c r="C173" s="7">
        <v>108.7</v>
      </c>
      <c r="D173" s="7">
        <v>109.11</v>
      </c>
      <c r="E173" s="7">
        <v>108.29</v>
      </c>
      <c r="G173" s="8">
        <v>-0.0006</v>
      </c>
    </row>
    <row r="174" spans="1:7">
      <c r="A174" s="10">
        <v>44804</v>
      </c>
      <c r="B174" s="7">
        <v>108.7</v>
      </c>
      <c r="C174" s="7">
        <v>108.75</v>
      </c>
      <c r="D174" s="7">
        <v>109.2</v>
      </c>
      <c r="E174" s="7">
        <v>108.38</v>
      </c>
      <c r="G174" s="8">
        <v>-0.0007</v>
      </c>
    </row>
    <row r="175" spans="1:7">
      <c r="A175" s="10">
        <v>44805</v>
      </c>
      <c r="B175" s="7">
        <v>109.69</v>
      </c>
      <c r="C175" s="7">
        <v>108.84</v>
      </c>
      <c r="D175" s="7">
        <v>109.98</v>
      </c>
      <c r="E175" s="7">
        <v>108.77</v>
      </c>
      <c r="G175" s="8">
        <v>0.0091</v>
      </c>
    </row>
    <row r="176" spans="1:7">
      <c r="A176" s="10">
        <v>44806</v>
      </c>
      <c r="B176" s="7">
        <v>109.53</v>
      </c>
      <c r="C176" s="7">
        <v>109.64</v>
      </c>
      <c r="D176" s="7">
        <v>109.72</v>
      </c>
      <c r="E176" s="7">
        <v>108.93</v>
      </c>
      <c r="G176" s="8">
        <v>-0.0014</v>
      </c>
    </row>
    <row r="177" spans="1:7">
      <c r="A177" s="10">
        <v>44809</v>
      </c>
      <c r="B177" s="7">
        <v>109.83</v>
      </c>
      <c r="C177" s="7">
        <v>109.61</v>
      </c>
      <c r="D177" s="7">
        <v>110.27</v>
      </c>
      <c r="E177" s="7">
        <v>109.72</v>
      </c>
      <c r="G177" s="8">
        <v>0.0027</v>
      </c>
    </row>
    <row r="178" spans="1:7">
      <c r="A178" s="10">
        <v>44810</v>
      </c>
      <c r="B178" s="7">
        <v>110.21</v>
      </c>
      <c r="C178" s="7">
        <v>109.6</v>
      </c>
      <c r="D178" s="7">
        <v>110.55</v>
      </c>
      <c r="E178" s="7">
        <v>109.38</v>
      </c>
      <c r="G178" s="8">
        <v>0.0035</v>
      </c>
    </row>
    <row r="179" spans="1:7">
      <c r="A179" s="10">
        <v>44811</v>
      </c>
      <c r="B179" s="7">
        <v>109.84</v>
      </c>
      <c r="C179" s="7">
        <v>110.32</v>
      </c>
      <c r="D179" s="7">
        <v>110.79</v>
      </c>
      <c r="E179" s="7">
        <v>109.53</v>
      </c>
      <c r="G179" s="8">
        <v>-0.0034</v>
      </c>
    </row>
    <row r="180" spans="1:7">
      <c r="A180" s="10">
        <v>44812</v>
      </c>
      <c r="B180" s="7">
        <v>109.71</v>
      </c>
      <c r="C180" s="7">
        <v>109.67</v>
      </c>
      <c r="D180" s="7">
        <v>110.24</v>
      </c>
      <c r="E180" s="7">
        <v>109.33</v>
      </c>
      <c r="G180" s="8">
        <v>-0.0012</v>
      </c>
    </row>
    <row r="181" spans="1:7">
      <c r="A181" s="10">
        <v>44813</v>
      </c>
      <c r="B181" s="7">
        <v>109</v>
      </c>
      <c r="C181" s="7">
        <v>109.57</v>
      </c>
      <c r="D181" s="7">
        <v>109.54</v>
      </c>
      <c r="E181" s="7">
        <v>108.36</v>
      </c>
      <c r="G181" s="8">
        <v>-0.0064</v>
      </c>
    </row>
    <row r="182" spans="1:7">
      <c r="A182" s="10">
        <v>44816</v>
      </c>
      <c r="B182" s="7">
        <v>108.33</v>
      </c>
      <c r="C182" s="7">
        <v>108.6</v>
      </c>
      <c r="D182" s="7">
        <v>108.86</v>
      </c>
      <c r="E182" s="7">
        <v>107.81</v>
      </c>
      <c r="G182" s="8">
        <v>-0.0062</v>
      </c>
    </row>
    <row r="183" spans="1:7">
      <c r="A183" s="10">
        <v>44817</v>
      </c>
      <c r="B183" s="7">
        <v>109.82</v>
      </c>
      <c r="C183" s="7">
        <v>108.23</v>
      </c>
      <c r="D183" s="7">
        <v>110.01</v>
      </c>
      <c r="E183" s="7">
        <v>107.68</v>
      </c>
      <c r="G183" s="8">
        <v>0.0137</v>
      </c>
    </row>
    <row r="184" spans="1:7">
      <c r="A184" s="10">
        <v>44818</v>
      </c>
      <c r="B184" s="7">
        <v>109.66</v>
      </c>
      <c r="C184" s="7">
        <v>109.97</v>
      </c>
      <c r="D184" s="7">
        <v>109.93</v>
      </c>
      <c r="E184" s="7">
        <v>109.28</v>
      </c>
      <c r="G184" s="8">
        <v>-0.0014</v>
      </c>
    </row>
    <row r="185" spans="1:7">
      <c r="A185" s="10">
        <v>44819</v>
      </c>
      <c r="B185" s="7">
        <v>109.74</v>
      </c>
      <c r="C185" s="7">
        <v>109.61</v>
      </c>
      <c r="D185" s="7">
        <v>109.92</v>
      </c>
      <c r="E185" s="7">
        <v>109.42</v>
      </c>
      <c r="G185" s="8">
        <v>0.0007</v>
      </c>
    </row>
    <row r="186" spans="1:7">
      <c r="A186" s="10">
        <v>44820</v>
      </c>
      <c r="B186" s="7">
        <v>109.76</v>
      </c>
      <c r="C186" s="7">
        <v>109.8</v>
      </c>
      <c r="D186" s="7">
        <v>110.26</v>
      </c>
      <c r="E186" s="7">
        <v>109.47</v>
      </c>
      <c r="G186" s="8">
        <v>0.0002</v>
      </c>
    </row>
    <row r="187" spans="1:7">
      <c r="A187" s="10">
        <v>44823</v>
      </c>
      <c r="B187" s="7">
        <v>109.74</v>
      </c>
      <c r="C187" s="7">
        <v>109.64</v>
      </c>
      <c r="D187" s="7">
        <v>110.18</v>
      </c>
      <c r="E187" s="7">
        <v>109.49</v>
      </c>
      <c r="G187" s="8">
        <v>-0.0002</v>
      </c>
    </row>
    <row r="188" spans="1:7">
      <c r="A188" s="10">
        <v>44824</v>
      </c>
      <c r="B188" s="7">
        <v>110.21</v>
      </c>
      <c r="C188" s="7">
        <v>109.58</v>
      </c>
      <c r="D188" s="7">
        <v>110.29</v>
      </c>
      <c r="E188" s="7">
        <v>109.36</v>
      </c>
      <c r="G188" s="8">
        <v>0.0044</v>
      </c>
    </row>
    <row r="189" spans="1:7">
      <c r="A189" s="10">
        <v>44825</v>
      </c>
      <c r="B189" s="7">
        <v>110.64</v>
      </c>
      <c r="C189" s="7">
        <v>110.16</v>
      </c>
      <c r="D189" s="7">
        <v>111.58</v>
      </c>
      <c r="E189" s="7">
        <v>110.13</v>
      </c>
      <c r="G189" s="8">
        <v>0.0039</v>
      </c>
    </row>
    <row r="190" spans="1:7">
      <c r="A190" s="10">
        <v>44826</v>
      </c>
      <c r="B190" s="7">
        <v>111.35</v>
      </c>
      <c r="C190" s="7">
        <v>111.48</v>
      </c>
      <c r="D190" s="7">
        <v>111.81</v>
      </c>
      <c r="E190" s="7">
        <v>110.46</v>
      </c>
      <c r="G190" s="8">
        <v>0.0064</v>
      </c>
    </row>
    <row r="191" spans="1:7">
      <c r="A191" s="10">
        <v>44827</v>
      </c>
      <c r="B191" s="7">
        <v>113.19</v>
      </c>
      <c r="C191" s="7">
        <v>111.24</v>
      </c>
      <c r="D191" s="7">
        <v>113.23</v>
      </c>
      <c r="E191" s="7">
        <v>111.08</v>
      </c>
      <c r="G191" s="8">
        <v>0.0165</v>
      </c>
    </row>
    <row r="192" spans="1:7">
      <c r="A192" s="10">
        <v>44830</v>
      </c>
      <c r="B192" s="7">
        <v>114.1</v>
      </c>
      <c r="C192" s="7">
        <v>113.02</v>
      </c>
      <c r="D192" s="7">
        <v>114.53</v>
      </c>
      <c r="E192" s="7">
        <v>112.94</v>
      </c>
      <c r="G192" s="8">
        <v>0.008</v>
      </c>
    </row>
    <row r="193" spans="1:7">
      <c r="A193" s="10">
        <v>44831</v>
      </c>
      <c r="B193" s="7">
        <v>114.11</v>
      </c>
      <c r="C193" s="7">
        <v>114.02</v>
      </c>
      <c r="D193" s="7">
        <v>114.47</v>
      </c>
      <c r="E193" s="7">
        <v>113.33</v>
      </c>
      <c r="G193" s="8">
        <v>0</v>
      </c>
    </row>
    <row r="194" spans="1:7">
      <c r="A194" s="10">
        <v>44832</v>
      </c>
      <c r="B194" s="7">
        <v>112.6</v>
      </c>
      <c r="C194" s="7">
        <v>114.18</v>
      </c>
      <c r="D194" s="7">
        <v>114.78</v>
      </c>
      <c r="E194" s="7">
        <v>112.56</v>
      </c>
      <c r="G194" s="8">
        <v>-0.0132</v>
      </c>
    </row>
    <row r="195" spans="1:7">
      <c r="A195" s="10">
        <v>44833</v>
      </c>
      <c r="B195" s="7">
        <v>112.25</v>
      </c>
      <c r="C195" s="7">
        <v>113.01</v>
      </c>
      <c r="D195" s="7">
        <v>113.79</v>
      </c>
      <c r="E195" s="7">
        <v>111.77</v>
      </c>
      <c r="G195" s="8">
        <v>-0.0031</v>
      </c>
    </row>
    <row r="196" spans="1:7">
      <c r="A196" s="10">
        <v>44834</v>
      </c>
      <c r="B196" s="7">
        <v>112.12</v>
      </c>
      <c r="C196" s="7">
        <v>111.75</v>
      </c>
      <c r="D196" s="7">
        <v>112.67</v>
      </c>
      <c r="E196" s="7">
        <v>111.58</v>
      </c>
      <c r="G196" s="8">
        <v>-0.0012</v>
      </c>
    </row>
    <row r="197" spans="1:7">
      <c r="A197" s="10">
        <v>44837</v>
      </c>
      <c r="B197" s="7">
        <v>111.75</v>
      </c>
      <c r="C197" s="7">
        <v>112.17</v>
      </c>
      <c r="D197" s="7">
        <v>112.54</v>
      </c>
      <c r="E197" s="7">
        <v>111.47</v>
      </c>
      <c r="G197" s="8">
        <v>-0.0033</v>
      </c>
    </row>
    <row r="198" spans="1:7">
      <c r="A198" s="10">
        <v>44838</v>
      </c>
      <c r="B198" s="7">
        <v>110.07</v>
      </c>
      <c r="C198" s="7">
        <v>111.59</v>
      </c>
      <c r="D198" s="7">
        <v>111.89</v>
      </c>
      <c r="E198" s="7">
        <v>110.06</v>
      </c>
      <c r="G198" s="8">
        <v>-0.015</v>
      </c>
    </row>
    <row r="199" spans="1:7">
      <c r="A199" s="10">
        <v>44839</v>
      </c>
      <c r="B199" s="7">
        <v>111.07</v>
      </c>
      <c r="C199" s="7">
        <v>110.22</v>
      </c>
      <c r="D199" s="7">
        <v>111.74</v>
      </c>
      <c r="E199" s="7">
        <v>110.09</v>
      </c>
      <c r="G199" s="8">
        <v>0.0092</v>
      </c>
    </row>
    <row r="200" spans="1:7">
      <c r="A200" s="10">
        <v>44840</v>
      </c>
      <c r="B200" s="7">
        <v>112.26</v>
      </c>
      <c r="C200" s="7">
        <v>111.02</v>
      </c>
      <c r="D200" s="7">
        <v>112.31</v>
      </c>
      <c r="E200" s="7">
        <v>110.78</v>
      </c>
      <c r="G200" s="8">
        <v>0.0107</v>
      </c>
    </row>
    <row r="201" spans="1:7">
      <c r="A201" s="10">
        <v>44841</v>
      </c>
      <c r="B201" s="7">
        <v>112.79</v>
      </c>
      <c r="C201" s="7">
        <v>112.25</v>
      </c>
      <c r="D201" s="7">
        <v>112.88</v>
      </c>
      <c r="E201" s="7">
        <v>111.95</v>
      </c>
      <c r="G201" s="8">
        <v>0.0048</v>
      </c>
    </row>
    <row r="202" spans="1:7">
      <c r="A202" s="10">
        <v>44844</v>
      </c>
      <c r="B202" s="7">
        <v>113.14</v>
      </c>
      <c r="C202" s="7">
        <v>112.75</v>
      </c>
      <c r="D202" s="7">
        <v>113.33</v>
      </c>
      <c r="E202" s="7">
        <v>112.62</v>
      </c>
      <c r="G202" s="8">
        <v>0.0031</v>
      </c>
    </row>
    <row r="203" spans="1:7">
      <c r="A203" s="10">
        <v>44845</v>
      </c>
      <c r="B203" s="7">
        <v>113.22</v>
      </c>
      <c r="C203" s="7">
        <v>113.08</v>
      </c>
      <c r="D203" s="7">
        <v>113.5</v>
      </c>
      <c r="E203" s="7">
        <v>112.41</v>
      </c>
      <c r="G203" s="8">
        <v>0.0007</v>
      </c>
    </row>
    <row r="204" spans="1:7">
      <c r="A204" s="10">
        <v>44846</v>
      </c>
      <c r="B204" s="7">
        <v>113.32</v>
      </c>
      <c r="C204" s="7">
        <v>113.31</v>
      </c>
      <c r="D204" s="7">
        <v>113.59</v>
      </c>
      <c r="E204" s="7">
        <v>113.05</v>
      </c>
      <c r="G204" s="8">
        <v>0.0009</v>
      </c>
    </row>
    <row r="205" spans="1:7">
      <c r="A205" s="10">
        <v>44847</v>
      </c>
      <c r="B205" s="7">
        <v>112.36</v>
      </c>
      <c r="C205" s="7">
        <v>113.24</v>
      </c>
      <c r="D205" s="7">
        <v>113.92</v>
      </c>
      <c r="E205" s="7">
        <v>112.15</v>
      </c>
      <c r="G205" s="8">
        <v>-0.0084</v>
      </c>
    </row>
    <row r="206" spans="1:7">
      <c r="A206" s="10">
        <v>44848</v>
      </c>
      <c r="B206" s="7">
        <v>113.31</v>
      </c>
      <c r="C206" s="7">
        <v>112.47</v>
      </c>
      <c r="D206" s="7">
        <v>113.42</v>
      </c>
      <c r="E206" s="7">
        <v>112.16</v>
      </c>
      <c r="G206" s="8">
        <v>0.0084</v>
      </c>
    </row>
    <row r="207" spans="1:7">
      <c r="A207" s="10">
        <v>44851</v>
      </c>
      <c r="B207" s="7">
        <v>112.04</v>
      </c>
      <c r="C207" s="7">
        <v>113.22</v>
      </c>
      <c r="D207" s="7">
        <v>113.22</v>
      </c>
      <c r="E207" s="7">
        <v>111.92</v>
      </c>
      <c r="G207" s="8">
        <v>-0.0112</v>
      </c>
    </row>
    <row r="208" spans="1:7">
      <c r="A208" s="10">
        <v>44852</v>
      </c>
      <c r="B208" s="7">
        <v>112.13</v>
      </c>
      <c r="C208" s="7">
        <v>112.07</v>
      </c>
      <c r="D208" s="7">
        <v>112.46</v>
      </c>
      <c r="E208" s="7">
        <v>111.77</v>
      </c>
      <c r="G208" s="8">
        <v>0.0008</v>
      </c>
    </row>
    <row r="209" spans="1:7">
      <c r="A209" s="10">
        <v>44853</v>
      </c>
      <c r="B209" s="7">
        <v>112.98</v>
      </c>
      <c r="C209" s="7">
        <v>111.91</v>
      </c>
      <c r="D209" s="7">
        <v>113.1</v>
      </c>
      <c r="E209" s="7">
        <v>111.92</v>
      </c>
      <c r="G209" s="8">
        <v>0.0076</v>
      </c>
    </row>
    <row r="210" spans="1:7">
      <c r="A210" s="10">
        <v>44854</v>
      </c>
      <c r="B210" s="7">
        <v>112.88</v>
      </c>
      <c r="C210" s="7">
        <v>112.99</v>
      </c>
      <c r="D210" s="7">
        <v>113.09</v>
      </c>
      <c r="E210" s="7">
        <v>112.17</v>
      </c>
      <c r="G210" s="8">
        <v>-0.0009</v>
      </c>
    </row>
    <row r="211" spans="1:7">
      <c r="A211" s="10">
        <v>44855</v>
      </c>
      <c r="B211" s="7">
        <v>112.01</v>
      </c>
      <c r="C211" s="7">
        <v>112.94</v>
      </c>
      <c r="D211" s="7">
        <v>113.94</v>
      </c>
      <c r="E211" s="7">
        <v>111.7</v>
      </c>
      <c r="G211" s="8">
        <v>-0.0077</v>
      </c>
    </row>
    <row r="212" spans="1:7">
      <c r="A212" s="10">
        <v>44858</v>
      </c>
      <c r="B212" s="7">
        <v>111.99</v>
      </c>
      <c r="C212" s="7">
        <v>111.88</v>
      </c>
      <c r="D212" s="7">
        <v>112.53</v>
      </c>
      <c r="E212" s="7">
        <v>111.47</v>
      </c>
      <c r="G212" s="8">
        <v>-0.0002</v>
      </c>
    </row>
    <row r="213" spans="1:7">
      <c r="A213" s="10">
        <v>44859</v>
      </c>
      <c r="B213" s="7">
        <v>110.95</v>
      </c>
      <c r="C213" s="7">
        <v>111.82</v>
      </c>
      <c r="D213" s="7">
        <v>112.13</v>
      </c>
      <c r="E213" s="7">
        <v>110.76</v>
      </c>
      <c r="G213" s="8">
        <v>-0.0093</v>
      </c>
    </row>
    <row r="214" spans="1:7">
      <c r="A214" s="10">
        <v>44860</v>
      </c>
      <c r="B214" s="7">
        <v>109.7</v>
      </c>
      <c r="C214" s="7">
        <v>110.96</v>
      </c>
      <c r="D214" s="7">
        <v>111.14</v>
      </c>
      <c r="E214" s="7">
        <v>109.63</v>
      </c>
      <c r="G214" s="8">
        <v>-0.0113</v>
      </c>
    </row>
    <row r="215" spans="1:7">
      <c r="A215" s="10">
        <v>44861</v>
      </c>
      <c r="B215" s="7">
        <v>110.59</v>
      </c>
      <c r="C215" s="7">
        <v>109.62</v>
      </c>
      <c r="D215" s="7">
        <v>110.62</v>
      </c>
      <c r="E215" s="7">
        <v>109.54</v>
      </c>
      <c r="G215" s="8">
        <v>0.0081</v>
      </c>
    </row>
    <row r="216" spans="1:7">
      <c r="A216" s="10">
        <v>44862</v>
      </c>
      <c r="B216" s="7">
        <v>110.75</v>
      </c>
      <c r="C216" s="7">
        <v>110.5</v>
      </c>
      <c r="D216" s="7">
        <v>111.04</v>
      </c>
      <c r="E216" s="7">
        <v>110.29</v>
      </c>
      <c r="G216" s="8">
        <v>0.0015</v>
      </c>
    </row>
    <row r="217" spans="1:7">
      <c r="A217" s="10">
        <v>44865</v>
      </c>
      <c r="B217" s="7">
        <v>111.53</v>
      </c>
      <c r="C217" s="7">
        <v>110.67</v>
      </c>
      <c r="D217" s="7">
        <v>111.67</v>
      </c>
      <c r="E217" s="7">
        <v>110.72</v>
      </c>
      <c r="G217" s="8">
        <v>0.007</v>
      </c>
    </row>
    <row r="218" spans="1:7">
      <c r="A218" s="10">
        <v>44866</v>
      </c>
      <c r="B218" s="7">
        <v>111.48</v>
      </c>
      <c r="C218" s="7">
        <v>111.52</v>
      </c>
      <c r="D218" s="7">
        <v>111.78</v>
      </c>
      <c r="E218" s="7">
        <v>110.72</v>
      </c>
      <c r="G218" s="8">
        <v>-0.0004</v>
      </c>
    </row>
    <row r="219" spans="1:7">
      <c r="A219" s="10">
        <v>44867</v>
      </c>
      <c r="B219" s="7">
        <v>111.35</v>
      </c>
      <c r="C219" s="7">
        <v>111.54</v>
      </c>
      <c r="D219" s="7">
        <v>112.15</v>
      </c>
      <c r="E219" s="7">
        <v>110.43</v>
      </c>
      <c r="G219" s="8">
        <v>-0.0012</v>
      </c>
    </row>
    <row r="220" spans="1:7">
      <c r="A220" s="10">
        <v>44868</v>
      </c>
      <c r="B220" s="7">
        <v>112.93</v>
      </c>
      <c r="C220" s="7">
        <v>112.17</v>
      </c>
      <c r="D220" s="7">
        <v>113.15</v>
      </c>
      <c r="E220" s="7">
        <v>111.82</v>
      </c>
      <c r="G220" s="8">
        <v>0.0142</v>
      </c>
    </row>
    <row r="221" spans="1:7">
      <c r="A221" s="10">
        <v>44869</v>
      </c>
      <c r="B221" s="7">
        <v>110.88</v>
      </c>
      <c r="C221" s="7">
        <v>112.97</v>
      </c>
      <c r="D221" s="7">
        <v>112.99</v>
      </c>
      <c r="E221" s="7">
        <v>110.71</v>
      </c>
      <c r="G221" s="8">
        <v>-0.0182</v>
      </c>
    </row>
    <row r="222" spans="1:7">
      <c r="A222" s="10">
        <v>44872</v>
      </c>
      <c r="B222" s="7">
        <v>110.12</v>
      </c>
      <c r="C222" s="7">
        <v>110.79</v>
      </c>
      <c r="D222" s="7">
        <v>111.27</v>
      </c>
      <c r="E222" s="7">
        <v>110.05</v>
      </c>
      <c r="G222" s="8">
        <v>-0.0068</v>
      </c>
    </row>
    <row r="223" spans="1:7">
      <c r="A223" s="10">
        <v>44873</v>
      </c>
      <c r="B223" s="7">
        <v>109.64</v>
      </c>
      <c r="C223" s="7">
        <v>110.06</v>
      </c>
      <c r="D223" s="7">
        <v>110.61</v>
      </c>
      <c r="E223" s="7">
        <v>109.37</v>
      </c>
      <c r="G223" s="8">
        <v>-0.0044</v>
      </c>
    </row>
    <row r="224" spans="1:7">
      <c r="A224" s="10">
        <v>44874</v>
      </c>
      <c r="B224" s="7">
        <v>110.55</v>
      </c>
      <c r="C224" s="7">
        <v>109.65</v>
      </c>
      <c r="D224" s="7">
        <v>110.64</v>
      </c>
      <c r="E224" s="7">
        <v>109.45</v>
      </c>
      <c r="G224" s="8">
        <v>0.0083</v>
      </c>
    </row>
    <row r="225" spans="1:7">
      <c r="A225" s="10">
        <v>44875</v>
      </c>
      <c r="B225" s="7">
        <v>108.21</v>
      </c>
      <c r="C225" s="7">
        <v>110.3</v>
      </c>
      <c r="D225" s="7">
        <v>110.99</v>
      </c>
      <c r="E225" s="7">
        <v>107.71</v>
      </c>
      <c r="G225" s="8">
        <v>-0.0212</v>
      </c>
    </row>
    <row r="226" spans="1:7">
      <c r="A226" s="10">
        <v>44876</v>
      </c>
      <c r="B226" s="7">
        <v>106.29</v>
      </c>
      <c r="C226" s="7">
        <v>108.24</v>
      </c>
      <c r="D226" s="7">
        <v>108.44</v>
      </c>
      <c r="E226" s="7">
        <v>106.28</v>
      </c>
      <c r="G226" s="8">
        <v>-0.0177</v>
      </c>
    </row>
    <row r="227" spans="1:7">
      <c r="A227" s="10">
        <v>44879</v>
      </c>
      <c r="B227" s="7">
        <v>106.66</v>
      </c>
      <c r="C227" s="7">
        <v>106.42</v>
      </c>
      <c r="D227" s="7">
        <v>107.27</v>
      </c>
      <c r="E227" s="7">
        <v>106.48</v>
      </c>
      <c r="G227" s="8">
        <v>0.0035</v>
      </c>
    </row>
    <row r="228" spans="1:7">
      <c r="A228" s="10">
        <v>44880</v>
      </c>
      <c r="B228" s="7">
        <v>106.4</v>
      </c>
      <c r="C228" s="7">
        <v>107</v>
      </c>
      <c r="D228" s="7">
        <v>107.1</v>
      </c>
      <c r="E228" s="7">
        <v>105.34</v>
      </c>
      <c r="G228" s="8">
        <v>-0.0024</v>
      </c>
    </row>
    <row r="229" spans="1:7">
      <c r="A229" s="10">
        <v>44881</v>
      </c>
      <c r="B229" s="7">
        <v>106.28</v>
      </c>
      <c r="C229" s="7">
        <v>106.58</v>
      </c>
      <c r="D229" s="7">
        <v>106.78</v>
      </c>
      <c r="E229" s="7">
        <v>105.86</v>
      </c>
      <c r="G229" s="8">
        <v>-0.0012</v>
      </c>
    </row>
    <row r="230" spans="1:7">
      <c r="A230" s="10">
        <v>44882</v>
      </c>
      <c r="B230" s="7">
        <v>106.69</v>
      </c>
      <c r="C230" s="7">
        <v>106.27</v>
      </c>
      <c r="D230" s="7">
        <v>107.24</v>
      </c>
      <c r="E230" s="7">
        <v>106.1</v>
      </c>
      <c r="G230" s="8">
        <v>0.0039</v>
      </c>
    </row>
    <row r="231" spans="1:7">
      <c r="A231" s="10">
        <v>44883</v>
      </c>
      <c r="B231" s="7">
        <v>106.93</v>
      </c>
      <c r="C231" s="7">
        <v>106.69</v>
      </c>
      <c r="D231" s="7">
        <v>107.04</v>
      </c>
      <c r="E231" s="7">
        <v>106.34</v>
      </c>
      <c r="G231" s="8">
        <v>0.0022</v>
      </c>
    </row>
    <row r="232" spans="1:7">
      <c r="A232" s="10">
        <v>44886</v>
      </c>
      <c r="B232" s="7">
        <v>107.83</v>
      </c>
      <c r="C232" s="7">
        <v>106.97</v>
      </c>
      <c r="D232" s="7">
        <v>107.99</v>
      </c>
      <c r="E232" s="7">
        <v>106.89</v>
      </c>
      <c r="G232" s="8">
        <v>0.0085</v>
      </c>
    </row>
    <row r="233" spans="1:7">
      <c r="A233" s="10">
        <v>44887</v>
      </c>
      <c r="B233" s="7">
        <v>107.22</v>
      </c>
      <c r="C233" s="7">
        <v>107.7</v>
      </c>
      <c r="D233" s="7">
        <v>107.75</v>
      </c>
      <c r="E233" s="7">
        <v>107.12</v>
      </c>
      <c r="G233" s="8">
        <v>-0.0057</v>
      </c>
    </row>
    <row r="234" spans="1:7">
      <c r="A234" s="10">
        <v>44888</v>
      </c>
      <c r="B234" s="7">
        <v>106.08</v>
      </c>
      <c r="C234" s="7">
        <v>107.08</v>
      </c>
      <c r="D234" s="7">
        <v>107.22</v>
      </c>
      <c r="E234" s="7">
        <v>106.03</v>
      </c>
      <c r="G234" s="8">
        <v>-0.0107</v>
      </c>
    </row>
    <row r="235" spans="1:7">
      <c r="A235" s="10">
        <v>44889</v>
      </c>
      <c r="B235" s="7">
        <v>105.82</v>
      </c>
      <c r="C235" s="7">
        <v>105.99</v>
      </c>
      <c r="D235" s="7">
        <v>106.08</v>
      </c>
      <c r="E235" s="7">
        <v>105.63</v>
      </c>
      <c r="G235" s="8">
        <v>-0.0024</v>
      </c>
    </row>
    <row r="236" spans="1:7">
      <c r="A236" s="10">
        <v>44890</v>
      </c>
      <c r="B236" s="7">
        <v>105.96</v>
      </c>
      <c r="C236" s="7">
        <v>105.96</v>
      </c>
      <c r="D236" s="7">
        <v>106.42</v>
      </c>
      <c r="E236" s="7">
        <v>105.69</v>
      </c>
      <c r="G236" s="8">
        <v>0.0013</v>
      </c>
    </row>
    <row r="237" spans="1:7">
      <c r="A237" s="10">
        <v>44893</v>
      </c>
      <c r="B237" s="7">
        <v>106.68</v>
      </c>
      <c r="C237" s="7">
        <v>106.06</v>
      </c>
      <c r="D237" s="7">
        <v>106.75</v>
      </c>
      <c r="E237" s="7">
        <v>105.32</v>
      </c>
      <c r="G237" s="8">
        <v>0.0068</v>
      </c>
    </row>
    <row r="238" spans="1:7">
      <c r="A238" s="10">
        <v>44894</v>
      </c>
      <c r="B238" s="7">
        <v>106.82</v>
      </c>
      <c r="C238" s="7">
        <v>106.57</v>
      </c>
      <c r="D238" s="7">
        <v>106.88</v>
      </c>
      <c r="E238" s="7">
        <v>106.06</v>
      </c>
      <c r="G238" s="8">
        <v>0.0013</v>
      </c>
    </row>
    <row r="239" spans="1:7">
      <c r="A239" s="10">
        <v>44895</v>
      </c>
      <c r="B239" s="7">
        <v>105.95</v>
      </c>
      <c r="C239" s="7">
        <v>106.72</v>
      </c>
      <c r="D239" s="7">
        <v>107.19</v>
      </c>
      <c r="E239" s="7">
        <v>105.78</v>
      </c>
      <c r="G239" s="8">
        <v>-0.0082</v>
      </c>
    </row>
    <row r="240" spans="1:7">
      <c r="A240" s="10">
        <v>44896</v>
      </c>
      <c r="B240" s="7">
        <v>104.73</v>
      </c>
      <c r="C240" s="7">
        <v>105.7</v>
      </c>
      <c r="D240" s="7">
        <v>105.9</v>
      </c>
      <c r="E240" s="7">
        <v>104.66</v>
      </c>
      <c r="G240" s="8">
        <v>-0.0115</v>
      </c>
    </row>
    <row r="241" spans="1:7">
      <c r="A241" s="10">
        <v>44897</v>
      </c>
      <c r="B241" s="7">
        <v>104.54</v>
      </c>
      <c r="C241" s="7">
        <v>104.82</v>
      </c>
      <c r="D241" s="7">
        <v>105.58</v>
      </c>
      <c r="E241" s="7">
        <v>104.38</v>
      </c>
      <c r="G241" s="8">
        <v>-0.0017</v>
      </c>
    </row>
    <row r="242" spans="1:7">
      <c r="A242" s="10">
        <v>44900</v>
      </c>
      <c r="B242" s="7">
        <v>105.29</v>
      </c>
      <c r="C242" s="7">
        <v>104.51</v>
      </c>
      <c r="D242" s="7">
        <v>105.4</v>
      </c>
      <c r="E242" s="7">
        <v>104.11</v>
      </c>
      <c r="G242" s="8">
        <v>0.0071</v>
      </c>
    </row>
    <row r="243" spans="1:7">
      <c r="A243" s="10">
        <v>44901</v>
      </c>
      <c r="B243" s="7">
        <v>105.58</v>
      </c>
      <c r="C243" s="7">
        <v>105.16</v>
      </c>
      <c r="D243" s="7">
        <v>105.63</v>
      </c>
      <c r="E243" s="7">
        <v>104.89</v>
      </c>
      <c r="G243" s="8">
        <v>0.0027</v>
      </c>
    </row>
    <row r="244" spans="1:7">
      <c r="A244" s="10">
        <v>44902</v>
      </c>
      <c r="B244" s="7">
        <v>105.1</v>
      </c>
      <c r="C244" s="7">
        <v>105.63</v>
      </c>
      <c r="D244" s="7">
        <v>105.82</v>
      </c>
      <c r="E244" s="7">
        <v>104.88</v>
      </c>
      <c r="G244" s="8">
        <v>-0.0045</v>
      </c>
    </row>
    <row r="245" spans="1:7">
      <c r="A245" s="10">
        <v>44903</v>
      </c>
      <c r="B245" s="7">
        <v>104.77</v>
      </c>
      <c r="C245" s="7">
        <v>105.2</v>
      </c>
      <c r="D245" s="7">
        <v>105.43</v>
      </c>
      <c r="E245" s="7">
        <v>104.72</v>
      </c>
      <c r="G245" s="8">
        <v>-0.0031</v>
      </c>
    </row>
    <row r="246" spans="1:7">
      <c r="A246" s="10">
        <v>44904</v>
      </c>
      <c r="B246" s="7">
        <v>104.81</v>
      </c>
      <c r="C246" s="7">
        <v>104.86</v>
      </c>
      <c r="D246" s="7">
        <v>105.14</v>
      </c>
      <c r="E246" s="7">
        <v>104.48</v>
      </c>
      <c r="G246" s="8">
        <v>0.0003</v>
      </c>
    </row>
    <row r="247" spans="1:7">
      <c r="A247" s="10">
        <v>44907</v>
      </c>
      <c r="B247" s="7">
        <v>105.13</v>
      </c>
      <c r="C247" s="7">
        <v>104.93</v>
      </c>
      <c r="D247" s="7">
        <v>105.25</v>
      </c>
      <c r="E247" s="7">
        <v>104.67</v>
      </c>
      <c r="G247" s="8">
        <v>0.0031</v>
      </c>
    </row>
    <row r="248" spans="1:7">
      <c r="A248" s="10">
        <v>44908</v>
      </c>
      <c r="B248" s="7">
        <v>103.98</v>
      </c>
      <c r="C248" s="7">
        <v>104.99</v>
      </c>
      <c r="D248" s="7">
        <v>105.1</v>
      </c>
      <c r="E248" s="7">
        <v>103.59</v>
      </c>
      <c r="G248" s="8">
        <v>-0.0109</v>
      </c>
    </row>
    <row r="249" spans="1:7">
      <c r="A249" s="10">
        <v>44909</v>
      </c>
      <c r="B249" s="7">
        <v>103.77</v>
      </c>
      <c r="C249" s="7">
        <v>104.07</v>
      </c>
      <c r="D249" s="7">
        <v>104.16</v>
      </c>
      <c r="E249" s="7">
        <v>103.45</v>
      </c>
      <c r="G249" s="8">
        <v>-0.002</v>
      </c>
    </row>
    <row r="250" spans="1:7">
      <c r="A250" s="10">
        <v>44910</v>
      </c>
      <c r="B250" s="7">
        <v>104.56</v>
      </c>
      <c r="C250" s="7">
        <v>103.67</v>
      </c>
      <c r="D250" s="7">
        <v>104.88</v>
      </c>
      <c r="E250" s="7">
        <v>103.54</v>
      </c>
      <c r="G250" s="8">
        <v>0.0076</v>
      </c>
    </row>
    <row r="251" spans="1:7">
      <c r="A251" s="10">
        <v>44911</v>
      </c>
      <c r="B251" s="7">
        <v>104.7</v>
      </c>
      <c r="C251" s="7">
        <v>104.45</v>
      </c>
      <c r="D251" s="7">
        <v>104.84</v>
      </c>
      <c r="E251" s="7">
        <v>104.21</v>
      </c>
      <c r="G251" s="8">
        <v>0.0014</v>
      </c>
    </row>
    <row r="252" spans="1:7">
      <c r="A252" s="10">
        <v>44914</v>
      </c>
      <c r="B252" s="7">
        <v>104.72</v>
      </c>
      <c r="C252" s="7">
        <v>104.84</v>
      </c>
      <c r="D252" s="7">
        <v>104.93</v>
      </c>
      <c r="E252" s="7">
        <v>104.13</v>
      </c>
      <c r="G252" s="8">
        <v>0.0002</v>
      </c>
    </row>
    <row r="253" spans="1:7">
      <c r="A253" s="10">
        <v>44915</v>
      </c>
      <c r="B253" s="7">
        <v>103.96</v>
      </c>
      <c r="C253" s="7">
        <v>104.73</v>
      </c>
      <c r="D253" s="7">
        <v>104.79</v>
      </c>
      <c r="E253" s="7">
        <v>103.78</v>
      </c>
      <c r="G253" s="8">
        <v>-0.0072</v>
      </c>
    </row>
    <row r="254" spans="1:7">
      <c r="A254" s="10">
        <v>44916</v>
      </c>
      <c r="B254" s="7">
        <v>104.16</v>
      </c>
      <c r="C254" s="7">
        <v>103.95</v>
      </c>
      <c r="D254" s="7">
        <v>104.38</v>
      </c>
      <c r="E254" s="7">
        <v>103.85</v>
      </c>
      <c r="G254" s="8">
        <v>0.0019</v>
      </c>
    </row>
    <row r="255" spans="1:7">
      <c r="A255" s="10">
        <v>44917</v>
      </c>
      <c r="B255" s="7">
        <v>104.43</v>
      </c>
      <c r="C255" s="7">
        <v>104.22</v>
      </c>
      <c r="D255" s="7">
        <v>104.6</v>
      </c>
      <c r="E255" s="7">
        <v>103.75</v>
      </c>
      <c r="G255" s="8">
        <v>0.0026</v>
      </c>
    </row>
    <row r="256" spans="1:7">
      <c r="A256" s="10">
        <v>44918</v>
      </c>
      <c r="B256" s="7">
        <v>104.31</v>
      </c>
      <c r="C256" s="7">
        <v>104.39</v>
      </c>
      <c r="D256" s="7">
        <v>104.54</v>
      </c>
      <c r="E256" s="7">
        <v>104.12</v>
      </c>
      <c r="G256" s="8">
        <v>-0.0011</v>
      </c>
    </row>
    <row r="257" spans="1:7">
      <c r="A257" s="10">
        <v>44922</v>
      </c>
      <c r="B257" s="7">
        <v>104.18</v>
      </c>
      <c r="C257" s="7">
        <v>104.12</v>
      </c>
      <c r="D257" s="7">
        <v>104.4</v>
      </c>
      <c r="E257" s="7">
        <v>103.89</v>
      </c>
      <c r="G257" s="8">
        <v>-0.0013</v>
      </c>
    </row>
    <row r="258" spans="1:7">
      <c r="A258" s="10">
        <v>44923</v>
      </c>
      <c r="B258" s="7">
        <v>104.46</v>
      </c>
      <c r="C258" s="7">
        <v>104.33</v>
      </c>
      <c r="D258" s="7">
        <v>104.56</v>
      </c>
      <c r="E258" s="7">
        <v>103.85</v>
      </c>
      <c r="G258" s="8">
        <v>0.0027</v>
      </c>
    </row>
    <row r="259" spans="1:7">
      <c r="A259" s="10">
        <v>44924</v>
      </c>
      <c r="B259" s="7">
        <v>103.84</v>
      </c>
      <c r="C259" s="7">
        <v>104.37</v>
      </c>
      <c r="D259" s="7">
        <v>104.45</v>
      </c>
      <c r="E259" s="7">
        <v>103.78</v>
      </c>
      <c r="G259" s="8">
        <v>-0.006</v>
      </c>
    </row>
    <row r="260" spans="1:7">
      <c r="A260" s="10">
        <v>44925</v>
      </c>
      <c r="B260" s="7">
        <v>103.52</v>
      </c>
      <c r="C260" s="7">
        <v>103.95</v>
      </c>
      <c r="D260" s="7">
        <v>104.1</v>
      </c>
      <c r="E260" s="7">
        <v>103.39</v>
      </c>
      <c r="G260" s="8">
        <v>-0.003</v>
      </c>
    </row>
    <row r="261" spans="1:7">
      <c r="A261" s="10">
        <v>44929</v>
      </c>
      <c r="B261" s="7">
        <v>104.52</v>
      </c>
      <c r="C261" s="7">
        <v>103.66</v>
      </c>
      <c r="D261" s="7">
        <v>104.86</v>
      </c>
      <c r="E261" s="7">
        <v>103.47</v>
      </c>
      <c r="G261" s="8">
        <v>0.0096</v>
      </c>
    </row>
    <row r="262" spans="1:7">
      <c r="A262" s="10">
        <v>44930</v>
      </c>
      <c r="B262" s="7">
        <v>104.25</v>
      </c>
      <c r="C262" s="7">
        <v>104.58</v>
      </c>
      <c r="D262" s="7">
        <v>104.6</v>
      </c>
      <c r="E262" s="7">
        <v>103.83</v>
      </c>
      <c r="G262" s="8">
        <v>-0.0026</v>
      </c>
    </row>
    <row r="263" spans="1:7">
      <c r="A263" s="10">
        <v>44931</v>
      </c>
      <c r="B263" s="7">
        <v>105.04</v>
      </c>
      <c r="C263" s="7">
        <v>104.07</v>
      </c>
      <c r="D263" s="7">
        <v>105.27</v>
      </c>
      <c r="E263" s="7">
        <v>103.99</v>
      </c>
      <c r="G263" s="8">
        <v>0.0076</v>
      </c>
    </row>
    <row r="264" spans="1:7">
      <c r="A264" s="10">
        <v>44932</v>
      </c>
      <c r="B264" s="7">
        <v>103.88</v>
      </c>
      <c r="C264" s="7">
        <v>105.05</v>
      </c>
      <c r="D264" s="7">
        <v>105.63</v>
      </c>
      <c r="E264" s="7">
        <v>103.87</v>
      </c>
      <c r="G264" s="8">
        <v>-0.0111</v>
      </c>
    </row>
    <row r="265" spans="1:7">
      <c r="A265" s="10">
        <v>44935</v>
      </c>
      <c r="B265" s="7">
        <v>103</v>
      </c>
      <c r="C265" s="7">
        <v>103.91</v>
      </c>
      <c r="D265" s="7">
        <v>103.93</v>
      </c>
      <c r="E265" s="7">
        <v>102.94</v>
      </c>
      <c r="G265" s="8">
        <v>-0.0085</v>
      </c>
    </row>
    <row r="266" spans="1:7">
      <c r="A266" s="10">
        <v>44936</v>
      </c>
      <c r="B266" s="7">
        <v>103.24</v>
      </c>
      <c r="C266" s="7">
        <v>103.29</v>
      </c>
      <c r="D266" s="7">
        <v>103.49</v>
      </c>
      <c r="E266" s="7">
        <v>103.03</v>
      </c>
      <c r="G266" s="8">
        <v>0.0023</v>
      </c>
    </row>
    <row r="267" spans="1:7">
      <c r="A267" s="10">
        <v>44937</v>
      </c>
      <c r="B267" s="7">
        <v>103.19</v>
      </c>
      <c r="C267" s="7">
        <v>103.22</v>
      </c>
      <c r="D267" s="7">
        <v>103.48</v>
      </c>
      <c r="E267" s="7">
        <v>103.11</v>
      </c>
      <c r="G267" s="8">
        <v>-0.0005</v>
      </c>
    </row>
    <row r="268" spans="1:7">
      <c r="A268" s="10">
        <v>44938</v>
      </c>
      <c r="B268" s="7">
        <v>102.25</v>
      </c>
      <c r="C268" s="7">
        <v>103.06</v>
      </c>
      <c r="D268" s="7">
        <v>103.29</v>
      </c>
      <c r="E268" s="7">
        <v>102.08</v>
      </c>
      <c r="G268" s="8">
        <v>-0.0091</v>
      </c>
    </row>
    <row r="269" spans="1:7">
      <c r="A269" s="10">
        <v>44939</v>
      </c>
      <c r="B269" s="7">
        <v>102.2</v>
      </c>
      <c r="C269" s="7">
        <v>102.21</v>
      </c>
      <c r="D269" s="7">
        <v>102.65</v>
      </c>
      <c r="E269" s="7">
        <v>101.99</v>
      </c>
      <c r="G269" s="8">
        <v>-0.0004</v>
      </c>
    </row>
    <row r="270" spans="1:7">
      <c r="A270" s="10">
        <v>44942</v>
      </c>
      <c r="B270" s="7">
        <v>102.27</v>
      </c>
      <c r="C270" s="7">
        <v>102.18</v>
      </c>
      <c r="D270" s="7">
        <v>102.56</v>
      </c>
      <c r="E270" s="7">
        <v>101.77</v>
      </c>
      <c r="G270" s="8">
        <v>0.0006</v>
      </c>
    </row>
    <row r="271" spans="1:7">
      <c r="A271" s="10">
        <v>44943</v>
      </c>
      <c r="B271" s="7">
        <v>102.39</v>
      </c>
      <c r="C271" s="7">
        <v>102.32</v>
      </c>
      <c r="D271" s="7">
        <v>102.56</v>
      </c>
      <c r="E271" s="7">
        <v>101.94</v>
      </c>
      <c r="G271" s="8">
        <v>0.0012</v>
      </c>
    </row>
    <row r="272" spans="1:7">
      <c r="A272" s="10">
        <v>44944</v>
      </c>
      <c r="B272" s="7">
        <v>102.36</v>
      </c>
      <c r="C272" s="7">
        <v>102.46</v>
      </c>
      <c r="D272" s="7">
        <v>102.9</v>
      </c>
      <c r="E272" s="7">
        <v>101.53</v>
      </c>
      <c r="G272" s="8">
        <v>-0.0003</v>
      </c>
    </row>
    <row r="273" spans="1:7">
      <c r="A273" s="10">
        <v>44945</v>
      </c>
      <c r="B273" s="7">
        <v>102.06</v>
      </c>
      <c r="C273" s="7">
        <v>102.38</v>
      </c>
      <c r="D273" s="7">
        <v>102.48</v>
      </c>
      <c r="E273" s="7">
        <v>101.99</v>
      </c>
      <c r="G273" s="8">
        <v>-0.003</v>
      </c>
    </row>
    <row r="274" spans="1:7">
      <c r="A274" s="10">
        <v>44946</v>
      </c>
      <c r="B274" s="7">
        <v>102.01</v>
      </c>
      <c r="C274" s="7">
        <v>102.07</v>
      </c>
      <c r="D274" s="7">
        <v>102.55</v>
      </c>
      <c r="E274" s="7">
        <v>101.94</v>
      </c>
      <c r="G274" s="8">
        <v>-0.0005</v>
      </c>
    </row>
    <row r="275" spans="1:7">
      <c r="A275" s="10">
        <v>44949</v>
      </c>
      <c r="B275" s="7">
        <v>102.14</v>
      </c>
      <c r="C275" s="7">
        <v>101.99</v>
      </c>
      <c r="D275" s="7">
        <v>102.28</v>
      </c>
      <c r="E275" s="7">
        <v>101.59</v>
      </c>
      <c r="G275" s="8">
        <v>0.0012</v>
      </c>
    </row>
    <row r="276" spans="1:7">
      <c r="A276" s="10">
        <v>44950</v>
      </c>
      <c r="B276" s="7">
        <v>101.92</v>
      </c>
      <c r="C276" s="7">
        <v>101.99</v>
      </c>
      <c r="D276" s="7">
        <v>102.43</v>
      </c>
      <c r="E276" s="7">
        <v>101.72</v>
      </c>
      <c r="G276" s="8">
        <v>-0.0022</v>
      </c>
    </row>
    <row r="277" spans="1:7">
      <c r="A277" s="10">
        <v>44951</v>
      </c>
      <c r="B277" s="7">
        <v>101.64</v>
      </c>
      <c r="C277" s="7">
        <v>102</v>
      </c>
      <c r="D277" s="7">
        <v>102.12</v>
      </c>
      <c r="E277" s="7">
        <v>101.58</v>
      </c>
      <c r="G277" s="8">
        <v>-0.0027</v>
      </c>
    </row>
    <row r="278" spans="1:7">
      <c r="A278" s="10">
        <v>44952</v>
      </c>
      <c r="B278" s="7">
        <v>101.84</v>
      </c>
      <c r="C278" s="7">
        <v>101.58</v>
      </c>
      <c r="D278" s="7">
        <v>102.18</v>
      </c>
      <c r="E278" s="7">
        <v>101.5</v>
      </c>
      <c r="G278" s="8">
        <v>0.0019</v>
      </c>
    </row>
    <row r="279" spans="1:7">
      <c r="A279" s="10">
        <v>44953</v>
      </c>
      <c r="B279" s="7">
        <v>101.93</v>
      </c>
      <c r="C279" s="7">
        <v>101.71</v>
      </c>
      <c r="D279" s="7">
        <v>102.19</v>
      </c>
      <c r="E279" s="7">
        <v>101.68</v>
      </c>
      <c r="G279" s="8">
        <v>0.0009</v>
      </c>
    </row>
    <row r="280" spans="1:7">
      <c r="A280" s="10">
        <v>44956</v>
      </c>
      <c r="B280" s="7">
        <v>102.28</v>
      </c>
      <c r="C280" s="7">
        <v>101.92</v>
      </c>
      <c r="D280" s="7">
        <v>102.31</v>
      </c>
      <c r="E280" s="7">
        <v>101.66</v>
      </c>
      <c r="G280" s="8">
        <v>0.0034</v>
      </c>
    </row>
    <row r="281" spans="1:7">
      <c r="A281" s="10">
        <v>44957</v>
      </c>
      <c r="B281" s="7">
        <v>102.1</v>
      </c>
      <c r="C281" s="7">
        <v>102.19</v>
      </c>
      <c r="D281" s="7">
        <v>102.61</v>
      </c>
      <c r="E281" s="7">
        <v>102.01</v>
      </c>
      <c r="G281" s="8">
        <v>-0.0018</v>
      </c>
    </row>
    <row r="282" spans="1:7">
      <c r="A282" s="10">
        <v>44958</v>
      </c>
      <c r="B282" s="7">
        <v>101.22</v>
      </c>
      <c r="C282" s="7">
        <v>102.1</v>
      </c>
      <c r="D282" s="7">
        <v>102.18</v>
      </c>
      <c r="E282" s="7">
        <v>101.04</v>
      </c>
      <c r="G282" s="8">
        <v>-0.0086</v>
      </c>
    </row>
    <row r="283" spans="1:7">
      <c r="A283" s="10">
        <v>44959</v>
      </c>
      <c r="B283" s="7">
        <v>101.75</v>
      </c>
      <c r="C283" s="7">
        <v>100.85</v>
      </c>
      <c r="D283" s="7">
        <v>101.91</v>
      </c>
      <c r="E283" s="7">
        <v>100.82</v>
      </c>
      <c r="G283" s="8">
        <v>0.0053</v>
      </c>
    </row>
    <row r="284" spans="1:7">
      <c r="A284" s="10">
        <v>44960</v>
      </c>
      <c r="B284" s="7">
        <v>102.92</v>
      </c>
      <c r="C284" s="7">
        <v>101.83</v>
      </c>
      <c r="D284" s="7">
        <v>103.01</v>
      </c>
      <c r="E284" s="7">
        <v>101.55</v>
      </c>
      <c r="G284" s="8">
        <v>0.0114</v>
      </c>
    </row>
    <row r="285" spans="1:7">
      <c r="A285" s="10">
        <v>44963</v>
      </c>
      <c r="B285" s="7">
        <v>103.62</v>
      </c>
      <c r="C285" s="7">
        <v>103.1</v>
      </c>
      <c r="D285" s="7">
        <v>103.76</v>
      </c>
      <c r="E285" s="7">
        <v>103.01</v>
      </c>
      <c r="G285" s="8">
        <v>0.0069</v>
      </c>
    </row>
    <row r="286" spans="1:7">
      <c r="A286" s="10">
        <v>44964</v>
      </c>
      <c r="B286" s="7">
        <v>103.43</v>
      </c>
      <c r="C286" s="7">
        <v>103.54</v>
      </c>
      <c r="D286" s="7">
        <v>103.96</v>
      </c>
      <c r="E286" s="7">
        <v>103</v>
      </c>
      <c r="G286" s="8">
        <v>-0.0019</v>
      </c>
    </row>
    <row r="287" spans="1:7">
      <c r="A287" s="10">
        <v>44965</v>
      </c>
      <c r="B287" s="7">
        <v>103.41</v>
      </c>
      <c r="C287" s="7">
        <v>103.27</v>
      </c>
      <c r="D287" s="7">
        <v>103.52</v>
      </c>
      <c r="E287" s="7">
        <v>103</v>
      </c>
      <c r="G287" s="8">
        <v>-0.0002</v>
      </c>
    </row>
    <row r="288" spans="1:7">
      <c r="A288" s="10">
        <v>44966</v>
      </c>
      <c r="B288" s="7">
        <v>103.22</v>
      </c>
      <c r="C288" s="7">
        <v>103.43</v>
      </c>
      <c r="D288" s="7">
        <v>103.55</v>
      </c>
      <c r="E288" s="7">
        <v>102.64</v>
      </c>
      <c r="G288" s="8">
        <v>-0.0018</v>
      </c>
    </row>
    <row r="289" spans="1:7">
      <c r="A289" s="10">
        <v>44967</v>
      </c>
      <c r="B289" s="7">
        <v>103.63</v>
      </c>
      <c r="C289" s="7">
        <v>103.25</v>
      </c>
      <c r="D289" s="7">
        <v>103.68</v>
      </c>
      <c r="E289" s="7">
        <v>102.9</v>
      </c>
      <c r="G289" s="8">
        <v>0.004</v>
      </c>
    </row>
    <row r="290" spans="1:7">
      <c r="A290" s="10">
        <v>44970</v>
      </c>
      <c r="B290" s="7">
        <v>103.35</v>
      </c>
      <c r="C290" s="7">
        <v>103.58</v>
      </c>
      <c r="D290" s="7">
        <v>103.84</v>
      </c>
      <c r="E290" s="7">
        <v>103.24</v>
      </c>
      <c r="G290" s="8">
        <v>-0.0028</v>
      </c>
    </row>
    <row r="291" spans="1:7">
      <c r="A291" s="10">
        <v>44971</v>
      </c>
      <c r="B291" s="7">
        <v>103.23</v>
      </c>
      <c r="C291" s="7">
        <v>103.22</v>
      </c>
      <c r="D291" s="7">
        <v>103.52</v>
      </c>
      <c r="E291" s="7">
        <v>102.59</v>
      </c>
      <c r="G291" s="8">
        <v>-0.0011</v>
      </c>
    </row>
    <row r="292" spans="1:7">
      <c r="A292" s="10">
        <v>44972</v>
      </c>
      <c r="B292" s="7">
        <v>103.92</v>
      </c>
      <c r="C292" s="7">
        <v>103.21</v>
      </c>
      <c r="D292" s="7">
        <v>104.11</v>
      </c>
      <c r="E292" s="7">
        <v>103.16</v>
      </c>
      <c r="G292" s="8">
        <v>0.0067</v>
      </c>
    </row>
    <row r="293" spans="1:7">
      <c r="A293" s="10">
        <v>44973</v>
      </c>
      <c r="B293" s="7">
        <v>103.86</v>
      </c>
      <c r="C293" s="7">
        <v>103.88</v>
      </c>
      <c r="D293" s="7">
        <v>104.23</v>
      </c>
      <c r="E293" s="7">
        <v>103.53</v>
      </c>
      <c r="G293" s="8">
        <v>-0.0006</v>
      </c>
    </row>
    <row r="294" spans="1:7">
      <c r="A294" s="10">
        <v>44974</v>
      </c>
      <c r="B294" s="7">
        <v>103.86</v>
      </c>
      <c r="C294" s="7">
        <v>104.2</v>
      </c>
      <c r="D294" s="7">
        <v>104.67</v>
      </c>
      <c r="E294" s="7">
        <v>103.84</v>
      </c>
      <c r="G294" s="8">
        <v>0.0001</v>
      </c>
    </row>
    <row r="295" spans="1:7">
      <c r="A295" s="10">
        <v>44977</v>
      </c>
      <c r="B295" s="7">
        <v>103.86</v>
      </c>
      <c r="C295" s="7">
        <v>103.88</v>
      </c>
      <c r="D295" s="7">
        <v>104.09</v>
      </c>
      <c r="E295" s="7">
        <v>103.76</v>
      </c>
      <c r="G295" s="8">
        <v>0</v>
      </c>
    </row>
    <row r="296" spans="1:7">
      <c r="A296" s="10">
        <v>44978</v>
      </c>
      <c r="B296" s="7">
        <v>104.18</v>
      </c>
      <c r="C296" s="7">
        <v>103.91</v>
      </c>
      <c r="D296" s="7">
        <v>104.26</v>
      </c>
      <c r="E296" s="7">
        <v>103.77</v>
      </c>
      <c r="G296" s="8">
        <v>0.0031</v>
      </c>
    </row>
    <row r="297" spans="1:7">
      <c r="A297" s="10">
        <v>44979</v>
      </c>
      <c r="B297" s="7">
        <v>104.58</v>
      </c>
      <c r="C297" s="7">
        <v>104.13</v>
      </c>
      <c r="D297" s="7">
        <v>104.6</v>
      </c>
      <c r="E297" s="7">
        <v>104.01</v>
      </c>
      <c r="G297" s="8">
        <v>0.0039</v>
      </c>
    </row>
    <row r="298" spans="1:7">
      <c r="A298" s="10">
        <v>44980</v>
      </c>
      <c r="B298" s="7">
        <v>104.6</v>
      </c>
      <c r="C298" s="7">
        <v>104.5</v>
      </c>
      <c r="D298" s="7">
        <v>104.78</v>
      </c>
      <c r="E298" s="7">
        <v>104.31</v>
      </c>
      <c r="G298" s="8">
        <v>0.0001</v>
      </c>
    </row>
    <row r="299" spans="1:7">
      <c r="A299" s="10">
        <v>44981</v>
      </c>
      <c r="B299" s="7">
        <v>105.21</v>
      </c>
      <c r="C299" s="7">
        <v>104.56</v>
      </c>
      <c r="D299" s="7">
        <v>105.32</v>
      </c>
      <c r="E299" s="7">
        <v>104.42</v>
      </c>
      <c r="G299" s="8">
        <v>0.0059</v>
      </c>
    </row>
    <row r="300" spans="1:7">
      <c r="A300" s="10">
        <v>44984</v>
      </c>
      <c r="B300" s="7">
        <v>104.67</v>
      </c>
      <c r="C300" s="7">
        <v>105.26</v>
      </c>
      <c r="D300" s="7">
        <v>105.36</v>
      </c>
      <c r="E300" s="7">
        <v>104.55</v>
      </c>
      <c r="G300" s="8">
        <v>-0.0051</v>
      </c>
    </row>
    <row r="301" spans="1:7">
      <c r="A301" s="10">
        <v>44985</v>
      </c>
      <c r="B301" s="7">
        <v>104.87</v>
      </c>
      <c r="C301" s="7">
        <v>104.63</v>
      </c>
      <c r="D301" s="7">
        <v>105</v>
      </c>
      <c r="E301" s="7">
        <v>104.42</v>
      </c>
      <c r="G301" s="8">
        <v>0.0019</v>
      </c>
    </row>
    <row r="302" spans="1:7">
      <c r="A302" s="10">
        <v>44986</v>
      </c>
      <c r="B302" s="7">
        <v>104.48</v>
      </c>
      <c r="C302" s="7">
        <v>105.04</v>
      </c>
      <c r="D302" s="7">
        <v>105.09</v>
      </c>
      <c r="E302" s="7">
        <v>104.09</v>
      </c>
      <c r="G302" s="8">
        <v>-0.0037</v>
      </c>
    </row>
    <row r="303" spans="1:7">
      <c r="A303" s="10">
        <v>44987</v>
      </c>
      <c r="B303" s="7">
        <v>105.03</v>
      </c>
      <c r="C303" s="7">
        <v>104.39</v>
      </c>
      <c r="D303" s="7">
        <v>105.18</v>
      </c>
      <c r="E303" s="7">
        <v>104.39</v>
      </c>
      <c r="G303" s="8">
        <v>0.0052</v>
      </c>
    </row>
    <row r="304" spans="1:7">
      <c r="A304" s="10">
        <v>44988</v>
      </c>
      <c r="B304" s="7">
        <v>104.52</v>
      </c>
      <c r="C304" s="7">
        <v>104.94</v>
      </c>
      <c r="D304" s="7">
        <v>105</v>
      </c>
      <c r="E304" s="7">
        <v>104.49</v>
      </c>
      <c r="G304" s="8">
        <v>-0.0048</v>
      </c>
    </row>
    <row r="305" spans="1:7">
      <c r="A305" s="10">
        <v>44991</v>
      </c>
      <c r="B305" s="7">
        <v>104.35</v>
      </c>
      <c r="C305" s="7">
        <v>104.53</v>
      </c>
      <c r="D305" s="7">
        <v>104.69</v>
      </c>
      <c r="E305" s="7">
        <v>104.16</v>
      </c>
      <c r="G305" s="8">
        <v>-0.0016</v>
      </c>
    </row>
    <row r="306" spans="1:7">
      <c r="A306" s="10">
        <v>44992</v>
      </c>
      <c r="B306" s="7">
        <v>105.61</v>
      </c>
      <c r="C306" s="7">
        <v>104.3</v>
      </c>
      <c r="D306" s="7">
        <v>105.65</v>
      </c>
      <c r="E306" s="7">
        <v>104.12</v>
      </c>
      <c r="G306" s="8">
        <v>0.0121</v>
      </c>
    </row>
    <row r="307" spans="1:7">
      <c r="A307" s="10">
        <v>44993</v>
      </c>
      <c r="B307" s="7">
        <v>105.66</v>
      </c>
      <c r="C307" s="7">
        <v>105.67</v>
      </c>
      <c r="D307" s="7">
        <v>105.88</v>
      </c>
      <c r="E307" s="7">
        <v>105.36</v>
      </c>
      <c r="G307" s="8">
        <v>0.0004</v>
      </c>
    </row>
    <row r="308" spans="1:7">
      <c r="A308" s="10">
        <v>44994</v>
      </c>
      <c r="B308" s="7">
        <v>105.31</v>
      </c>
      <c r="C308" s="7">
        <v>105.62</v>
      </c>
      <c r="D308" s="7">
        <v>105.73</v>
      </c>
      <c r="E308" s="7">
        <v>105.15</v>
      </c>
      <c r="G308" s="8">
        <v>-0.0033</v>
      </c>
    </row>
    <row r="309" spans="1:7">
      <c r="A309" s="10">
        <v>44995</v>
      </c>
      <c r="B309" s="7">
        <v>104.58</v>
      </c>
      <c r="C309" s="7">
        <v>105.13</v>
      </c>
      <c r="D309" s="7">
        <v>105.35</v>
      </c>
      <c r="E309" s="7">
        <v>104.04</v>
      </c>
      <c r="G309" s="8">
        <v>-0.007</v>
      </c>
    </row>
    <row r="310" spans="1:7">
      <c r="A310" s="10">
        <v>44998</v>
      </c>
      <c r="B310" s="7">
        <v>103.6</v>
      </c>
      <c r="C310" s="7">
        <v>104.64</v>
      </c>
      <c r="D310" s="7">
        <v>104.64</v>
      </c>
      <c r="E310" s="7">
        <v>103.48</v>
      </c>
      <c r="G310" s="8">
        <v>-0.0094</v>
      </c>
    </row>
    <row r="311" spans="1:7">
      <c r="A311" s="10">
        <v>44999</v>
      </c>
      <c r="B311" s="7">
        <v>103.6</v>
      </c>
      <c r="C311" s="7">
        <v>103.67</v>
      </c>
      <c r="D311" s="7">
        <v>104.05</v>
      </c>
      <c r="E311" s="7">
        <v>103.5</v>
      </c>
      <c r="G311" s="8">
        <v>0</v>
      </c>
    </row>
    <row r="312" spans="1:7">
      <c r="A312" s="10">
        <v>45000</v>
      </c>
      <c r="B312" s="7">
        <v>104.65</v>
      </c>
      <c r="C312" s="7">
        <v>103.74</v>
      </c>
      <c r="D312" s="7">
        <v>105.1</v>
      </c>
      <c r="E312" s="7">
        <v>103.44</v>
      </c>
      <c r="G312" s="8">
        <v>0.0101</v>
      </c>
    </row>
    <row r="313" spans="1:7">
      <c r="A313" s="10">
        <v>45001</v>
      </c>
      <c r="B313" s="7">
        <v>104.42</v>
      </c>
      <c r="C313" s="7">
        <v>104.62</v>
      </c>
      <c r="D313" s="7">
        <v>104.74</v>
      </c>
      <c r="E313" s="7">
        <v>104.2</v>
      </c>
      <c r="G313" s="8">
        <v>-0.0022</v>
      </c>
    </row>
    <row r="314" spans="1:7">
      <c r="A314" s="10">
        <v>45002</v>
      </c>
      <c r="B314" s="7">
        <v>103.71</v>
      </c>
      <c r="C314" s="7">
        <v>104.41</v>
      </c>
      <c r="D314" s="7">
        <v>104.44</v>
      </c>
      <c r="E314" s="7">
        <v>103.69</v>
      </c>
      <c r="G314" s="8">
        <v>-0.0068</v>
      </c>
    </row>
    <row r="315" spans="1:7">
      <c r="A315" s="10">
        <v>45005</v>
      </c>
      <c r="B315" s="7">
        <v>103.28</v>
      </c>
      <c r="C315" s="7">
        <v>103.86</v>
      </c>
      <c r="D315" s="7">
        <v>103.96</v>
      </c>
      <c r="E315" s="7">
        <v>103.28</v>
      </c>
      <c r="G315" s="8">
        <v>-0.0041</v>
      </c>
    </row>
    <row r="316" spans="1:7">
      <c r="A316" s="10">
        <v>45006</v>
      </c>
      <c r="B316" s="7">
        <v>103.26</v>
      </c>
      <c r="C316" s="7">
        <v>103.31</v>
      </c>
      <c r="D316" s="7">
        <v>103.51</v>
      </c>
      <c r="E316" s="7">
        <v>103</v>
      </c>
      <c r="G316" s="8">
        <v>-0.0002</v>
      </c>
    </row>
    <row r="317" spans="1:7">
      <c r="A317" s="10">
        <v>45007</v>
      </c>
      <c r="B317" s="7">
        <v>102.35</v>
      </c>
      <c r="C317" s="7">
        <v>103.19</v>
      </c>
      <c r="D317" s="7">
        <v>103.26</v>
      </c>
      <c r="E317" s="7">
        <v>102.07</v>
      </c>
      <c r="G317" s="8">
        <v>-0.0088</v>
      </c>
    </row>
    <row r="318" spans="1:7">
      <c r="A318" s="10">
        <v>45008</v>
      </c>
      <c r="B318" s="7">
        <v>102.53</v>
      </c>
      <c r="C318" s="7">
        <v>102.5</v>
      </c>
      <c r="D318" s="7">
        <v>102.64</v>
      </c>
      <c r="E318" s="7">
        <v>101.92</v>
      </c>
      <c r="G318" s="8">
        <v>0.0018</v>
      </c>
    </row>
    <row r="319" spans="1:7">
      <c r="A319" s="10">
        <v>45009</v>
      </c>
      <c r="B319" s="7">
        <v>103.12</v>
      </c>
      <c r="C319" s="7">
        <v>102.6</v>
      </c>
      <c r="D319" s="7">
        <v>103.36</v>
      </c>
      <c r="E319" s="7">
        <v>102.5</v>
      </c>
      <c r="G319" s="8">
        <v>0.0057</v>
      </c>
    </row>
    <row r="320" spans="1:7">
      <c r="A320" s="10">
        <v>45012</v>
      </c>
      <c r="B320" s="7">
        <v>102.86</v>
      </c>
      <c r="C320" s="7">
        <v>103.11</v>
      </c>
      <c r="D320" s="7">
        <v>103.23</v>
      </c>
      <c r="E320" s="7">
        <v>102.83</v>
      </c>
      <c r="G320" s="8">
        <v>-0.0025</v>
      </c>
    </row>
    <row r="321" spans="1:7">
      <c r="A321" s="10">
        <v>45013</v>
      </c>
      <c r="B321" s="7">
        <v>102.43</v>
      </c>
      <c r="C321" s="7">
        <v>102.75</v>
      </c>
      <c r="D321" s="7">
        <v>102.76</v>
      </c>
      <c r="E321" s="7">
        <v>102.38</v>
      </c>
      <c r="G321" s="8">
        <v>-0.0042</v>
      </c>
    </row>
    <row r="322" spans="1:7">
      <c r="A322" s="10">
        <v>45014</v>
      </c>
      <c r="B322" s="7">
        <v>102.64</v>
      </c>
      <c r="C322" s="7">
        <v>102.49</v>
      </c>
      <c r="D322" s="7">
        <v>102.79</v>
      </c>
      <c r="E322" s="7">
        <v>102.37</v>
      </c>
      <c r="G322" s="8">
        <v>0.0021</v>
      </c>
    </row>
    <row r="323" spans="1:7">
      <c r="A323" s="10">
        <v>45015</v>
      </c>
      <c r="B323" s="7">
        <v>102.14</v>
      </c>
      <c r="C323" s="7">
        <v>102.62</v>
      </c>
      <c r="D323" s="7">
        <v>102.78</v>
      </c>
      <c r="E323" s="7">
        <v>102.07</v>
      </c>
      <c r="G323" s="8">
        <v>-0.0048</v>
      </c>
    </row>
    <row r="324" spans="1:7">
      <c r="A324" s="10">
        <v>45016</v>
      </c>
      <c r="B324" s="7">
        <v>102.51</v>
      </c>
      <c r="C324" s="7">
        <v>102.2</v>
      </c>
      <c r="D324" s="7">
        <v>102.63</v>
      </c>
      <c r="E324" s="7">
        <v>102.05</v>
      </c>
      <c r="G324" s="8">
        <v>0.0035</v>
      </c>
    </row>
    <row r="325" spans="1:7">
      <c r="A325" s="10">
        <v>45019</v>
      </c>
      <c r="B325" s="7">
        <v>102.09</v>
      </c>
      <c r="C325" s="7">
        <v>102.59</v>
      </c>
      <c r="D325" s="7">
        <v>103.06</v>
      </c>
      <c r="E325" s="7">
        <v>101.98</v>
      </c>
      <c r="G325" s="8">
        <v>-0.004</v>
      </c>
    </row>
    <row r="326" spans="1:7">
      <c r="A326" s="10">
        <v>45020</v>
      </c>
      <c r="B326" s="7">
        <v>101.59</v>
      </c>
      <c r="C326" s="7">
        <v>102.01</v>
      </c>
      <c r="D326" s="7">
        <v>102.28</v>
      </c>
      <c r="E326" s="7">
        <v>101.46</v>
      </c>
      <c r="G326" s="8">
        <v>-0.005</v>
      </c>
    </row>
    <row r="327" spans="1:7">
      <c r="A327" s="10">
        <v>45021</v>
      </c>
      <c r="B327" s="7">
        <v>101.85</v>
      </c>
      <c r="C327" s="7">
        <v>101.52</v>
      </c>
      <c r="D327" s="7">
        <v>101.99</v>
      </c>
      <c r="E327" s="7">
        <v>101.42</v>
      </c>
      <c r="G327" s="8">
        <v>0.0026</v>
      </c>
    </row>
    <row r="328" spans="1:7">
      <c r="A328" s="10">
        <v>45022</v>
      </c>
      <c r="B328" s="7">
        <v>101.82</v>
      </c>
      <c r="C328" s="7">
        <v>101.83</v>
      </c>
      <c r="D328" s="7">
        <v>102.14</v>
      </c>
      <c r="E328" s="7">
        <v>101.75</v>
      </c>
      <c r="G328" s="8">
        <v>-0.0003</v>
      </c>
    </row>
    <row r="329" spans="1:7">
      <c r="A329" s="10">
        <v>45023</v>
      </c>
      <c r="B329" s="7">
        <v>102.09</v>
      </c>
      <c r="C329" s="7">
        <v>101.94</v>
      </c>
      <c r="D329" s="7">
        <v>102.3</v>
      </c>
      <c r="E329" s="7">
        <v>101.88</v>
      </c>
      <c r="G329" s="8">
        <v>0.0027</v>
      </c>
    </row>
    <row r="330" spans="1:7">
      <c r="A330" s="10">
        <v>45026</v>
      </c>
      <c r="B330" s="7">
        <v>102.58</v>
      </c>
      <c r="C330" s="7">
        <v>102.1</v>
      </c>
      <c r="D330" s="7">
        <v>102.81</v>
      </c>
      <c r="E330" s="7">
        <v>101.99</v>
      </c>
      <c r="G330" s="8">
        <v>0.0048</v>
      </c>
    </row>
    <row r="331" spans="1:7">
      <c r="A331" s="10">
        <v>45027</v>
      </c>
      <c r="B331" s="7">
        <v>102.2</v>
      </c>
      <c r="C331" s="7">
        <v>102.52</v>
      </c>
      <c r="D331" s="7">
        <v>102.51</v>
      </c>
      <c r="E331" s="7">
        <v>102.01</v>
      </c>
      <c r="G331" s="8">
        <v>-0.0036</v>
      </c>
    </row>
    <row r="332" spans="1:7">
      <c r="A332" s="10">
        <v>45028</v>
      </c>
      <c r="B332" s="7">
        <v>101.5</v>
      </c>
      <c r="C332" s="7">
        <v>102.13</v>
      </c>
      <c r="D332" s="7">
        <v>102.16</v>
      </c>
      <c r="E332" s="7">
        <v>101.45</v>
      </c>
      <c r="G332" s="8">
        <v>-0.0069</v>
      </c>
    </row>
    <row r="333" spans="1:7">
      <c r="A333" s="10">
        <v>45029</v>
      </c>
      <c r="B333" s="7">
        <v>101.01</v>
      </c>
      <c r="C333" s="7">
        <v>101.47</v>
      </c>
      <c r="D333" s="7">
        <v>101.6</v>
      </c>
      <c r="E333" s="7">
        <v>100.85</v>
      </c>
      <c r="G333" s="8">
        <v>-0.0048</v>
      </c>
    </row>
    <row r="334" spans="1:7">
      <c r="A334" s="10">
        <v>45030</v>
      </c>
      <c r="B334" s="7">
        <v>101.55</v>
      </c>
      <c r="C334" s="7">
        <v>101</v>
      </c>
      <c r="D334" s="7">
        <v>101.75</v>
      </c>
      <c r="E334" s="7">
        <v>100.79</v>
      </c>
      <c r="G334" s="8">
        <v>0.0054</v>
      </c>
    </row>
    <row r="335" spans="1:7">
      <c r="A335" s="10">
        <v>45033</v>
      </c>
      <c r="B335" s="7">
        <v>102.1</v>
      </c>
      <c r="C335" s="7">
        <v>101.58</v>
      </c>
      <c r="D335" s="7">
        <v>102.23</v>
      </c>
      <c r="E335" s="7">
        <v>101.53</v>
      </c>
      <c r="G335" s="8">
        <v>0.0054</v>
      </c>
    </row>
    <row r="336" spans="1:7">
      <c r="A336" s="10">
        <v>45034</v>
      </c>
      <c r="B336" s="7">
        <v>101.75</v>
      </c>
      <c r="C336" s="7">
        <v>102.1</v>
      </c>
      <c r="D336" s="7">
        <v>102.14</v>
      </c>
      <c r="E336" s="7">
        <v>101.64</v>
      </c>
      <c r="G336" s="8">
        <v>-0.0035</v>
      </c>
    </row>
    <row r="337" spans="1:7">
      <c r="A337" s="10">
        <v>45035</v>
      </c>
      <c r="B337" s="7">
        <v>101.97</v>
      </c>
      <c r="C337" s="7">
        <v>101.71</v>
      </c>
      <c r="D337" s="7">
        <v>102.23</v>
      </c>
      <c r="E337" s="7">
        <v>101.66</v>
      </c>
      <c r="G337" s="8">
        <v>0.0022</v>
      </c>
    </row>
    <row r="338" spans="1:7">
      <c r="A338" s="10">
        <v>45036</v>
      </c>
      <c r="B338" s="7">
        <v>101.84</v>
      </c>
      <c r="C338" s="7">
        <v>101.99</v>
      </c>
      <c r="D338" s="7">
        <v>102.13</v>
      </c>
      <c r="E338" s="7">
        <v>101.63</v>
      </c>
      <c r="G338" s="8">
        <v>-0.0013</v>
      </c>
    </row>
    <row r="339" spans="1:7">
      <c r="A339" s="10">
        <v>45037</v>
      </c>
      <c r="B339" s="7">
        <v>101.82</v>
      </c>
      <c r="C339" s="7">
        <v>101.8</v>
      </c>
      <c r="D339" s="7">
        <v>102.12</v>
      </c>
      <c r="E339" s="7">
        <v>101.65</v>
      </c>
      <c r="G339" s="8">
        <v>-0.0002</v>
      </c>
    </row>
    <row r="340" spans="1:7">
      <c r="A340" s="10">
        <v>45040</v>
      </c>
      <c r="B340" s="7">
        <v>101.35</v>
      </c>
      <c r="C340" s="7">
        <v>101.72</v>
      </c>
      <c r="D340" s="7">
        <v>101.91</v>
      </c>
      <c r="E340" s="7">
        <v>101.32</v>
      </c>
      <c r="G340" s="8">
        <v>-0.0047</v>
      </c>
    </row>
    <row r="341" spans="1:7">
      <c r="A341" s="10">
        <v>45041</v>
      </c>
      <c r="B341" s="7">
        <v>101.86</v>
      </c>
      <c r="C341" s="7">
        <v>101.26</v>
      </c>
      <c r="D341" s="7">
        <v>101.95</v>
      </c>
      <c r="E341" s="7">
        <v>101.2</v>
      </c>
      <c r="G341" s="8">
        <v>0.0051</v>
      </c>
    </row>
    <row r="342" spans="1:7">
      <c r="A342" s="10">
        <v>45042</v>
      </c>
      <c r="B342" s="7">
        <v>101.47</v>
      </c>
      <c r="C342" s="7">
        <v>101.82</v>
      </c>
      <c r="D342" s="7">
        <v>101.89</v>
      </c>
      <c r="E342" s="7">
        <v>101.01</v>
      </c>
      <c r="G342" s="8">
        <v>-0.0039</v>
      </c>
    </row>
    <row r="343" spans="1:7">
      <c r="A343" s="10">
        <v>45043</v>
      </c>
      <c r="B343" s="7">
        <v>101.5</v>
      </c>
      <c r="C343" s="7">
        <v>101.4</v>
      </c>
      <c r="D343" s="7">
        <v>101.8</v>
      </c>
      <c r="E343" s="7">
        <v>101.28</v>
      </c>
      <c r="G343" s="8">
        <v>0.0004</v>
      </c>
    </row>
    <row r="344" spans="1:7">
      <c r="A344" s="10">
        <v>45044</v>
      </c>
      <c r="B344" s="7">
        <v>101.66</v>
      </c>
      <c r="C344" s="7">
        <v>101.47</v>
      </c>
      <c r="D344" s="7">
        <v>102.17</v>
      </c>
      <c r="E344" s="7">
        <v>101.42</v>
      </c>
      <c r="G344" s="8">
        <v>0.0015</v>
      </c>
    </row>
    <row r="345" spans="1:7">
      <c r="A345" s="10">
        <v>45047</v>
      </c>
      <c r="B345" s="7">
        <v>102.15</v>
      </c>
      <c r="C345" s="7">
        <v>101.67</v>
      </c>
      <c r="D345" s="7">
        <v>102.19</v>
      </c>
      <c r="E345" s="7">
        <v>101.62</v>
      </c>
      <c r="G345" s="8">
        <v>0.0048</v>
      </c>
    </row>
    <row r="346" spans="1:7">
      <c r="A346" s="10">
        <v>45048</v>
      </c>
      <c r="B346" s="7">
        <v>101.96</v>
      </c>
      <c r="C346" s="7">
        <v>102.14</v>
      </c>
      <c r="D346" s="7">
        <v>102.4</v>
      </c>
      <c r="E346" s="7">
        <v>101.88</v>
      </c>
      <c r="G346" s="8">
        <v>-0.0019</v>
      </c>
    </row>
    <row r="347" spans="1:7">
      <c r="A347" s="10">
        <v>45049</v>
      </c>
      <c r="B347" s="7">
        <v>101.34</v>
      </c>
      <c r="C347" s="7">
        <v>101.86</v>
      </c>
      <c r="D347" s="7">
        <v>101.92</v>
      </c>
      <c r="E347" s="7">
        <v>101.07</v>
      </c>
      <c r="G347" s="8">
        <v>-0.006</v>
      </c>
    </row>
    <row r="348" spans="1:7">
      <c r="A348" s="10">
        <v>45050</v>
      </c>
      <c r="B348" s="7">
        <v>101.4</v>
      </c>
      <c r="C348" s="7">
        <v>101.2</v>
      </c>
      <c r="D348" s="7">
        <v>101.64</v>
      </c>
      <c r="E348" s="7">
        <v>101.03</v>
      </c>
      <c r="G348" s="8">
        <v>0.0006</v>
      </c>
    </row>
    <row r="349" spans="1:7">
      <c r="A349" s="10">
        <v>45051</v>
      </c>
      <c r="B349" s="7">
        <v>101.21</v>
      </c>
      <c r="C349" s="7">
        <v>101.34</v>
      </c>
      <c r="D349" s="7">
        <v>101.78</v>
      </c>
      <c r="E349" s="7">
        <v>101.12</v>
      </c>
      <c r="G349" s="8">
        <v>-0.0018</v>
      </c>
    </row>
    <row r="350" spans="1:7">
      <c r="A350" s="10">
        <v>45054</v>
      </c>
      <c r="B350" s="7">
        <v>101.38</v>
      </c>
      <c r="C350" s="7">
        <v>101.28</v>
      </c>
      <c r="D350" s="7">
        <v>101.42</v>
      </c>
      <c r="E350" s="7">
        <v>101.04</v>
      </c>
      <c r="G350" s="8">
        <v>0.0016</v>
      </c>
    </row>
    <row r="351" spans="1:7">
      <c r="A351" s="10">
        <v>45055</v>
      </c>
      <c r="B351" s="7">
        <v>101.61</v>
      </c>
      <c r="C351" s="7">
        <v>101.4</v>
      </c>
      <c r="D351" s="7">
        <v>101.83</v>
      </c>
      <c r="E351" s="7">
        <v>101.36</v>
      </c>
      <c r="G351" s="8">
        <v>0.0022</v>
      </c>
    </row>
    <row r="352" spans="1:7">
      <c r="A352" s="10">
        <v>45056</v>
      </c>
      <c r="B352" s="7">
        <v>101.48</v>
      </c>
      <c r="C352" s="7">
        <v>101.62</v>
      </c>
      <c r="D352" s="7">
        <v>101.81</v>
      </c>
      <c r="E352" s="7">
        <v>101.21</v>
      </c>
      <c r="G352" s="8">
        <v>-0.0013</v>
      </c>
    </row>
    <row r="353" spans="1:7">
      <c r="A353" s="10">
        <v>45057</v>
      </c>
      <c r="B353" s="7">
        <v>102.06</v>
      </c>
      <c r="C353" s="7">
        <v>101.41</v>
      </c>
      <c r="D353" s="7">
        <v>102.15</v>
      </c>
      <c r="E353" s="7">
        <v>101.3</v>
      </c>
      <c r="G353" s="8">
        <v>0.0057</v>
      </c>
    </row>
    <row r="354" spans="1:7">
      <c r="A354" s="10">
        <v>45058</v>
      </c>
      <c r="B354" s="7">
        <v>102.68</v>
      </c>
      <c r="C354" s="7">
        <v>102.1</v>
      </c>
      <c r="D354" s="7">
        <v>102.71</v>
      </c>
      <c r="E354" s="7">
        <v>101.94</v>
      </c>
      <c r="G354" s="8">
        <v>0.0061</v>
      </c>
    </row>
    <row r="355" spans="1:7">
      <c r="A355" s="10">
        <v>45061</v>
      </c>
      <c r="B355" s="7">
        <v>102.43</v>
      </c>
      <c r="C355" s="7">
        <v>102.71</v>
      </c>
      <c r="D355" s="7">
        <v>102.75</v>
      </c>
      <c r="E355" s="7">
        <v>102.38</v>
      </c>
      <c r="G355" s="8">
        <v>-0.0024</v>
      </c>
    </row>
    <row r="356" spans="1:7">
      <c r="A356" s="10">
        <v>45062</v>
      </c>
      <c r="B356" s="7">
        <v>102.56</v>
      </c>
      <c r="C356" s="7">
        <v>102.43</v>
      </c>
      <c r="D356" s="7">
        <v>102.69</v>
      </c>
      <c r="E356" s="7">
        <v>102.2</v>
      </c>
      <c r="G356" s="8">
        <v>0.0013</v>
      </c>
    </row>
    <row r="357" spans="1:7">
      <c r="A357" s="10">
        <v>45063</v>
      </c>
      <c r="B357" s="7">
        <v>102.88</v>
      </c>
      <c r="C357" s="7">
        <v>102.61</v>
      </c>
      <c r="D357" s="7">
        <v>103.11</v>
      </c>
      <c r="E357" s="7">
        <v>102.54</v>
      </c>
      <c r="G357" s="8">
        <v>0.0031</v>
      </c>
    </row>
    <row r="358" spans="1:7">
      <c r="A358" s="10">
        <v>45064</v>
      </c>
      <c r="B358" s="7">
        <v>103.58</v>
      </c>
      <c r="C358" s="7">
        <v>102.9</v>
      </c>
      <c r="D358" s="7">
        <v>103.62</v>
      </c>
      <c r="E358" s="7">
        <v>102.79</v>
      </c>
      <c r="G358" s="8">
        <v>0.0068</v>
      </c>
    </row>
    <row r="359" spans="1:7">
      <c r="A359" s="10">
        <v>45065</v>
      </c>
      <c r="B359" s="7">
        <v>103.2</v>
      </c>
      <c r="C359" s="7">
        <v>103.51</v>
      </c>
      <c r="D359" s="7">
        <v>103.62</v>
      </c>
      <c r="E359" s="7">
        <v>103</v>
      </c>
      <c r="G359" s="8">
        <v>-0.0037</v>
      </c>
    </row>
    <row r="360" spans="1:7">
      <c r="A360" s="10">
        <v>45068</v>
      </c>
      <c r="B360" s="7">
        <v>103.2</v>
      </c>
      <c r="C360" s="7">
        <v>103.19</v>
      </c>
      <c r="D360" s="7">
        <v>103.37</v>
      </c>
      <c r="E360" s="7">
        <v>102.96</v>
      </c>
      <c r="G360" s="8">
        <v>0</v>
      </c>
    </row>
    <row r="361" spans="1:7">
      <c r="A361" s="10">
        <v>45069</v>
      </c>
      <c r="B361" s="7">
        <v>103.49</v>
      </c>
      <c r="C361" s="7">
        <v>103.27</v>
      </c>
      <c r="D361" s="7">
        <v>103.65</v>
      </c>
      <c r="E361" s="7">
        <v>103.16</v>
      </c>
      <c r="G361" s="8">
        <v>0.0028</v>
      </c>
    </row>
    <row r="362" spans="1:7">
      <c r="A362" s="10">
        <v>45070</v>
      </c>
      <c r="B362" s="7">
        <v>103.89</v>
      </c>
      <c r="C362" s="7">
        <v>103.54</v>
      </c>
      <c r="D362" s="7">
        <v>103.91</v>
      </c>
      <c r="E362" s="7">
        <v>103.35</v>
      </c>
      <c r="G362" s="8">
        <v>0.0039</v>
      </c>
    </row>
    <row r="363" spans="1:7">
      <c r="A363" s="10">
        <v>45071</v>
      </c>
      <c r="B363" s="7">
        <v>104.25</v>
      </c>
      <c r="C363" s="7">
        <v>103.86</v>
      </c>
      <c r="D363" s="7">
        <v>104.31</v>
      </c>
      <c r="E363" s="7">
        <v>103.84</v>
      </c>
      <c r="G363" s="8">
        <v>0.0035</v>
      </c>
    </row>
    <row r="364" spans="1:7">
      <c r="A364" s="10">
        <v>45072</v>
      </c>
      <c r="B364" s="7">
        <v>104.21</v>
      </c>
      <c r="C364" s="7">
        <v>104.23</v>
      </c>
      <c r="D364" s="7">
        <v>104.42</v>
      </c>
      <c r="E364" s="7">
        <v>103.85</v>
      </c>
      <c r="G364" s="8">
        <v>-0.0004</v>
      </c>
    </row>
    <row r="365" spans="1:7">
      <c r="A365" s="10">
        <v>45075</v>
      </c>
      <c r="B365" s="7">
        <v>104.26</v>
      </c>
      <c r="C365" s="7">
        <v>104.24</v>
      </c>
      <c r="D365" s="7">
        <v>104.31</v>
      </c>
      <c r="E365" s="7">
        <v>104.04</v>
      </c>
      <c r="G365" s="8">
        <v>0.0006</v>
      </c>
    </row>
    <row r="366" spans="1:7">
      <c r="A366" s="10">
        <v>45076</v>
      </c>
      <c r="B366" s="7">
        <v>104.17</v>
      </c>
      <c r="C366" s="7">
        <v>104.3</v>
      </c>
      <c r="D366" s="7">
        <v>104.53</v>
      </c>
      <c r="E366" s="7">
        <v>103.88</v>
      </c>
      <c r="G366" s="8">
        <v>-0.0009</v>
      </c>
    </row>
    <row r="367" spans="1:7">
      <c r="A367" s="10">
        <v>45077</v>
      </c>
      <c r="B367" s="7">
        <v>104.33</v>
      </c>
      <c r="C367" s="7">
        <v>104.05</v>
      </c>
      <c r="D367" s="7">
        <v>104.7</v>
      </c>
      <c r="E367" s="7">
        <v>104.01</v>
      </c>
      <c r="G367" s="8">
        <v>0.0015</v>
      </c>
    </row>
    <row r="368" spans="1:7">
      <c r="A368" s="10">
        <v>45078</v>
      </c>
      <c r="B368" s="7">
        <v>103.56</v>
      </c>
      <c r="C368" s="7">
        <v>104.15</v>
      </c>
      <c r="D368" s="7">
        <v>104.5</v>
      </c>
      <c r="E368" s="7">
        <v>103.5</v>
      </c>
      <c r="G368" s="8">
        <v>-0.0073</v>
      </c>
    </row>
    <row r="369" spans="1:7">
      <c r="A369" s="10">
        <v>45079</v>
      </c>
      <c r="B369" s="7">
        <v>104.01</v>
      </c>
      <c r="C369" s="7">
        <v>103.56</v>
      </c>
      <c r="D369" s="7">
        <v>104.09</v>
      </c>
      <c r="E369" s="7">
        <v>103.38</v>
      </c>
      <c r="G369" s="8">
        <v>0.0044</v>
      </c>
    </row>
    <row r="370" spans="1:7">
      <c r="A370" s="10">
        <v>45082</v>
      </c>
      <c r="B370" s="7">
        <v>104</v>
      </c>
      <c r="C370" s="7">
        <v>104.04</v>
      </c>
      <c r="D370" s="7">
        <v>104.4</v>
      </c>
      <c r="E370" s="7">
        <v>103.93</v>
      </c>
      <c r="G370" s="8">
        <v>-0.0001</v>
      </c>
    </row>
    <row r="371" spans="1:7">
      <c r="A371" s="10">
        <v>45083</v>
      </c>
      <c r="B371" s="7">
        <v>104.13</v>
      </c>
      <c r="C371" s="7">
        <v>104.01</v>
      </c>
      <c r="D371" s="7">
        <v>104.37</v>
      </c>
      <c r="E371" s="7">
        <v>103.82</v>
      </c>
      <c r="G371" s="8">
        <v>0.0012</v>
      </c>
    </row>
    <row r="372" spans="1:7">
      <c r="A372" s="10">
        <v>45084</v>
      </c>
      <c r="B372" s="7">
        <v>104.1</v>
      </c>
      <c r="C372" s="7">
        <v>104.12</v>
      </c>
      <c r="D372" s="7">
        <v>104.3</v>
      </c>
      <c r="E372" s="7">
        <v>103.66</v>
      </c>
      <c r="G372" s="8">
        <v>-0.0002</v>
      </c>
    </row>
    <row r="373" spans="1:7">
      <c r="A373" s="10">
        <v>45085</v>
      </c>
      <c r="B373" s="7">
        <v>103.34</v>
      </c>
      <c r="C373" s="7">
        <v>104.07</v>
      </c>
      <c r="D373" s="7">
        <v>104.07</v>
      </c>
      <c r="E373" s="7">
        <v>103.3</v>
      </c>
      <c r="G373" s="8">
        <v>-0.0073</v>
      </c>
    </row>
    <row r="374" spans="1:7">
      <c r="A374" s="10">
        <v>45086</v>
      </c>
      <c r="B374" s="7">
        <v>103.56</v>
      </c>
      <c r="C374" s="7">
        <v>103.3</v>
      </c>
      <c r="D374" s="7">
        <v>103.61</v>
      </c>
      <c r="E374" s="7">
        <v>103.29</v>
      </c>
      <c r="G374" s="8">
        <v>0.0021</v>
      </c>
    </row>
    <row r="375" spans="1:7">
      <c r="A375" s="10">
        <v>45089</v>
      </c>
      <c r="B375" s="7">
        <v>103.65</v>
      </c>
      <c r="C375" s="7">
        <v>103.55</v>
      </c>
      <c r="D375" s="7">
        <v>103.76</v>
      </c>
      <c r="E375" s="7">
        <v>103.24</v>
      </c>
      <c r="G375" s="8">
        <v>0.0009</v>
      </c>
    </row>
    <row r="376" spans="1:7">
      <c r="A376" s="10">
        <v>45090</v>
      </c>
      <c r="B376" s="7">
        <v>103.34</v>
      </c>
      <c r="C376" s="7">
        <v>103.58</v>
      </c>
      <c r="D376" s="7">
        <v>103.62</v>
      </c>
      <c r="E376" s="7">
        <v>103.05</v>
      </c>
      <c r="G376" s="8">
        <v>-0.003</v>
      </c>
    </row>
    <row r="377" spans="1:7">
      <c r="A377" s="10">
        <v>45091</v>
      </c>
      <c r="B377" s="7">
        <v>102.95</v>
      </c>
      <c r="C377" s="7">
        <v>103.32</v>
      </c>
      <c r="D377" s="7">
        <v>103.4</v>
      </c>
      <c r="E377" s="7">
        <v>102.66</v>
      </c>
      <c r="G377" s="8">
        <v>-0.0038</v>
      </c>
    </row>
    <row r="378" spans="1:7">
      <c r="A378" s="10">
        <v>45092</v>
      </c>
      <c r="B378" s="7">
        <v>102.11</v>
      </c>
      <c r="C378" s="7">
        <v>102.96</v>
      </c>
      <c r="D378" s="7">
        <v>103.38</v>
      </c>
      <c r="E378" s="7">
        <v>102.09</v>
      </c>
      <c r="G378" s="8">
        <v>-0.0081</v>
      </c>
    </row>
    <row r="379" spans="1:7">
      <c r="A379" s="10">
        <v>45093</v>
      </c>
      <c r="B379" s="7">
        <v>102.24</v>
      </c>
      <c r="C379" s="7">
        <v>102.12</v>
      </c>
      <c r="D379" s="7">
        <v>102.43</v>
      </c>
      <c r="E379" s="7">
        <v>102.01</v>
      </c>
      <c r="G379" s="8">
        <v>0.0013</v>
      </c>
    </row>
    <row r="380" spans="1:7">
      <c r="A380" s="10">
        <v>45096</v>
      </c>
      <c r="B380" s="7">
        <v>102.52</v>
      </c>
      <c r="C380" s="7">
        <v>102.3</v>
      </c>
      <c r="D380" s="7">
        <v>102.55</v>
      </c>
      <c r="E380" s="7">
        <v>102.25</v>
      </c>
      <c r="G380" s="8">
        <v>0.0027</v>
      </c>
    </row>
    <row r="381" spans="1:7">
      <c r="A381" s="10">
        <v>45097</v>
      </c>
      <c r="B381" s="7">
        <v>102.54</v>
      </c>
      <c r="C381" s="7">
        <v>102.48</v>
      </c>
      <c r="D381" s="7">
        <v>102.79</v>
      </c>
      <c r="E381" s="7">
        <v>102.32</v>
      </c>
      <c r="G381" s="8">
        <v>0.0002</v>
      </c>
    </row>
    <row r="382" spans="1:7">
      <c r="A382" s="10">
        <v>45098</v>
      </c>
      <c r="B382" s="7">
        <v>102.07</v>
      </c>
      <c r="C382" s="7">
        <v>102.5</v>
      </c>
      <c r="D382" s="7">
        <v>102.71</v>
      </c>
      <c r="E382" s="7">
        <v>102.02</v>
      </c>
      <c r="G382" s="8">
        <v>-0.0046</v>
      </c>
    </row>
    <row r="383" spans="1:7">
      <c r="A383" s="10">
        <v>45099</v>
      </c>
      <c r="B383" s="7">
        <v>102.39</v>
      </c>
      <c r="C383" s="7">
        <v>102.03</v>
      </c>
      <c r="D383" s="7">
        <v>102.47</v>
      </c>
      <c r="E383" s="7">
        <v>101.92</v>
      </c>
      <c r="G383" s="8">
        <v>0.0031</v>
      </c>
    </row>
    <row r="384" spans="1:7">
      <c r="A384" s="10">
        <v>45100</v>
      </c>
      <c r="B384" s="7">
        <v>102.9</v>
      </c>
      <c r="C384" s="7">
        <v>102.38</v>
      </c>
      <c r="D384" s="7">
        <v>103.17</v>
      </c>
      <c r="E384" s="7">
        <v>102.38</v>
      </c>
      <c r="G384" s="8">
        <v>0.005</v>
      </c>
    </row>
    <row r="385" spans="1:7">
      <c r="A385" s="10">
        <v>45103</v>
      </c>
      <c r="B385" s="7">
        <v>102.69</v>
      </c>
      <c r="C385" s="7">
        <v>102.87</v>
      </c>
      <c r="D385" s="7">
        <v>102.83</v>
      </c>
      <c r="E385" s="7">
        <v>102.61</v>
      </c>
      <c r="G385" s="8">
        <v>-0.0021</v>
      </c>
    </row>
    <row r="386" spans="1:7">
      <c r="A386" s="10">
        <v>45104</v>
      </c>
      <c r="B386" s="7">
        <v>102.49</v>
      </c>
      <c r="C386" s="7">
        <v>102.74</v>
      </c>
      <c r="D386" s="7">
        <v>102.8</v>
      </c>
      <c r="E386" s="7">
        <v>102.32</v>
      </c>
      <c r="G386" s="8">
        <v>-0.0019</v>
      </c>
    </row>
    <row r="387" spans="1:7">
      <c r="A387" s="10">
        <v>45105</v>
      </c>
      <c r="B387" s="7">
        <v>102.9</v>
      </c>
      <c r="C387" s="7">
        <v>102.51</v>
      </c>
      <c r="D387" s="7">
        <v>103.14</v>
      </c>
      <c r="E387" s="7">
        <v>102.47</v>
      </c>
      <c r="G387" s="8">
        <v>0.004</v>
      </c>
    </row>
    <row r="388" spans="1:7">
      <c r="A388" s="10">
        <v>45106</v>
      </c>
      <c r="B388" s="7">
        <v>103.34</v>
      </c>
      <c r="C388" s="7">
        <v>102.96</v>
      </c>
      <c r="D388" s="7">
        <v>103.44</v>
      </c>
      <c r="E388" s="7">
        <v>102.78</v>
      </c>
      <c r="G388" s="8">
        <v>0.0042</v>
      </c>
    </row>
    <row r="389" spans="1:7">
      <c r="A389" s="10">
        <v>45107</v>
      </c>
      <c r="B389" s="7">
        <v>102.91</v>
      </c>
      <c r="C389" s="7">
        <v>103.35</v>
      </c>
      <c r="D389" s="7">
        <v>103.54</v>
      </c>
      <c r="E389" s="7">
        <v>102.75</v>
      </c>
      <c r="G389" s="8">
        <v>-0.0042</v>
      </c>
    </row>
    <row r="390" spans="1:7">
      <c r="A390" s="10">
        <v>45110</v>
      </c>
      <c r="B390" s="7">
        <v>102.96</v>
      </c>
      <c r="C390" s="7">
        <v>102.93</v>
      </c>
      <c r="D390" s="7">
        <v>103.27</v>
      </c>
      <c r="E390" s="7">
        <v>102.75</v>
      </c>
      <c r="G390" s="8">
        <v>0.0005</v>
      </c>
    </row>
    <row r="391" spans="1:7">
      <c r="A391" s="10">
        <v>45111</v>
      </c>
      <c r="B391" s="7">
        <v>103.04</v>
      </c>
      <c r="C391" s="7">
        <v>102.97</v>
      </c>
      <c r="D391" s="7">
        <v>103.11</v>
      </c>
      <c r="E391" s="7">
        <v>102.88</v>
      </c>
      <c r="G391" s="8">
        <v>0.0007</v>
      </c>
    </row>
    <row r="392" spans="1:7">
      <c r="A392" s="10">
        <v>45112</v>
      </c>
      <c r="B392" s="7">
        <v>103.37</v>
      </c>
      <c r="C392" s="7">
        <v>103.08</v>
      </c>
      <c r="D392" s="7">
        <v>103.39</v>
      </c>
      <c r="E392" s="7">
        <v>102.96</v>
      </c>
      <c r="G392" s="8">
        <v>0.0032</v>
      </c>
    </row>
    <row r="393" spans="1:7">
      <c r="A393" s="10">
        <v>45113</v>
      </c>
      <c r="B393" s="7">
        <v>103.07</v>
      </c>
      <c r="C393" s="7">
        <v>103.35</v>
      </c>
      <c r="D393" s="7">
        <v>103.57</v>
      </c>
      <c r="E393" s="7">
        <v>102.92</v>
      </c>
      <c r="G393" s="8">
        <v>-0.0029</v>
      </c>
    </row>
    <row r="394" spans="1:7">
      <c r="A394" s="10">
        <v>45114</v>
      </c>
      <c r="B394" s="7">
        <v>102.27</v>
      </c>
      <c r="C394" s="7">
        <v>103.08</v>
      </c>
      <c r="D394" s="7">
        <v>103.19</v>
      </c>
      <c r="E394" s="7">
        <v>102.23</v>
      </c>
      <c r="G394" s="8">
        <v>-0.0077</v>
      </c>
    </row>
    <row r="395" spans="1:7">
      <c r="A395" s="10">
        <v>45117</v>
      </c>
      <c r="B395" s="7">
        <v>101.97</v>
      </c>
      <c r="C395" s="7">
        <v>102.29</v>
      </c>
      <c r="D395" s="7">
        <v>102.56</v>
      </c>
      <c r="E395" s="7">
        <v>101.95</v>
      </c>
      <c r="G395" s="8">
        <v>-0.0029</v>
      </c>
    </row>
    <row r="396" spans="1:7">
      <c r="A396" s="10">
        <v>45118</v>
      </c>
      <c r="B396" s="7">
        <v>101.73</v>
      </c>
      <c r="C396" s="7">
        <v>101.94</v>
      </c>
      <c r="D396" s="7">
        <v>101.97</v>
      </c>
      <c r="E396" s="7">
        <v>101.65</v>
      </c>
      <c r="G396" s="8">
        <v>-0.0024</v>
      </c>
    </row>
    <row r="397" spans="1:7">
      <c r="A397" s="10">
        <v>45119</v>
      </c>
      <c r="B397" s="7">
        <v>100.52</v>
      </c>
      <c r="C397" s="7">
        <v>101.59</v>
      </c>
      <c r="D397" s="7">
        <v>101.61</v>
      </c>
      <c r="E397" s="7">
        <v>100.51</v>
      </c>
      <c r="G397" s="8">
        <v>-0.0119</v>
      </c>
    </row>
    <row r="398" spans="1:7">
      <c r="A398" s="10">
        <v>45120</v>
      </c>
      <c r="B398" s="7">
        <v>99.77</v>
      </c>
      <c r="C398" s="7">
        <v>100.52</v>
      </c>
      <c r="D398" s="7">
        <v>100.61</v>
      </c>
      <c r="E398" s="7">
        <v>99.74</v>
      </c>
      <c r="G398" s="8">
        <v>-0.0075</v>
      </c>
    </row>
    <row r="399" spans="1:7">
      <c r="A399" s="10">
        <v>45121</v>
      </c>
      <c r="B399" s="7">
        <v>99.91</v>
      </c>
      <c r="C399" s="7">
        <v>99.75</v>
      </c>
      <c r="D399" s="7">
        <v>100.01</v>
      </c>
      <c r="E399" s="7">
        <v>99.58</v>
      </c>
      <c r="G399" s="8">
        <v>0.0014</v>
      </c>
    </row>
    <row r="400" spans="1:7">
      <c r="A400" s="10">
        <v>45124</v>
      </c>
      <c r="B400" s="7">
        <v>99.84</v>
      </c>
      <c r="C400" s="7">
        <v>99.96</v>
      </c>
      <c r="D400" s="7">
        <v>100.18</v>
      </c>
      <c r="E400" s="7">
        <v>99.75</v>
      </c>
      <c r="G400" s="8">
        <v>-0.0007</v>
      </c>
    </row>
    <row r="401" spans="1:7">
      <c r="A401" s="10">
        <v>45125</v>
      </c>
      <c r="B401" s="7">
        <v>99.94</v>
      </c>
      <c r="C401" s="7">
        <v>99.89</v>
      </c>
      <c r="D401" s="7">
        <v>100.11</v>
      </c>
      <c r="E401" s="7">
        <v>99.59</v>
      </c>
      <c r="G401" s="8">
        <v>0.001</v>
      </c>
    </row>
    <row r="402" spans="1:7">
      <c r="A402" s="10">
        <v>45126</v>
      </c>
      <c r="B402" s="7">
        <v>100.28</v>
      </c>
      <c r="C402" s="7">
        <v>99.98</v>
      </c>
      <c r="D402" s="7">
        <v>100.53</v>
      </c>
      <c r="E402" s="7">
        <v>99.92</v>
      </c>
      <c r="G402" s="8">
        <v>0.0034</v>
      </c>
    </row>
    <row r="403" spans="1:7">
      <c r="A403" s="10">
        <v>45127</v>
      </c>
      <c r="B403" s="7">
        <v>100.88</v>
      </c>
      <c r="C403" s="7">
        <v>100.78</v>
      </c>
      <c r="D403" s="7">
        <v>100.97</v>
      </c>
      <c r="E403" s="7">
        <v>100.02</v>
      </c>
      <c r="G403" s="8">
        <v>0.006</v>
      </c>
    </row>
    <row r="404" spans="1:7">
      <c r="A404" s="10">
        <v>45128</v>
      </c>
      <c r="B404" s="7">
        <v>101.07</v>
      </c>
      <c r="C404" s="7">
        <v>100.78</v>
      </c>
      <c r="D404" s="7">
        <v>101.19</v>
      </c>
      <c r="E404" s="7">
        <v>100.72</v>
      </c>
      <c r="G404" s="8">
        <v>0.0019</v>
      </c>
    </row>
    <row r="405" spans="1:7">
      <c r="A405" s="10">
        <v>45131</v>
      </c>
      <c r="B405" s="7">
        <v>101.35</v>
      </c>
      <c r="C405" s="7">
        <v>101.05</v>
      </c>
      <c r="D405" s="7">
        <v>101.43</v>
      </c>
      <c r="E405" s="7">
        <v>100.89</v>
      </c>
      <c r="G405" s="8">
        <v>0.0027</v>
      </c>
    </row>
    <row r="406" spans="1:7">
      <c r="A406" s="10">
        <v>45132</v>
      </c>
      <c r="B406" s="7">
        <v>101.35</v>
      </c>
      <c r="C406" s="7">
        <v>101.42</v>
      </c>
      <c r="D406" s="7">
        <v>101.65</v>
      </c>
      <c r="E406" s="7">
        <v>101.19</v>
      </c>
      <c r="G406" s="8">
        <v>0</v>
      </c>
    </row>
    <row r="407" spans="1:7">
      <c r="A407" s="10">
        <v>45133</v>
      </c>
      <c r="B407" s="7">
        <v>100.89</v>
      </c>
      <c r="C407" s="7">
        <v>101.32</v>
      </c>
      <c r="D407" s="7">
        <v>101.44</v>
      </c>
      <c r="E407" s="7">
        <v>100.86</v>
      </c>
      <c r="G407" s="8">
        <v>-0.0046</v>
      </c>
    </row>
    <row r="408" spans="1:7">
      <c r="A408" s="10">
        <v>45134</v>
      </c>
      <c r="B408" s="7">
        <v>101.77</v>
      </c>
      <c r="C408" s="7">
        <v>101.11</v>
      </c>
      <c r="D408" s="7">
        <v>101.84</v>
      </c>
      <c r="E408" s="7">
        <v>100.55</v>
      </c>
      <c r="G408" s="8">
        <v>0.0088</v>
      </c>
    </row>
    <row r="409" spans="1:7">
      <c r="A409" s="10">
        <v>45135</v>
      </c>
      <c r="B409" s="7">
        <v>101.62</v>
      </c>
      <c r="C409" s="7">
        <v>101.69</v>
      </c>
      <c r="D409" s="7">
        <v>102.04</v>
      </c>
      <c r="E409" s="7">
        <v>101.36</v>
      </c>
      <c r="G409" s="8">
        <v>-0.0015</v>
      </c>
    </row>
    <row r="410" spans="1:7">
      <c r="A410" s="10">
        <v>45138</v>
      </c>
      <c r="B410" s="7">
        <v>101.86</v>
      </c>
      <c r="C410" s="7">
        <v>101.89</v>
      </c>
      <c r="D410" s="7">
        <v>101.9</v>
      </c>
      <c r="E410" s="7">
        <v>101.86</v>
      </c>
      <c r="G410" s="8">
        <v>0.0023</v>
      </c>
    </row>
    <row r="411" spans="1:7">
      <c r="A411" s="10">
        <v>45139</v>
      </c>
      <c r="B411" s="7">
        <v>102.3</v>
      </c>
      <c r="C411" s="7">
        <v>101.87</v>
      </c>
      <c r="D411" s="7">
        <v>102.43</v>
      </c>
      <c r="E411" s="7">
        <v>101.85</v>
      </c>
      <c r="G411" s="8">
        <v>0.0044</v>
      </c>
    </row>
    <row r="412" spans="1:7">
      <c r="A412" s="10">
        <v>45140</v>
      </c>
      <c r="B412" s="7">
        <v>102.59</v>
      </c>
      <c r="C412" s="7">
        <v>101.96</v>
      </c>
      <c r="D412" s="7">
        <v>102.78</v>
      </c>
      <c r="E412" s="7">
        <v>101.96</v>
      </c>
      <c r="G412" s="8">
        <v>0.0028</v>
      </c>
    </row>
    <row r="413" spans="1:7">
      <c r="A413" s="10">
        <v>45141</v>
      </c>
      <c r="B413" s="7">
        <v>102.54</v>
      </c>
      <c r="C413" s="7">
        <v>102.59</v>
      </c>
      <c r="D413" s="7">
        <v>102.84</v>
      </c>
      <c r="E413" s="7">
        <v>102.36</v>
      </c>
      <c r="G413" s="8">
        <v>-0.0005</v>
      </c>
    </row>
    <row r="414" spans="1:7">
      <c r="A414" s="10">
        <v>45142</v>
      </c>
      <c r="B414" s="7">
        <v>102.02</v>
      </c>
      <c r="C414" s="7">
        <v>102.45</v>
      </c>
      <c r="D414" s="7">
        <v>102.62</v>
      </c>
      <c r="E414" s="7">
        <v>101.74</v>
      </c>
      <c r="G414" s="8">
        <v>-0.0051</v>
      </c>
    </row>
    <row r="415" spans="1:7">
      <c r="A415" s="10">
        <v>45145</v>
      </c>
      <c r="B415" s="7">
        <v>102.05</v>
      </c>
      <c r="C415" s="7">
        <v>101.99</v>
      </c>
      <c r="D415" s="7">
        <v>102.38</v>
      </c>
      <c r="E415" s="7">
        <v>101.97</v>
      </c>
      <c r="G415" s="8">
        <v>0.0003</v>
      </c>
    </row>
    <row r="416" spans="1:7">
      <c r="A416" s="10">
        <v>45146</v>
      </c>
      <c r="B416" s="7">
        <v>102.53</v>
      </c>
      <c r="C416" s="7">
        <v>102.07</v>
      </c>
      <c r="D416" s="7">
        <v>102.8</v>
      </c>
      <c r="E416" s="7">
        <v>102.07</v>
      </c>
      <c r="G416" s="8">
        <v>0.0047</v>
      </c>
    </row>
    <row r="417" spans="1:7">
      <c r="A417" s="10">
        <v>45147</v>
      </c>
      <c r="B417" s="7">
        <v>102.49</v>
      </c>
      <c r="C417" s="7">
        <v>102.55</v>
      </c>
      <c r="D417" s="7">
        <v>102.58</v>
      </c>
      <c r="E417" s="7">
        <v>102.29</v>
      </c>
      <c r="G417" s="8">
        <v>-0.0004</v>
      </c>
    </row>
    <row r="418" spans="1:7">
      <c r="A418" s="10">
        <v>45148</v>
      </c>
      <c r="B418" s="7">
        <v>102.52</v>
      </c>
      <c r="C418" s="7">
        <v>102.48</v>
      </c>
      <c r="D418" s="7">
        <v>102.65</v>
      </c>
      <c r="E418" s="7">
        <v>101.78</v>
      </c>
      <c r="G418" s="8">
        <v>0.0003</v>
      </c>
    </row>
    <row r="419" spans="1:7">
      <c r="A419" s="10">
        <v>45149</v>
      </c>
      <c r="B419" s="7">
        <v>102.84</v>
      </c>
      <c r="C419" s="7">
        <v>102.62</v>
      </c>
      <c r="D419" s="7">
        <v>102.91</v>
      </c>
      <c r="E419" s="7">
        <v>102.42</v>
      </c>
      <c r="G419" s="8">
        <v>0.0031</v>
      </c>
    </row>
    <row r="420" spans="1:7">
      <c r="A420" s="10">
        <v>45152</v>
      </c>
      <c r="B420" s="7">
        <v>103.19</v>
      </c>
      <c r="C420" s="7">
        <v>102.85</v>
      </c>
      <c r="D420" s="7">
        <v>103.46</v>
      </c>
      <c r="E420" s="7">
        <v>102.77</v>
      </c>
      <c r="G420" s="8">
        <v>0.0034</v>
      </c>
    </row>
    <row r="421" spans="1:7">
      <c r="A421" s="10">
        <v>45153</v>
      </c>
      <c r="B421" s="7">
        <v>103.21</v>
      </c>
      <c r="C421" s="7">
        <v>103.21</v>
      </c>
      <c r="D421" s="7">
        <v>103.28</v>
      </c>
      <c r="E421" s="7">
        <v>103.15</v>
      </c>
      <c r="G421" s="8">
        <v>0.0002</v>
      </c>
    </row>
    <row r="422" spans="1:7">
      <c r="A422" s="10">
        <v>45154</v>
      </c>
      <c r="B422" s="7">
        <v>103.43</v>
      </c>
      <c r="C422" s="7">
        <v>103.21</v>
      </c>
      <c r="D422" s="7">
        <v>103.53</v>
      </c>
      <c r="E422" s="7">
        <v>102.94</v>
      </c>
      <c r="G422" s="8">
        <v>0.0022</v>
      </c>
    </row>
    <row r="423" spans="1:7">
      <c r="A423" s="10">
        <v>45155</v>
      </c>
      <c r="B423" s="7">
        <v>103.57</v>
      </c>
      <c r="C423" s="7">
        <v>103.47</v>
      </c>
      <c r="D423" s="7">
        <v>103.6</v>
      </c>
      <c r="E423" s="7">
        <v>103.06</v>
      </c>
      <c r="G423" s="8">
        <v>0.0014</v>
      </c>
    </row>
    <row r="424" spans="1:7">
      <c r="A424" s="10">
        <v>45156</v>
      </c>
      <c r="B424" s="7">
        <v>103.38</v>
      </c>
      <c r="C424" s="7">
        <v>103.4</v>
      </c>
      <c r="D424" s="7">
        <v>103.68</v>
      </c>
      <c r="E424" s="7">
        <v>103.22</v>
      </c>
      <c r="G424" s="8">
        <v>-0.0019</v>
      </c>
    </row>
    <row r="425" spans="1:7">
      <c r="A425" s="10">
        <v>45159</v>
      </c>
      <c r="B425" s="7">
        <v>103.3</v>
      </c>
      <c r="C425" s="7">
        <v>103.43</v>
      </c>
      <c r="D425" s="7">
        <v>103.5</v>
      </c>
      <c r="E425" s="7">
        <v>103.14</v>
      </c>
      <c r="G425" s="8">
        <v>-0.0007</v>
      </c>
    </row>
    <row r="426" spans="1:7">
      <c r="A426" s="10">
        <v>45160</v>
      </c>
      <c r="B426" s="7">
        <v>103.56</v>
      </c>
      <c r="C426" s="7">
        <v>103.33</v>
      </c>
      <c r="D426" s="7">
        <v>103.72</v>
      </c>
      <c r="E426" s="7">
        <v>103.01</v>
      </c>
      <c r="G426" s="8">
        <v>0.0025</v>
      </c>
    </row>
    <row r="427" spans="1:7">
      <c r="A427" s="10">
        <v>45161</v>
      </c>
      <c r="B427" s="7">
        <v>103.42</v>
      </c>
      <c r="C427" s="7">
        <v>103.58</v>
      </c>
      <c r="D427" s="7">
        <v>103.98</v>
      </c>
      <c r="E427" s="7">
        <v>103.3</v>
      </c>
      <c r="G427" s="8">
        <v>-0.0014</v>
      </c>
    </row>
    <row r="428" spans="1:7">
      <c r="A428" s="10">
        <v>45162</v>
      </c>
      <c r="B428" s="7">
        <v>103.98</v>
      </c>
      <c r="C428" s="7">
        <v>103.36</v>
      </c>
      <c r="D428" s="7">
        <v>104.03</v>
      </c>
      <c r="E428" s="7">
        <v>103.27</v>
      </c>
      <c r="G428" s="8">
        <v>0.0054</v>
      </c>
    </row>
    <row r="429" spans="1:7">
      <c r="A429" s="10">
        <v>45163</v>
      </c>
      <c r="B429" s="7">
        <v>104.08</v>
      </c>
      <c r="C429" s="7">
        <v>104.1</v>
      </c>
      <c r="D429" s="7">
        <v>104.45</v>
      </c>
      <c r="E429" s="7">
        <v>103.74</v>
      </c>
      <c r="G429" s="8">
        <v>0.0009</v>
      </c>
    </row>
    <row r="430" spans="1:7">
      <c r="A430" s="10">
        <v>45166</v>
      </c>
      <c r="B430" s="7">
        <v>104.06</v>
      </c>
      <c r="C430" s="7">
        <v>104.19</v>
      </c>
      <c r="D430" s="7">
        <v>104.21</v>
      </c>
      <c r="E430" s="7">
        <v>103.97</v>
      </c>
      <c r="G430" s="8">
        <v>-0.0002</v>
      </c>
    </row>
    <row r="431" spans="1:7">
      <c r="A431" s="10">
        <v>45167</v>
      </c>
      <c r="B431" s="7">
        <v>103.53</v>
      </c>
      <c r="C431" s="7">
        <v>103.92</v>
      </c>
      <c r="D431" s="7">
        <v>104.36</v>
      </c>
      <c r="E431" s="7">
        <v>103.36</v>
      </c>
      <c r="G431" s="8">
        <v>-0.0051</v>
      </c>
    </row>
    <row r="432" spans="1:7">
      <c r="A432" s="10">
        <v>45168</v>
      </c>
      <c r="B432" s="7">
        <v>103.16</v>
      </c>
      <c r="C432" s="7">
        <v>103.44</v>
      </c>
      <c r="D432" s="7">
        <v>103.7</v>
      </c>
      <c r="E432" s="7">
        <v>102.94</v>
      </c>
      <c r="G432" s="8">
        <v>-0.0036</v>
      </c>
    </row>
    <row r="433" spans="1:7">
      <c r="A433" s="10">
        <v>45169</v>
      </c>
      <c r="B433" s="7">
        <v>103.62</v>
      </c>
      <c r="C433" s="7">
        <v>103.1</v>
      </c>
      <c r="D433" s="7">
        <v>103.74</v>
      </c>
      <c r="E433" s="7">
        <v>103.01</v>
      </c>
      <c r="G433" s="8">
        <v>0.0045</v>
      </c>
    </row>
    <row r="434" spans="1:7">
      <c r="A434" s="10">
        <v>45170</v>
      </c>
      <c r="B434" s="7">
        <v>104.24</v>
      </c>
      <c r="C434" s="7">
        <v>103.62</v>
      </c>
      <c r="D434" s="7">
        <v>104.29</v>
      </c>
      <c r="E434" s="7">
        <v>103.27</v>
      </c>
      <c r="G434" s="8">
        <v>0.006</v>
      </c>
    </row>
    <row r="435" spans="1:7">
      <c r="A435" s="10">
        <v>45173</v>
      </c>
      <c r="B435" s="7">
        <v>104.24</v>
      </c>
      <c r="C435" s="7">
        <v>104.26</v>
      </c>
      <c r="D435" s="7">
        <v>104.27</v>
      </c>
      <c r="E435" s="7">
        <v>104.03</v>
      </c>
      <c r="G435" s="8">
        <v>0</v>
      </c>
    </row>
    <row r="436" spans="1:7">
      <c r="A436" s="10">
        <v>45174</v>
      </c>
      <c r="B436" s="7">
        <v>104.81</v>
      </c>
      <c r="C436" s="7">
        <v>104.13</v>
      </c>
      <c r="D436" s="7">
        <v>104.91</v>
      </c>
      <c r="E436" s="7">
        <v>104.11</v>
      </c>
      <c r="G436" s="8">
        <v>0.0055</v>
      </c>
    </row>
    <row r="437" spans="1:7">
      <c r="A437" s="10">
        <v>45175</v>
      </c>
      <c r="B437" s="7">
        <v>104.86</v>
      </c>
      <c r="C437" s="7">
        <v>104.75</v>
      </c>
      <c r="D437" s="7">
        <v>105.02</v>
      </c>
      <c r="E437" s="7">
        <v>104.59</v>
      </c>
      <c r="G437" s="8">
        <v>0.0005</v>
      </c>
    </row>
    <row r="438" spans="1:7">
      <c r="A438" s="10">
        <v>45176</v>
      </c>
      <c r="B438" s="7">
        <v>105.06</v>
      </c>
      <c r="C438" s="7">
        <v>104.86</v>
      </c>
      <c r="D438" s="7">
        <v>105.16</v>
      </c>
      <c r="E438" s="7">
        <v>104.8</v>
      </c>
      <c r="G438" s="8">
        <v>0.0019</v>
      </c>
    </row>
    <row r="439" spans="1:7">
      <c r="A439" s="10">
        <v>45177</v>
      </c>
      <c r="B439" s="7">
        <v>105.09</v>
      </c>
      <c r="C439" s="7">
        <v>105.06</v>
      </c>
      <c r="D439" s="7">
        <v>105.1</v>
      </c>
      <c r="E439" s="7">
        <v>104.66</v>
      </c>
      <c r="G439" s="8">
        <v>0.0003</v>
      </c>
    </row>
    <row r="440" spans="1:7">
      <c r="A440" s="10">
        <v>45180</v>
      </c>
      <c r="B440" s="7">
        <v>104.57</v>
      </c>
      <c r="C440" s="7">
        <v>105.06</v>
      </c>
      <c r="D440" s="7">
        <v>104.94</v>
      </c>
      <c r="E440" s="7">
        <v>104.42</v>
      </c>
      <c r="G440" s="8">
        <v>-0.005</v>
      </c>
    </row>
    <row r="441" spans="1:7">
      <c r="A441" s="10">
        <v>45181</v>
      </c>
      <c r="B441" s="7">
        <v>104.71</v>
      </c>
      <c r="C441" s="7">
        <v>104.56</v>
      </c>
      <c r="D441" s="7">
        <v>104.92</v>
      </c>
      <c r="E441" s="7">
        <v>104.46</v>
      </c>
      <c r="G441" s="8">
        <v>0.0014</v>
      </c>
    </row>
    <row r="442" spans="1:7">
      <c r="A442" s="10">
        <v>45182</v>
      </c>
      <c r="B442" s="7">
        <v>104.77</v>
      </c>
      <c r="C442" s="7">
        <v>104.58</v>
      </c>
      <c r="D442" s="7">
        <v>104.97</v>
      </c>
      <c r="E442" s="7">
        <v>104.51</v>
      </c>
      <c r="G442" s="8">
        <v>0.0005</v>
      </c>
    </row>
    <row r="443" spans="1:7">
      <c r="A443" s="10">
        <v>45183</v>
      </c>
      <c r="B443" s="7">
        <v>105.4</v>
      </c>
      <c r="C443" s="7">
        <v>104.74</v>
      </c>
      <c r="D443" s="7">
        <v>105.43</v>
      </c>
      <c r="E443" s="7">
        <v>104.56</v>
      </c>
      <c r="G443" s="8">
        <v>0.0061</v>
      </c>
    </row>
    <row r="444" spans="1:7">
      <c r="A444" s="10">
        <v>45184</v>
      </c>
      <c r="B444" s="7">
        <v>105.32</v>
      </c>
      <c r="C444" s="7">
        <v>105.38</v>
      </c>
      <c r="D444" s="7">
        <v>105.41</v>
      </c>
      <c r="E444" s="7">
        <v>105.08</v>
      </c>
      <c r="G444" s="8">
        <v>-0.0008</v>
      </c>
    </row>
    <row r="445" spans="1:7">
      <c r="A445" s="10">
        <v>45187</v>
      </c>
      <c r="B445" s="7">
        <v>105.2</v>
      </c>
      <c r="C445" s="7">
        <v>105.3</v>
      </c>
      <c r="D445" s="7">
        <v>105.36</v>
      </c>
      <c r="E445" s="7">
        <v>105.02</v>
      </c>
      <c r="G445" s="8">
        <v>-0.0011</v>
      </c>
    </row>
    <row r="446" spans="1:7">
      <c r="A446" s="10">
        <v>45188</v>
      </c>
      <c r="B446" s="7">
        <v>105.16</v>
      </c>
      <c r="C446" s="7">
        <v>105.08</v>
      </c>
      <c r="D446" s="7">
        <v>105.21</v>
      </c>
      <c r="E446" s="7">
        <v>104.82</v>
      </c>
      <c r="G446" s="8">
        <v>-0.0004</v>
      </c>
    </row>
    <row r="447" spans="1:7">
      <c r="A447" s="10">
        <v>45189</v>
      </c>
      <c r="B447" s="7">
        <v>105.12</v>
      </c>
      <c r="C447" s="7">
        <v>105.11</v>
      </c>
      <c r="D447" s="7">
        <v>105.44</v>
      </c>
      <c r="E447" s="7">
        <v>104.67</v>
      </c>
      <c r="G447" s="8">
        <v>-0.0004</v>
      </c>
    </row>
    <row r="448" spans="1:7">
      <c r="A448" s="10">
        <v>45190</v>
      </c>
      <c r="B448" s="7">
        <v>105.36</v>
      </c>
      <c r="C448" s="7">
        <v>105.44</v>
      </c>
      <c r="D448" s="7">
        <v>105.74</v>
      </c>
      <c r="E448" s="7">
        <v>105.28</v>
      </c>
      <c r="G448" s="8">
        <v>0.0023</v>
      </c>
    </row>
    <row r="449" spans="1:7">
      <c r="A449" s="10">
        <v>45191</v>
      </c>
      <c r="B449" s="7">
        <v>105.58</v>
      </c>
      <c r="C449" s="7">
        <v>105.38</v>
      </c>
      <c r="D449" s="7">
        <v>105.78</v>
      </c>
      <c r="E449" s="7">
        <v>105.32</v>
      </c>
      <c r="G449" s="8">
        <v>0.0021</v>
      </c>
    </row>
    <row r="450" spans="1:7">
      <c r="A450" s="10">
        <v>45194</v>
      </c>
      <c r="B450" s="7">
        <v>106</v>
      </c>
      <c r="C450" s="7">
        <v>105.57</v>
      </c>
      <c r="D450" s="7">
        <v>106.1</v>
      </c>
      <c r="E450" s="7">
        <v>105.52</v>
      </c>
      <c r="G450" s="8">
        <v>0.0039</v>
      </c>
    </row>
    <row r="451" spans="1:7">
      <c r="A451" s="10">
        <v>45195</v>
      </c>
      <c r="B451" s="7">
        <v>106.23</v>
      </c>
      <c r="C451" s="7">
        <v>105.94</v>
      </c>
      <c r="D451" s="7">
        <v>106.26</v>
      </c>
      <c r="E451" s="7">
        <v>105.86</v>
      </c>
      <c r="G451" s="8">
        <v>0.0022</v>
      </c>
    </row>
    <row r="452" spans="1:7">
      <c r="A452" s="10">
        <v>45196</v>
      </c>
      <c r="B452" s="7">
        <v>106.67</v>
      </c>
      <c r="C452" s="7">
        <v>106.22</v>
      </c>
      <c r="D452" s="7">
        <v>106.84</v>
      </c>
      <c r="E452" s="7">
        <v>106.17</v>
      </c>
      <c r="G452" s="8">
        <v>0.0041</v>
      </c>
    </row>
    <row r="453" spans="1:7">
      <c r="A453" s="10">
        <v>45197</v>
      </c>
      <c r="B453" s="7">
        <v>106.22</v>
      </c>
      <c r="C453" s="7">
        <v>106.68</v>
      </c>
      <c r="D453" s="7">
        <v>106.75</v>
      </c>
      <c r="E453" s="7">
        <v>106.02</v>
      </c>
      <c r="G453" s="8">
        <v>-0.0041</v>
      </c>
    </row>
    <row r="454" spans="1:7">
      <c r="A454" s="10">
        <v>45198</v>
      </c>
      <c r="B454" s="7">
        <v>106.22</v>
      </c>
      <c r="C454" s="7">
        <v>106.15</v>
      </c>
      <c r="D454" s="7">
        <v>106.24</v>
      </c>
      <c r="E454" s="7">
        <v>105.66</v>
      </c>
      <c r="G454" s="8">
        <v>0</v>
      </c>
    </row>
    <row r="455" spans="1:7">
      <c r="A455" s="10">
        <v>45201</v>
      </c>
      <c r="B455" s="7">
        <v>106.9</v>
      </c>
      <c r="C455" s="7">
        <v>106.17</v>
      </c>
      <c r="D455" s="7">
        <v>107.03</v>
      </c>
      <c r="E455" s="7">
        <v>106.04</v>
      </c>
      <c r="G455" s="8">
        <v>0.0064</v>
      </c>
    </row>
    <row r="456" spans="1:7">
      <c r="A456" s="10">
        <v>45202</v>
      </c>
      <c r="B456" s="7">
        <v>107</v>
      </c>
      <c r="C456" s="7">
        <v>107.03</v>
      </c>
      <c r="D456" s="7">
        <v>107.35</v>
      </c>
      <c r="E456" s="7">
        <v>106.91</v>
      </c>
      <c r="G456" s="8">
        <v>0.0009</v>
      </c>
    </row>
    <row r="457" spans="1:7">
      <c r="A457" s="10">
        <v>45203</v>
      </c>
      <c r="B457" s="7">
        <v>106.8</v>
      </c>
      <c r="C457" s="7">
        <v>107.06</v>
      </c>
      <c r="D457" s="7">
        <v>107.24</v>
      </c>
      <c r="E457" s="7">
        <v>106.51</v>
      </c>
      <c r="G457" s="8">
        <v>-0.0019</v>
      </c>
    </row>
    <row r="458" spans="1:7">
      <c r="A458" s="10">
        <v>45204</v>
      </c>
      <c r="B458" s="7">
        <v>106.33</v>
      </c>
      <c r="C458" s="7">
        <v>106.77</v>
      </c>
      <c r="D458" s="7">
        <v>106.86</v>
      </c>
      <c r="E458" s="7">
        <v>106.32</v>
      </c>
      <c r="G458" s="8">
        <v>-0.0044</v>
      </c>
    </row>
    <row r="459" spans="1:7">
      <c r="A459" s="10">
        <v>45205</v>
      </c>
      <c r="B459" s="7">
        <v>106.04</v>
      </c>
      <c r="C459" s="7">
        <v>106.36</v>
      </c>
      <c r="D459" s="7">
        <v>106.97</v>
      </c>
      <c r="E459" s="7">
        <v>105.95</v>
      </c>
      <c r="G459" s="8">
        <v>-0.0027</v>
      </c>
    </row>
    <row r="460" spans="1:7">
      <c r="A460" s="10">
        <v>45208</v>
      </c>
      <c r="B460" s="7">
        <v>106.08</v>
      </c>
      <c r="C460" s="7">
        <v>106.1</v>
      </c>
      <c r="D460" s="7">
        <v>106.6</v>
      </c>
      <c r="E460" s="7">
        <v>106.02</v>
      </c>
      <c r="G460" s="8">
        <v>0.0004</v>
      </c>
    </row>
    <row r="461" spans="1:7">
      <c r="A461" s="10">
        <v>45209</v>
      </c>
      <c r="B461" s="7">
        <v>105.82</v>
      </c>
      <c r="C461" s="7">
        <v>106.03</v>
      </c>
      <c r="D461" s="7">
        <v>106.25</v>
      </c>
      <c r="E461" s="7">
        <v>105.66</v>
      </c>
      <c r="G461" s="8">
        <v>-0.0024</v>
      </c>
    </row>
    <row r="462" spans="1:7">
      <c r="A462" s="10">
        <v>45210</v>
      </c>
      <c r="B462" s="7">
        <v>105.82</v>
      </c>
      <c r="C462" s="7">
        <v>105.73</v>
      </c>
      <c r="D462" s="7">
        <v>106.01</v>
      </c>
      <c r="E462" s="7">
        <v>105.56</v>
      </c>
      <c r="G462" s="8">
        <v>0</v>
      </c>
    </row>
    <row r="463" spans="1:7">
      <c r="A463" s="10">
        <v>45211</v>
      </c>
      <c r="B463" s="7">
        <v>106.6</v>
      </c>
      <c r="C463" s="7">
        <v>105.67</v>
      </c>
      <c r="D463" s="7">
        <v>106.6</v>
      </c>
      <c r="E463" s="7">
        <v>105.54</v>
      </c>
      <c r="G463" s="8">
        <v>0.0074</v>
      </c>
    </row>
    <row r="464" spans="1:7">
      <c r="A464" s="10">
        <v>45212</v>
      </c>
      <c r="B464" s="7">
        <v>106.65</v>
      </c>
      <c r="C464" s="7">
        <v>106.52</v>
      </c>
      <c r="D464" s="7">
        <v>106.79</v>
      </c>
      <c r="E464" s="7">
        <v>106.29</v>
      </c>
      <c r="G464" s="8">
        <v>0.0005</v>
      </c>
    </row>
    <row r="465" spans="1:7">
      <c r="A465" s="10">
        <v>45215</v>
      </c>
      <c r="B465" s="7">
        <v>106.24</v>
      </c>
      <c r="C465" s="7">
        <v>106.58</v>
      </c>
      <c r="D465" s="7">
        <v>106.63</v>
      </c>
      <c r="E465" s="7">
        <v>106.18</v>
      </c>
      <c r="G465" s="8">
        <v>-0.0038</v>
      </c>
    </row>
    <row r="466" spans="1:7">
      <c r="A466" s="10">
        <v>45216</v>
      </c>
      <c r="B466" s="7">
        <v>106.25</v>
      </c>
      <c r="C466" s="7">
        <v>106.26</v>
      </c>
      <c r="D466" s="7">
        <v>106.53</v>
      </c>
      <c r="E466" s="7">
        <v>106.02</v>
      </c>
      <c r="G466" s="8">
        <v>0.0001</v>
      </c>
    </row>
    <row r="467" spans="1:7">
      <c r="A467" s="10">
        <v>45217</v>
      </c>
      <c r="B467" s="7">
        <v>106.57</v>
      </c>
      <c r="C467" s="7">
        <v>106.22</v>
      </c>
      <c r="D467" s="7">
        <v>106.64</v>
      </c>
      <c r="E467" s="7">
        <v>106.01</v>
      </c>
      <c r="G467" s="8">
        <v>0.003</v>
      </c>
    </row>
    <row r="468" spans="1:7">
      <c r="A468" s="10">
        <v>45218</v>
      </c>
      <c r="B468" s="7">
        <v>106.25</v>
      </c>
      <c r="C468" s="7">
        <v>106.54</v>
      </c>
      <c r="D468" s="7">
        <v>106.67</v>
      </c>
      <c r="E468" s="7">
        <v>105.97</v>
      </c>
      <c r="G468" s="8">
        <v>-0.0029</v>
      </c>
    </row>
    <row r="469" spans="1:7">
      <c r="A469" s="10">
        <v>45219</v>
      </c>
      <c r="B469" s="7">
        <v>106.16</v>
      </c>
      <c r="C469" s="7">
        <v>106.25</v>
      </c>
      <c r="D469" s="7">
        <v>106.42</v>
      </c>
      <c r="E469" s="7">
        <v>106.07</v>
      </c>
      <c r="G469" s="8">
        <v>-0.0008</v>
      </c>
    </row>
    <row r="470" spans="1:7">
      <c r="A470" s="10">
        <v>45222</v>
      </c>
      <c r="B470" s="7">
        <v>105.54</v>
      </c>
      <c r="C470" s="7">
        <v>106.16</v>
      </c>
      <c r="D470" s="7">
        <v>106.33</v>
      </c>
      <c r="E470" s="7">
        <v>105.52</v>
      </c>
      <c r="G470" s="8">
        <v>-0.0059</v>
      </c>
    </row>
    <row r="471" spans="1:7">
      <c r="A471" s="10">
        <v>45223</v>
      </c>
      <c r="B471" s="7">
        <v>106.27</v>
      </c>
      <c r="C471" s="7">
        <v>105.61</v>
      </c>
      <c r="D471" s="7">
        <v>106.32</v>
      </c>
      <c r="E471" s="7">
        <v>105.36</v>
      </c>
      <c r="G471" s="8">
        <v>0.007</v>
      </c>
    </row>
    <row r="472" spans="1:7">
      <c r="A472" s="10">
        <v>45224</v>
      </c>
      <c r="B472" s="7">
        <v>106.53</v>
      </c>
      <c r="C472" s="7">
        <v>106.25</v>
      </c>
      <c r="D472" s="7">
        <v>106.57</v>
      </c>
      <c r="E472" s="7">
        <v>106.14</v>
      </c>
      <c r="G472" s="8">
        <v>0.0024</v>
      </c>
    </row>
    <row r="473" spans="1:7">
      <c r="A473" s="10">
        <v>45225</v>
      </c>
      <c r="B473" s="7">
        <v>106.6</v>
      </c>
      <c r="C473" s="7">
        <v>106.58</v>
      </c>
      <c r="D473" s="7">
        <v>106.89</v>
      </c>
      <c r="E473" s="7">
        <v>106.53</v>
      </c>
      <c r="G473" s="8">
        <v>0.0007</v>
      </c>
    </row>
    <row r="474" spans="1:7">
      <c r="A474" s="10">
        <v>45226</v>
      </c>
      <c r="B474" s="7">
        <v>106.56</v>
      </c>
      <c r="C474" s="7">
        <v>106.58</v>
      </c>
      <c r="D474" s="7">
        <v>106.8</v>
      </c>
      <c r="E474" s="7">
        <v>106.32</v>
      </c>
      <c r="G474" s="8">
        <v>-0.0004</v>
      </c>
    </row>
    <row r="475" spans="1:7">
      <c r="A475" s="10">
        <v>45229</v>
      </c>
      <c r="B475" s="7">
        <v>106.12</v>
      </c>
      <c r="C475" s="7">
        <v>106.58</v>
      </c>
      <c r="D475" s="7">
        <v>106.7</v>
      </c>
      <c r="E475" s="7">
        <v>106.06</v>
      </c>
      <c r="G475" s="8">
        <v>-0.0041</v>
      </c>
    </row>
    <row r="476" spans="1:7">
      <c r="A476" s="10">
        <v>45230</v>
      </c>
      <c r="B476" s="7">
        <v>106.66</v>
      </c>
      <c r="C476" s="7">
        <v>106.16</v>
      </c>
      <c r="D476" s="7">
        <v>106.86</v>
      </c>
      <c r="E476" s="7">
        <v>105.91</v>
      </c>
      <c r="G476" s="8">
        <v>0.0051</v>
      </c>
    </row>
    <row r="477" spans="1:7">
      <c r="A477" s="10">
        <v>45231</v>
      </c>
      <c r="B477" s="7">
        <v>106.88</v>
      </c>
      <c r="C477" s="7">
        <v>106.67</v>
      </c>
      <c r="D477" s="7">
        <v>107.11</v>
      </c>
      <c r="E477" s="7">
        <v>106.61</v>
      </c>
      <c r="G477" s="8">
        <v>0.0021</v>
      </c>
    </row>
    <row r="478" spans="1:7">
      <c r="A478" s="10">
        <v>45232</v>
      </c>
      <c r="B478" s="7">
        <v>106.12</v>
      </c>
      <c r="C478" s="7">
        <v>106.5</v>
      </c>
      <c r="D478" s="7">
        <v>106.51</v>
      </c>
      <c r="E478" s="7">
        <v>105.81</v>
      </c>
      <c r="G478" s="8">
        <v>-0.0071</v>
      </c>
    </row>
    <row r="479" spans="1:7">
      <c r="A479" s="10">
        <v>45233</v>
      </c>
      <c r="B479" s="7">
        <v>105.02</v>
      </c>
      <c r="C479" s="7">
        <v>106.2</v>
      </c>
      <c r="D479" s="7">
        <v>106.22</v>
      </c>
      <c r="E479" s="7">
        <v>104.94</v>
      </c>
      <c r="G479" s="8">
        <v>-0.0104</v>
      </c>
    </row>
    <row r="480" spans="1:7">
      <c r="A480" s="10">
        <v>45236</v>
      </c>
      <c r="B480" s="7">
        <v>105.21</v>
      </c>
      <c r="C480" s="7">
        <v>105.07</v>
      </c>
      <c r="D480" s="7">
        <v>105.29</v>
      </c>
      <c r="E480" s="7">
        <v>104.85</v>
      </c>
      <c r="G480" s="8">
        <v>0.0018</v>
      </c>
    </row>
    <row r="481" spans="1:7">
      <c r="A481" s="10">
        <v>45237</v>
      </c>
      <c r="B481" s="7">
        <v>105.54</v>
      </c>
      <c r="C481" s="7">
        <v>105.27</v>
      </c>
      <c r="D481" s="7">
        <v>105.78</v>
      </c>
      <c r="E481" s="7">
        <v>105.27</v>
      </c>
      <c r="G481" s="8">
        <v>0.0031</v>
      </c>
    </row>
    <row r="482" spans="1:7">
      <c r="A482" s="10">
        <v>45238</v>
      </c>
      <c r="B482" s="7">
        <v>105.59</v>
      </c>
      <c r="C482" s="7">
        <v>105.54</v>
      </c>
      <c r="D482" s="7">
        <v>105.87</v>
      </c>
      <c r="E482" s="7">
        <v>105.45</v>
      </c>
      <c r="G482" s="8">
        <v>0.0005</v>
      </c>
    </row>
    <row r="483" spans="1:7">
      <c r="A483" s="10">
        <v>45239</v>
      </c>
      <c r="B483" s="7">
        <v>105.91</v>
      </c>
      <c r="C483" s="7">
        <v>105.53</v>
      </c>
      <c r="D483" s="7">
        <v>105.97</v>
      </c>
      <c r="E483" s="7">
        <v>105.38</v>
      </c>
      <c r="G483" s="8">
        <v>0.003</v>
      </c>
    </row>
    <row r="484" spans="1:7">
      <c r="A484" s="10">
        <v>45240</v>
      </c>
      <c r="B484" s="7">
        <v>105.86</v>
      </c>
      <c r="C484" s="7">
        <v>105.93</v>
      </c>
      <c r="D484" s="7">
        <v>106.01</v>
      </c>
      <c r="E484" s="7">
        <v>105.74</v>
      </c>
      <c r="G484" s="8">
        <v>-0.0005</v>
      </c>
    </row>
    <row r="485" spans="1:7">
      <c r="A485" s="10">
        <v>45243</v>
      </c>
      <c r="B485" s="7">
        <v>105.63</v>
      </c>
      <c r="C485" s="7">
        <v>105.8</v>
      </c>
      <c r="D485" s="7">
        <v>105.96</v>
      </c>
      <c r="E485" s="7">
        <v>105.59</v>
      </c>
      <c r="G485" s="8">
        <v>-0.0022</v>
      </c>
    </row>
    <row r="486" spans="1:7">
      <c r="A486" s="10">
        <v>45244</v>
      </c>
      <c r="B486" s="7">
        <v>104.05</v>
      </c>
      <c r="C486" s="7">
        <v>105.65</v>
      </c>
      <c r="D486" s="7">
        <v>105.73</v>
      </c>
      <c r="E486" s="7">
        <v>103.99</v>
      </c>
      <c r="G486" s="8">
        <v>-0.0149</v>
      </c>
    </row>
    <row r="487" spans="1:7">
      <c r="A487" s="10">
        <v>45245</v>
      </c>
      <c r="B487" s="7">
        <v>104.39</v>
      </c>
      <c r="C487" s="7">
        <v>104.22</v>
      </c>
      <c r="D487" s="7">
        <v>104.51</v>
      </c>
      <c r="E487" s="7">
        <v>103.98</v>
      </c>
      <c r="G487" s="8">
        <v>0.0033</v>
      </c>
    </row>
    <row r="488" spans="1:7">
      <c r="A488" s="10">
        <v>45246</v>
      </c>
      <c r="B488" s="7">
        <v>104.35</v>
      </c>
      <c r="C488" s="7">
        <v>104.36</v>
      </c>
      <c r="D488" s="7">
        <v>104.56</v>
      </c>
      <c r="E488" s="7">
        <v>104.01</v>
      </c>
      <c r="G488" s="8">
        <v>-0.0004</v>
      </c>
    </row>
    <row r="489" spans="1:7">
      <c r="A489" s="10">
        <v>45247</v>
      </c>
      <c r="B489" s="7">
        <v>103.92</v>
      </c>
      <c r="C489" s="7">
        <v>104.4</v>
      </c>
      <c r="D489" s="7">
        <v>104.55</v>
      </c>
      <c r="E489" s="7">
        <v>103.81</v>
      </c>
      <c r="G489" s="8">
        <v>-0.0041</v>
      </c>
    </row>
    <row r="490" spans="1:7">
      <c r="A490" s="10">
        <v>45250</v>
      </c>
      <c r="B490" s="7">
        <v>103.44</v>
      </c>
      <c r="C490" s="7">
        <v>103.82</v>
      </c>
      <c r="D490" s="7">
        <v>103.97</v>
      </c>
      <c r="E490" s="7">
        <v>103.38</v>
      </c>
      <c r="G490" s="8">
        <v>-0.0046</v>
      </c>
    </row>
    <row r="491" spans="1:7">
      <c r="A491" s="10">
        <v>45251</v>
      </c>
      <c r="B491" s="7">
        <v>103.57</v>
      </c>
      <c r="C491" s="7">
        <v>103.47</v>
      </c>
      <c r="D491" s="7">
        <v>103.71</v>
      </c>
      <c r="E491" s="7">
        <v>103.18</v>
      </c>
      <c r="G491" s="8">
        <v>0.0012</v>
      </c>
    </row>
    <row r="492" spans="1:7">
      <c r="A492" s="10">
        <v>45252</v>
      </c>
      <c r="B492" s="7">
        <v>103.92</v>
      </c>
      <c r="C492" s="7">
        <v>103.55</v>
      </c>
      <c r="D492" s="7">
        <v>104.21</v>
      </c>
      <c r="E492" s="7">
        <v>103.48</v>
      </c>
      <c r="G492" s="8">
        <v>0.0034</v>
      </c>
    </row>
    <row r="493" spans="1:7">
      <c r="A493" s="10">
        <v>45253</v>
      </c>
      <c r="B493" s="7">
        <v>103.77</v>
      </c>
      <c r="C493" s="7">
        <v>103.86</v>
      </c>
      <c r="D493" s="7">
        <v>103.88</v>
      </c>
      <c r="E493" s="7">
        <v>103.54</v>
      </c>
      <c r="G493" s="8">
        <v>-0.0015</v>
      </c>
    </row>
    <row r="494" spans="1:7">
      <c r="A494" s="10">
        <v>45254</v>
      </c>
      <c r="B494" s="7">
        <v>103.4</v>
      </c>
      <c r="C494" s="7">
        <v>103.75</v>
      </c>
      <c r="D494" s="7">
        <v>103.84</v>
      </c>
      <c r="E494" s="7">
        <v>103.36</v>
      </c>
      <c r="G494" s="8">
        <v>-0.0035</v>
      </c>
    </row>
    <row r="495" spans="1:7">
      <c r="A495" s="10">
        <v>45257</v>
      </c>
      <c r="B495" s="7">
        <v>103.2</v>
      </c>
      <c r="C495" s="7">
        <v>103.42</v>
      </c>
      <c r="D495" s="7">
        <v>103.53</v>
      </c>
      <c r="E495" s="7">
        <v>103.19</v>
      </c>
      <c r="G495" s="8">
        <v>-0.002</v>
      </c>
    </row>
    <row r="496" spans="1:7">
      <c r="A496" s="10">
        <v>45258</v>
      </c>
      <c r="B496" s="7">
        <v>102.75</v>
      </c>
      <c r="C496" s="7">
        <v>103.13</v>
      </c>
      <c r="D496" s="7">
        <v>103.32</v>
      </c>
      <c r="E496" s="7">
        <v>102.61</v>
      </c>
      <c r="G496" s="8">
        <v>-0.0044</v>
      </c>
    </row>
    <row r="497" spans="1:7">
      <c r="A497" s="10">
        <v>45259</v>
      </c>
      <c r="B497" s="7">
        <v>102.76</v>
      </c>
      <c r="C497" s="7">
        <v>102.65</v>
      </c>
      <c r="D497" s="7">
        <v>103.01</v>
      </c>
      <c r="E497" s="7">
        <v>102.47</v>
      </c>
      <c r="G497" s="8">
        <v>0.0002</v>
      </c>
    </row>
    <row r="498" spans="1:7">
      <c r="A498" s="10">
        <v>45260</v>
      </c>
      <c r="B498" s="7">
        <v>103.5</v>
      </c>
      <c r="C498" s="7">
        <v>102.83</v>
      </c>
      <c r="D498" s="7">
        <v>103.59</v>
      </c>
      <c r="E498" s="7">
        <v>102.72</v>
      </c>
      <c r="G498" s="8">
        <v>0.0071</v>
      </c>
    </row>
    <row r="499" spans="1:7">
      <c r="A499" s="10">
        <v>45261</v>
      </c>
      <c r="B499" s="7">
        <v>103.27</v>
      </c>
      <c r="C499" s="7">
        <v>103.36</v>
      </c>
      <c r="D499" s="7">
        <v>103.72</v>
      </c>
      <c r="E499" s="7">
        <v>103.11</v>
      </c>
      <c r="G499" s="8">
        <v>-0.0022</v>
      </c>
    </row>
    <row r="500" spans="1:7">
      <c r="A500" s="10">
        <v>45264</v>
      </c>
      <c r="B500" s="7">
        <v>103.71</v>
      </c>
      <c r="C500" s="7">
        <v>103.19</v>
      </c>
      <c r="D500" s="7">
        <v>103.85</v>
      </c>
      <c r="E500" s="7">
        <v>103.06</v>
      </c>
      <c r="G500" s="8">
        <v>0.0043</v>
      </c>
    </row>
    <row r="501" spans="1:7">
      <c r="A501" s="10">
        <v>45265</v>
      </c>
      <c r="B501" s="7">
        <v>104.05</v>
      </c>
      <c r="C501" s="7">
        <v>103.56</v>
      </c>
      <c r="D501" s="7">
        <v>104.09</v>
      </c>
      <c r="E501" s="7">
        <v>103.55</v>
      </c>
      <c r="G501" s="8">
        <v>0.0033</v>
      </c>
    </row>
    <row r="502" spans="1:7">
      <c r="A502" s="10">
        <v>45266</v>
      </c>
      <c r="B502" s="7">
        <v>104.15</v>
      </c>
      <c r="C502" s="7">
        <v>103.99</v>
      </c>
      <c r="D502" s="7">
        <v>104.23</v>
      </c>
      <c r="E502" s="7">
        <v>103.87</v>
      </c>
      <c r="G502" s="8">
        <v>0.001</v>
      </c>
    </row>
    <row r="503" spans="1:7">
      <c r="A503" s="10">
        <v>45267</v>
      </c>
      <c r="B503" s="7">
        <v>103.54</v>
      </c>
      <c r="C503" s="7">
        <v>104.11</v>
      </c>
      <c r="D503" s="7">
        <v>104.2</v>
      </c>
      <c r="E503" s="7">
        <v>103.27</v>
      </c>
      <c r="G503" s="8">
        <v>-0.0059</v>
      </c>
    </row>
    <row r="504" spans="1:7">
      <c r="A504" s="10">
        <v>45268</v>
      </c>
      <c r="B504" s="7">
        <v>104.01</v>
      </c>
      <c r="C504" s="7">
        <v>103.64</v>
      </c>
      <c r="D504" s="7">
        <v>104.26</v>
      </c>
      <c r="E504" s="7">
        <v>103.43</v>
      </c>
      <c r="G504" s="8">
        <v>0.0045</v>
      </c>
    </row>
    <row r="505" spans="1:7">
      <c r="A505" s="10">
        <v>45271</v>
      </c>
      <c r="B505" s="7">
        <v>104.1</v>
      </c>
      <c r="C505" s="7">
        <v>103.98</v>
      </c>
      <c r="D505" s="7">
        <v>104.26</v>
      </c>
      <c r="E505" s="7">
        <v>103.93</v>
      </c>
      <c r="G505" s="8">
        <v>0.0008</v>
      </c>
    </row>
    <row r="506" spans="1:7">
      <c r="A506" s="10">
        <v>45272</v>
      </c>
      <c r="B506" s="7">
        <v>103.86</v>
      </c>
      <c r="C506" s="7">
        <v>104.03</v>
      </c>
      <c r="D506" s="7">
        <v>104.1</v>
      </c>
      <c r="E506" s="7">
        <v>103.49</v>
      </c>
      <c r="G506" s="8">
        <v>-0.0022</v>
      </c>
    </row>
    <row r="507" spans="1:7">
      <c r="A507" s="10">
        <v>45273</v>
      </c>
      <c r="B507" s="7">
        <v>102.87</v>
      </c>
      <c r="C507" s="7">
        <v>103.82</v>
      </c>
      <c r="D507" s="7">
        <v>104.03</v>
      </c>
      <c r="E507" s="7">
        <v>102.78</v>
      </c>
      <c r="G507" s="8">
        <v>-0.0096</v>
      </c>
    </row>
    <row r="508" spans="1:7">
      <c r="A508" s="10">
        <v>45274</v>
      </c>
      <c r="B508" s="7">
        <v>101.96</v>
      </c>
      <c r="C508" s="7">
        <v>102.78</v>
      </c>
      <c r="D508" s="7">
        <v>102.8</v>
      </c>
      <c r="E508" s="7">
        <v>101.77</v>
      </c>
      <c r="G508" s="8">
        <v>-0.0089</v>
      </c>
    </row>
    <row r="509" spans="1:7">
      <c r="A509" s="10">
        <v>45275</v>
      </c>
      <c r="B509" s="7">
        <v>102.55</v>
      </c>
      <c r="C509" s="7">
        <v>102.1</v>
      </c>
      <c r="D509" s="7">
        <v>102.64</v>
      </c>
      <c r="E509" s="7">
        <v>101.84</v>
      </c>
      <c r="G509" s="8">
        <v>0.0058</v>
      </c>
    </row>
    <row r="510" spans="1:7">
      <c r="A510" s="10">
        <v>45278</v>
      </c>
      <c r="B510" s="7">
        <v>102.56</v>
      </c>
      <c r="C510" s="7">
        <v>102.59</v>
      </c>
      <c r="D510" s="7">
        <v>102.63</v>
      </c>
      <c r="E510" s="7">
        <v>102.38</v>
      </c>
      <c r="G510" s="8">
        <v>0.0001</v>
      </c>
    </row>
    <row r="511" spans="1:7">
      <c r="A511" s="10">
        <v>45279</v>
      </c>
      <c r="B511" s="7">
        <v>102.17</v>
      </c>
      <c r="C511" s="7">
        <v>102.47</v>
      </c>
      <c r="D511" s="7">
        <v>102.63</v>
      </c>
      <c r="E511" s="7">
        <v>102.07</v>
      </c>
      <c r="G511" s="8">
        <v>-0.0038</v>
      </c>
    </row>
    <row r="512" spans="1:7">
      <c r="A512" s="10">
        <v>45280</v>
      </c>
      <c r="B512" s="7">
        <v>102.41</v>
      </c>
      <c r="C512" s="7">
        <v>102.19</v>
      </c>
      <c r="D512" s="7">
        <v>102.54</v>
      </c>
      <c r="E512" s="7">
        <v>102.16</v>
      </c>
      <c r="G512" s="8">
        <v>0.0024</v>
      </c>
    </row>
    <row r="513" spans="1:7">
      <c r="A513" s="10">
        <v>45281</v>
      </c>
      <c r="B513" s="7">
        <v>101.84</v>
      </c>
      <c r="C513" s="7">
        <v>102.39</v>
      </c>
      <c r="D513" s="7">
        <v>102.45</v>
      </c>
      <c r="E513" s="7">
        <v>101.74</v>
      </c>
      <c r="G513" s="8">
        <v>-0.0055</v>
      </c>
    </row>
    <row r="514" spans="1:7">
      <c r="A514" s="10">
        <v>45282</v>
      </c>
      <c r="B514" s="7">
        <v>101.7</v>
      </c>
      <c r="C514" s="7">
        <v>101.76</v>
      </c>
      <c r="D514" s="7">
        <v>101.89</v>
      </c>
      <c r="E514" s="7">
        <v>101.43</v>
      </c>
      <c r="G514" s="8">
        <v>-0.0014</v>
      </c>
    </row>
    <row r="515" spans="1:7">
      <c r="A515" s="10">
        <v>45286</v>
      </c>
      <c r="B515" s="7">
        <v>101.47</v>
      </c>
      <c r="C515" s="7">
        <v>101.65</v>
      </c>
      <c r="D515" s="7">
        <v>101.77</v>
      </c>
      <c r="E515" s="7">
        <v>101.44</v>
      </c>
      <c r="G515" s="8">
        <v>-0.0023</v>
      </c>
    </row>
    <row r="516" spans="1:7">
      <c r="A516" s="10">
        <v>45287</v>
      </c>
      <c r="B516" s="7">
        <v>100.99</v>
      </c>
      <c r="C516" s="7">
        <v>101.55</v>
      </c>
      <c r="D516" s="7">
        <v>101.57</v>
      </c>
      <c r="E516" s="7">
        <v>100.83</v>
      </c>
      <c r="G516" s="8">
        <v>-0.0047</v>
      </c>
    </row>
    <row r="517" spans="1:7">
      <c r="A517" s="10">
        <v>45288</v>
      </c>
      <c r="B517" s="7">
        <v>101.23</v>
      </c>
      <c r="C517" s="7">
        <v>100.87</v>
      </c>
      <c r="D517" s="7">
        <v>101.3</v>
      </c>
      <c r="E517" s="7">
        <v>100.62</v>
      </c>
      <c r="G517" s="8">
        <v>0.0024</v>
      </c>
    </row>
    <row r="518" spans="1:7">
      <c r="A518" s="10">
        <v>45289</v>
      </c>
      <c r="B518" s="7">
        <v>101.33</v>
      </c>
      <c r="C518" s="7">
        <v>101.2</v>
      </c>
      <c r="D518" s="7">
        <v>101.42</v>
      </c>
      <c r="E518" s="7">
        <v>101.07</v>
      </c>
      <c r="G518" s="8">
        <v>0.001</v>
      </c>
    </row>
    <row r="519" spans="1:7">
      <c r="A519" s="10">
        <v>45293</v>
      </c>
      <c r="B519" s="7">
        <v>102.2</v>
      </c>
      <c r="C519" s="7">
        <v>101.42</v>
      </c>
      <c r="D519" s="7">
        <v>102.25</v>
      </c>
      <c r="E519" s="7">
        <v>101.34</v>
      </c>
      <c r="G519" s="8">
        <v>0.0086</v>
      </c>
    </row>
    <row r="520" spans="1:7">
      <c r="A520" s="10">
        <v>45294</v>
      </c>
      <c r="B520" s="7">
        <v>102.49</v>
      </c>
      <c r="C520" s="7">
        <v>102.15</v>
      </c>
      <c r="D520" s="7">
        <v>102.73</v>
      </c>
      <c r="E520" s="7">
        <v>102.07</v>
      </c>
      <c r="G520" s="8">
        <v>0.0029</v>
      </c>
    </row>
    <row r="521" spans="1:7">
      <c r="A521" s="10">
        <v>45295</v>
      </c>
      <c r="B521" s="7">
        <v>102.42</v>
      </c>
      <c r="C521" s="7">
        <v>102.46</v>
      </c>
      <c r="D521" s="7">
        <v>102.53</v>
      </c>
      <c r="E521" s="7">
        <v>102.14</v>
      </c>
      <c r="G521" s="8">
        <v>-0.0007</v>
      </c>
    </row>
    <row r="522" spans="1:7">
      <c r="A522" s="10">
        <v>45296</v>
      </c>
      <c r="B522" s="7">
        <v>102.41</v>
      </c>
      <c r="C522" s="7">
        <v>102.39</v>
      </c>
      <c r="D522" s="7">
        <v>103.1</v>
      </c>
      <c r="E522" s="7">
        <v>101.91</v>
      </c>
      <c r="G522" s="8">
        <v>-0.0001</v>
      </c>
    </row>
    <row r="523" spans="1:7">
      <c r="A523" s="10">
        <v>45299</v>
      </c>
      <c r="B523" s="7">
        <v>102.21</v>
      </c>
      <c r="C523" s="7">
        <v>102.43</v>
      </c>
      <c r="D523" s="7">
        <v>102.62</v>
      </c>
      <c r="E523" s="7">
        <v>102.07</v>
      </c>
      <c r="G523" s="8">
        <v>-0.002</v>
      </c>
    </row>
    <row r="524" spans="1:7">
      <c r="A524" s="10">
        <v>45300</v>
      </c>
      <c r="B524" s="7">
        <v>102.57</v>
      </c>
      <c r="C524" s="7">
        <v>102.22</v>
      </c>
      <c r="D524" s="7">
        <v>102.66</v>
      </c>
      <c r="E524" s="7">
        <v>102.11</v>
      </c>
      <c r="G524" s="8">
        <v>0.0035</v>
      </c>
    </row>
    <row r="525" spans="1:7">
      <c r="A525" s="10">
        <v>45301</v>
      </c>
      <c r="B525" s="7">
        <v>102.36</v>
      </c>
      <c r="C525" s="7">
        <v>102.48</v>
      </c>
      <c r="D525" s="7">
        <v>102.64</v>
      </c>
      <c r="E525" s="7">
        <v>102.34</v>
      </c>
      <c r="G525" s="8">
        <v>-0.002</v>
      </c>
    </row>
    <row r="526" spans="1:7">
      <c r="A526" s="10">
        <v>45302</v>
      </c>
      <c r="B526" s="7">
        <v>102.29</v>
      </c>
      <c r="C526" s="7">
        <v>102.3</v>
      </c>
      <c r="D526" s="7">
        <v>102.76</v>
      </c>
      <c r="E526" s="7">
        <v>102.16</v>
      </c>
      <c r="G526" s="8">
        <v>-0.0007</v>
      </c>
    </row>
    <row r="527" spans="1:7">
      <c r="A527" s="10">
        <v>45303</v>
      </c>
      <c r="B527" s="7">
        <v>102.4</v>
      </c>
      <c r="C527" s="7">
        <v>102.3</v>
      </c>
      <c r="D527" s="7">
        <v>102.59</v>
      </c>
      <c r="E527" s="7">
        <v>102.09</v>
      </c>
      <c r="G527" s="8">
        <v>0.0011</v>
      </c>
    </row>
    <row r="528" spans="1:7">
      <c r="A528" s="10">
        <v>45306</v>
      </c>
      <c r="B528" s="7">
        <v>102.4</v>
      </c>
      <c r="C528" s="7">
        <v>102.44</v>
      </c>
      <c r="D528" s="7">
        <v>102.67</v>
      </c>
      <c r="E528" s="7">
        <v>102.31</v>
      </c>
      <c r="G528" s="8">
        <v>0</v>
      </c>
    </row>
    <row r="529" spans="1:7">
      <c r="A529" s="10">
        <v>45307</v>
      </c>
      <c r="B529" s="7">
        <v>103.36</v>
      </c>
      <c r="C529" s="7">
        <v>102.74</v>
      </c>
      <c r="D529" s="7">
        <v>103.43</v>
      </c>
      <c r="E529" s="7">
        <v>102.74</v>
      </c>
      <c r="G529" s="8">
        <v>0.0093</v>
      </c>
    </row>
    <row r="530" spans="1:7">
      <c r="A530" s="10">
        <v>45308</v>
      </c>
      <c r="B530" s="7">
        <v>103.45</v>
      </c>
      <c r="C530" s="7">
        <v>103.36</v>
      </c>
      <c r="D530" s="7">
        <v>103.69</v>
      </c>
      <c r="E530" s="7">
        <v>103.26</v>
      </c>
      <c r="G530" s="8">
        <v>0.0009</v>
      </c>
    </row>
    <row r="531" spans="1:7">
      <c r="A531" s="10">
        <v>45309</v>
      </c>
      <c r="B531" s="7">
        <v>103.54</v>
      </c>
      <c r="C531" s="7">
        <v>103.37</v>
      </c>
      <c r="D531" s="7">
        <v>103.63</v>
      </c>
      <c r="E531" s="7">
        <v>103.15</v>
      </c>
      <c r="G531" s="8">
        <v>0.0008</v>
      </c>
    </row>
    <row r="532" spans="1:7">
      <c r="A532" s="10">
        <v>45310</v>
      </c>
      <c r="B532" s="7">
        <v>103.29</v>
      </c>
      <c r="C532" s="7">
        <v>103.37</v>
      </c>
      <c r="D532" s="7">
        <v>103.55</v>
      </c>
      <c r="E532" s="7">
        <v>103.24</v>
      </c>
      <c r="G532" s="8">
        <v>-0.0024</v>
      </c>
    </row>
    <row r="533" spans="1:7">
      <c r="A533" s="10">
        <v>45313</v>
      </c>
      <c r="B533" s="7">
        <v>103.33</v>
      </c>
      <c r="C533" s="7">
        <v>103.24</v>
      </c>
      <c r="D533" s="7">
        <v>103.37</v>
      </c>
      <c r="E533" s="7">
        <v>103.11</v>
      </c>
      <c r="G533" s="8">
        <v>0.0004</v>
      </c>
    </row>
    <row r="534" spans="1:7">
      <c r="A534" s="10">
        <v>45314</v>
      </c>
      <c r="B534" s="7">
        <v>103.62</v>
      </c>
      <c r="C534" s="7">
        <v>103.35</v>
      </c>
      <c r="D534" s="7">
        <v>103.82</v>
      </c>
      <c r="E534" s="7">
        <v>102.98</v>
      </c>
      <c r="G534" s="8">
        <v>0.0028</v>
      </c>
    </row>
    <row r="535" spans="1:7">
      <c r="A535" s="10">
        <v>45315</v>
      </c>
      <c r="B535" s="7">
        <v>103.24</v>
      </c>
      <c r="C535" s="7">
        <v>103.51</v>
      </c>
      <c r="D535" s="7">
        <v>103.55</v>
      </c>
      <c r="E535" s="7">
        <v>102.77</v>
      </c>
      <c r="G535" s="8">
        <v>-0.0037</v>
      </c>
    </row>
    <row r="536" spans="1:7">
      <c r="A536" s="10">
        <v>45316</v>
      </c>
      <c r="B536" s="7">
        <v>103.57</v>
      </c>
      <c r="C536" s="7">
        <v>103.35</v>
      </c>
      <c r="D536" s="7">
        <v>103.68</v>
      </c>
      <c r="E536" s="7">
        <v>103.12</v>
      </c>
      <c r="G536" s="8">
        <v>0.0033</v>
      </c>
    </row>
    <row r="537" spans="1:7">
      <c r="A537" s="10">
        <v>45317</v>
      </c>
      <c r="B537" s="7">
        <v>103.43</v>
      </c>
      <c r="C537" s="7">
        <v>103.51</v>
      </c>
      <c r="D537" s="7">
        <v>103.73</v>
      </c>
      <c r="E537" s="7">
        <v>103.15</v>
      </c>
      <c r="G537" s="8">
        <v>-0.0014</v>
      </c>
    </row>
    <row r="538" spans="1:7">
      <c r="A538" s="10">
        <v>45320</v>
      </c>
      <c r="B538" s="7">
        <v>103.61</v>
      </c>
      <c r="C538" s="7">
        <v>103.47</v>
      </c>
      <c r="D538" s="7">
        <v>103.82</v>
      </c>
      <c r="E538" s="7">
        <v>103.4</v>
      </c>
      <c r="G538" s="8">
        <v>0.0017</v>
      </c>
    </row>
    <row r="539" spans="1:7">
      <c r="A539" s="10">
        <v>45321</v>
      </c>
      <c r="B539" s="7">
        <v>103.4</v>
      </c>
      <c r="C539" s="7">
        <v>103.44</v>
      </c>
      <c r="D539" s="7">
        <v>103.61</v>
      </c>
      <c r="E539" s="7">
        <v>103.31</v>
      </c>
      <c r="G539" s="8">
        <v>-0.002</v>
      </c>
    </row>
    <row r="540" spans="1:7">
      <c r="A540" s="10">
        <v>45322</v>
      </c>
      <c r="B540" s="7">
        <v>103.27</v>
      </c>
      <c r="C540" s="7">
        <v>103.42</v>
      </c>
      <c r="D540" s="7">
        <v>103.74</v>
      </c>
      <c r="E540" s="7">
        <v>102.94</v>
      </c>
      <c r="G540" s="8">
        <v>-0.0012</v>
      </c>
    </row>
    <row r="541" spans="1:7">
      <c r="A541" s="10">
        <v>45323</v>
      </c>
      <c r="B541" s="7">
        <v>103.05</v>
      </c>
      <c r="C541" s="7">
        <v>103.51</v>
      </c>
      <c r="D541" s="7">
        <v>103.81</v>
      </c>
      <c r="E541" s="7">
        <v>103.02</v>
      </c>
      <c r="G541" s="8">
        <v>-0.0022</v>
      </c>
    </row>
    <row r="542" spans="1:7">
      <c r="A542" s="10">
        <v>45324</v>
      </c>
      <c r="B542" s="7">
        <v>103.92</v>
      </c>
      <c r="C542" s="7">
        <v>102.99</v>
      </c>
      <c r="D542" s="7">
        <v>104.04</v>
      </c>
      <c r="E542" s="7">
        <v>102.9</v>
      </c>
      <c r="G542" s="8">
        <v>0.0085</v>
      </c>
    </row>
    <row r="543" spans="1:7">
      <c r="A543" s="10">
        <v>45327</v>
      </c>
      <c r="B543" s="7">
        <v>104.45</v>
      </c>
      <c r="C543" s="7">
        <v>103.96</v>
      </c>
      <c r="D543" s="7">
        <v>104.6</v>
      </c>
      <c r="E543" s="7">
        <v>103.96</v>
      </c>
      <c r="G543" s="8">
        <v>0.0051</v>
      </c>
    </row>
    <row r="544" spans="1:7">
      <c r="A544" s="10">
        <v>45328</v>
      </c>
      <c r="B544" s="7">
        <v>104.21</v>
      </c>
      <c r="C544" s="7">
        <v>104.44</v>
      </c>
      <c r="D544" s="7">
        <v>104.59</v>
      </c>
      <c r="E544" s="7">
        <v>104.14</v>
      </c>
      <c r="G544" s="8">
        <v>-0.0023</v>
      </c>
    </row>
    <row r="545" spans="1:7">
      <c r="A545" s="10">
        <v>45329</v>
      </c>
      <c r="B545" s="7">
        <v>104.06</v>
      </c>
      <c r="C545" s="7">
        <v>104.15</v>
      </c>
      <c r="D545" s="7">
        <v>104.17</v>
      </c>
      <c r="E545" s="7">
        <v>103.94</v>
      </c>
      <c r="G545" s="8">
        <v>-0.0015</v>
      </c>
    </row>
    <row r="546" spans="1:7">
      <c r="A546" s="10">
        <v>45330</v>
      </c>
      <c r="B546" s="7">
        <v>104.17</v>
      </c>
      <c r="C546" s="7">
        <v>104.03</v>
      </c>
      <c r="D546" s="7">
        <v>104.43</v>
      </c>
      <c r="E546" s="7">
        <v>103.96</v>
      </c>
      <c r="G546" s="8">
        <v>0.001</v>
      </c>
    </row>
    <row r="547" spans="1:7">
      <c r="A547" s="10">
        <v>45331</v>
      </c>
      <c r="B547" s="7">
        <v>104.11</v>
      </c>
      <c r="C547" s="7">
        <v>104.14</v>
      </c>
      <c r="D547" s="7">
        <v>104.26</v>
      </c>
      <c r="E547" s="7">
        <v>103.95</v>
      </c>
      <c r="G547" s="8">
        <v>-0.0005</v>
      </c>
    </row>
    <row r="548" spans="1:7">
      <c r="A548" s="10">
        <v>45334</v>
      </c>
      <c r="B548" s="7">
        <v>104.17</v>
      </c>
      <c r="C548" s="7">
        <v>104.08</v>
      </c>
      <c r="D548" s="7">
        <v>104.28</v>
      </c>
      <c r="E548" s="7">
        <v>103.89</v>
      </c>
      <c r="G548" s="8">
        <v>0.0006</v>
      </c>
    </row>
    <row r="549" spans="1:7">
      <c r="A549" s="10">
        <v>45335</v>
      </c>
      <c r="B549" s="7">
        <v>104.96</v>
      </c>
      <c r="C549" s="7">
        <v>104.18</v>
      </c>
      <c r="D549" s="7">
        <v>104.96</v>
      </c>
      <c r="E549" s="7">
        <v>103.97</v>
      </c>
      <c r="G549" s="8">
        <v>0.0076</v>
      </c>
    </row>
    <row r="550" spans="1:7">
      <c r="A550" s="10">
        <v>45336</v>
      </c>
      <c r="B550" s="7">
        <v>104.72</v>
      </c>
      <c r="C550" s="7">
        <v>104.83</v>
      </c>
      <c r="D550" s="7">
        <v>104.98</v>
      </c>
      <c r="E550" s="7">
        <v>104.66</v>
      </c>
      <c r="G550" s="8">
        <v>-0.0023</v>
      </c>
    </row>
    <row r="551" spans="1:7">
      <c r="A551" s="10">
        <v>45337</v>
      </c>
      <c r="B551" s="7">
        <v>104.3</v>
      </c>
      <c r="C551" s="7">
        <v>104.66</v>
      </c>
      <c r="D551" s="7">
        <v>104.71</v>
      </c>
      <c r="E551" s="7">
        <v>104.18</v>
      </c>
      <c r="G551" s="8">
        <v>-0.0041</v>
      </c>
    </row>
    <row r="552" spans="1:7">
      <c r="A552" s="10">
        <v>45338</v>
      </c>
      <c r="B552" s="7">
        <v>104.3</v>
      </c>
      <c r="C552" s="7">
        <v>104.3</v>
      </c>
      <c r="D552" s="7">
        <v>104.67</v>
      </c>
      <c r="E552" s="7">
        <v>104.17</v>
      </c>
      <c r="G552" s="8">
        <v>0</v>
      </c>
    </row>
    <row r="553" spans="1:7">
      <c r="A553" s="10">
        <v>45341</v>
      </c>
      <c r="B553" s="7">
        <v>104.29</v>
      </c>
      <c r="C553" s="7">
        <v>104.28</v>
      </c>
      <c r="D553" s="7">
        <v>104.37</v>
      </c>
      <c r="E553" s="7">
        <v>104.14</v>
      </c>
      <c r="G553" s="8">
        <v>0</v>
      </c>
    </row>
    <row r="554" spans="1:7">
      <c r="A554" s="10">
        <v>45342</v>
      </c>
      <c r="B554" s="7">
        <v>104.08</v>
      </c>
      <c r="C554" s="7">
        <v>104.32</v>
      </c>
      <c r="D554" s="7">
        <v>104.41</v>
      </c>
      <c r="E554" s="7">
        <v>103.8</v>
      </c>
      <c r="G554" s="8">
        <v>-0.002</v>
      </c>
    </row>
    <row r="555" spans="1:7">
      <c r="A555" s="10">
        <v>45343</v>
      </c>
      <c r="B555" s="7">
        <v>104.01</v>
      </c>
      <c r="C555" s="7">
        <v>104.04</v>
      </c>
      <c r="D555" s="7">
        <v>104.21</v>
      </c>
      <c r="E555" s="7">
        <v>103.94</v>
      </c>
      <c r="G555" s="8">
        <v>-0.0007</v>
      </c>
    </row>
    <row r="556" spans="1:7">
      <c r="A556" s="10">
        <v>45344</v>
      </c>
      <c r="B556" s="7">
        <v>103.96</v>
      </c>
      <c r="C556" s="7">
        <v>103.91</v>
      </c>
      <c r="D556" s="7">
        <v>104.13</v>
      </c>
      <c r="E556" s="7">
        <v>103.43</v>
      </c>
      <c r="G556" s="8">
        <v>-0.0005</v>
      </c>
    </row>
    <row r="557" spans="1:7">
      <c r="A557" s="10">
        <v>45345</v>
      </c>
      <c r="B557" s="7">
        <v>103.94</v>
      </c>
      <c r="C557" s="7">
        <v>103.95</v>
      </c>
      <c r="D557" s="7">
        <v>104.05</v>
      </c>
      <c r="E557" s="7">
        <v>103.77</v>
      </c>
      <c r="G557" s="8">
        <v>-0.0002</v>
      </c>
    </row>
    <row r="558" spans="1:7">
      <c r="A558" s="10">
        <v>45348</v>
      </c>
      <c r="B558" s="7">
        <v>103.83</v>
      </c>
      <c r="C558" s="7">
        <v>103.96</v>
      </c>
      <c r="D558" s="7">
        <v>104.02</v>
      </c>
      <c r="E558" s="7">
        <v>103.71</v>
      </c>
      <c r="G558" s="8">
        <v>-0.001</v>
      </c>
    </row>
    <row r="559" spans="1:7">
      <c r="A559" s="10">
        <v>45349</v>
      </c>
      <c r="B559" s="7">
        <v>103.83</v>
      </c>
      <c r="C559" s="7">
        <v>103.78</v>
      </c>
      <c r="D559" s="7">
        <v>103.92</v>
      </c>
      <c r="E559" s="7">
        <v>103.61</v>
      </c>
      <c r="G559" s="8">
        <v>0</v>
      </c>
    </row>
    <row r="560" spans="1:7">
      <c r="A560" s="10">
        <v>45350</v>
      </c>
      <c r="B560" s="7">
        <v>103.97</v>
      </c>
      <c r="C560" s="7">
        <v>103.84</v>
      </c>
      <c r="D560" s="7">
        <v>104.24</v>
      </c>
      <c r="E560" s="7">
        <v>103.81</v>
      </c>
      <c r="G560" s="8">
        <v>0.0014</v>
      </c>
    </row>
    <row r="561" spans="1:7">
      <c r="A561" s="10">
        <v>45351</v>
      </c>
      <c r="B561" s="7">
        <v>104.16</v>
      </c>
      <c r="C561" s="7">
        <v>103.92</v>
      </c>
      <c r="D561" s="7">
        <v>104.2</v>
      </c>
      <c r="E561" s="7">
        <v>103.66</v>
      </c>
      <c r="G561" s="8">
        <v>0.0017</v>
      </c>
    </row>
    <row r="562" spans="1:7">
      <c r="A562" s="10">
        <v>45352</v>
      </c>
      <c r="B562" s="7">
        <v>103.86</v>
      </c>
      <c r="C562" s="7">
        <v>104.13</v>
      </c>
      <c r="D562" s="7">
        <v>104.29</v>
      </c>
      <c r="E562" s="7">
        <v>103.84</v>
      </c>
      <c r="G562" s="8">
        <v>-0.0028</v>
      </c>
    </row>
    <row r="563" spans="1:7">
      <c r="A563" s="10">
        <v>45355</v>
      </c>
      <c r="B563" s="7">
        <v>103.83</v>
      </c>
      <c r="C563" s="7">
        <v>103.89</v>
      </c>
      <c r="D563" s="7">
        <v>103.96</v>
      </c>
      <c r="E563" s="7">
        <v>103.73</v>
      </c>
      <c r="G563" s="8">
        <v>-0.0003</v>
      </c>
    </row>
    <row r="564" spans="1:7">
      <c r="A564" s="10">
        <v>45356</v>
      </c>
      <c r="B564" s="7">
        <v>103.8</v>
      </c>
      <c r="C564" s="7">
        <v>103.85</v>
      </c>
      <c r="D564" s="7">
        <v>103.95</v>
      </c>
      <c r="E564" s="7">
        <v>103.58</v>
      </c>
      <c r="G564" s="8">
        <v>-0.0003</v>
      </c>
    </row>
    <row r="565" spans="1:7">
      <c r="A565" s="10">
        <v>45357</v>
      </c>
      <c r="B565" s="7">
        <v>103.37</v>
      </c>
      <c r="C565" s="7">
        <v>103.81</v>
      </c>
      <c r="D565" s="7">
        <v>103.89</v>
      </c>
      <c r="E565" s="7">
        <v>103.2</v>
      </c>
      <c r="G565" s="8">
        <v>-0.0041</v>
      </c>
    </row>
    <row r="566" spans="1:7">
      <c r="A566" s="10">
        <v>45358</v>
      </c>
      <c r="B566" s="7">
        <v>102.82</v>
      </c>
      <c r="C566" s="7">
        <v>103.31</v>
      </c>
      <c r="D566" s="7">
        <v>103.35</v>
      </c>
      <c r="E566" s="7">
        <v>102.79</v>
      </c>
      <c r="G566" s="8">
        <v>-0.0053</v>
      </c>
    </row>
    <row r="567" spans="1:7">
      <c r="A567" s="10">
        <v>45359</v>
      </c>
      <c r="B567" s="7">
        <v>102.71</v>
      </c>
      <c r="C567" s="7">
        <v>102.73</v>
      </c>
      <c r="D567" s="7">
        <v>102.9</v>
      </c>
      <c r="E567" s="7">
        <v>102.36</v>
      </c>
      <c r="G567" s="8">
        <v>-0.0011</v>
      </c>
    </row>
    <row r="568" spans="1:7">
      <c r="A568" s="10">
        <v>45362</v>
      </c>
      <c r="B568" s="7">
        <v>102.87</v>
      </c>
      <c r="C568" s="7">
        <v>102.74</v>
      </c>
      <c r="D568" s="7">
        <v>102.93</v>
      </c>
      <c r="E568" s="7">
        <v>102.64</v>
      </c>
      <c r="G568" s="8">
        <v>0.0015</v>
      </c>
    </row>
    <row r="569" spans="1:7">
      <c r="A569" s="10">
        <v>45363</v>
      </c>
      <c r="B569" s="7">
        <v>102.96</v>
      </c>
      <c r="C569" s="7">
        <v>102.82</v>
      </c>
      <c r="D569" s="7">
        <v>103.18</v>
      </c>
      <c r="E569" s="7">
        <v>102.72</v>
      </c>
      <c r="G569" s="8">
        <v>0.0009</v>
      </c>
    </row>
    <row r="570" spans="1:7">
      <c r="A570" s="10">
        <v>45364</v>
      </c>
      <c r="B570" s="7">
        <v>102.79</v>
      </c>
      <c r="C570" s="7">
        <v>102.93</v>
      </c>
      <c r="D570" s="7">
        <v>103.02</v>
      </c>
      <c r="E570" s="7">
        <v>102.67</v>
      </c>
      <c r="G570" s="8">
        <v>-0.0016</v>
      </c>
    </row>
    <row r="571" spans="1:7">
      <c r="A571" s="10">
        <v>45365</v>
      </c>
      <c r="B571" s="7">
        <v>103.36</v>
      </c>
      <c r="C571" s="7">
        <v>102.76</v>
      </c>
      <c r="D571" s="7">
        <v>103.4</v>
      </c>
      <c r="E571" s="7">
        <v>102.74</v>
      </c>
      <c r="G571" s="8">
        <v>0.0056</v>
      </c>
    </row>
    <row r="572" spans="1:7">
      <c r="A572" s="10">
        <v>45366</v>
      </c>
      <c r="B572" s="7">
        <v>103.43</v>
      </c>
      <c r="C572" s="7">
        <v>103.39</v>
      </c>
      <c r="D572" s="7">
        <v>103.49</v>
      </c>
      <c r="E572" s="7">
        <v>103.3</v>
      </c>
      <c r="G572" s="8">
        <v>0.0007</v>
      </c>
    </row>
    <row r="573" spans="1:7">
      <c r="A573" s="10">
        <v>45369</v>
      </c>
      <c r="B573" s="7">
        <v>103.59</v>
      </c>
      <c r="C573" s="7">
        <v>103.45</v>
      </c>
      <c r="D573" s="7">
        <v>103.65</v>
      </c>
      <c r="E573" s="7">
        <v>103.33</v>
      </c>
      <c r="G573" s="8">
        <v>0.0016</v>
      </c>
    </row>
    <row r="574" spans="1:7">
      <c r="A574" s="10">
        <v>45370</v>
      </c>
      <c r="B574" s="7">
        <v>103.84</v>
      </c>
      <c r="C574" s="7">
        <v>103.59</v>
      </c>
      <c r="D574" s="7">
        <v>104.06</v>
      </c>
      <c r="E574" s="7">
        <v>103.58</v>
      </c>
      <c r="G574" s="8">
        <v>0.0024</v>
      </c>
    </row>
    <row r="575" spans="1:7">
      <c r="A575" s="10">
        <v>45371</v>
      </c>
      <c r="B575" s="7">
        <v>103.41</v>
      </c>
      <c r="C575" s="7">
        <v>103.84</v>
      </c>
      <c r="D575" s="7">
        <v>104.15</v>
      </c>
      <c r="E575" s="7">
        <v>103.38</v>
      </c>
      <c r="G575" s="8">
        <v>-0.0041</v>
      </c>
    </row>
    <row r="576" spans="1:7">
      <c r="A576" s="10">
        <v>45372</v>
      </c>
      <c r="B576" s="7">
        <v>104</v>
      </c>
      <c r="C576" s="7">
        <v>103.24</v>
      </c>
      <c r="D576" s="7">
        <v>104.05</v>
      </c>
      <c r="E576" s="7">
        <v>103.17</v>
      </c>
      <c r="G576" s="8">
        <v>0.0057</v>
      </c>
    </row>
    <row r="577" spans="1:7">
      <c r="A577" s="10">
        <v>45373</v>
      </c>
      <c r="B577" s="7">
        <v>104.47</v>
      </c>
      <c r="C577" s="7">
        <v>103.99</v>
      </c>
      <c r="D577" s="7">
        <v>104.5</v>
      </c>
      <c r="E577" s="7">
        <v>103.92</v>
      </c>
      <c r="G577" s="8">
        <v>0.0045</v>
      </c>
    </row>
    <row r="578" spans="1:7">
      <c r="A578" s="10">
        <v>45376</v>
      </c>
      <c r="B578" s="7">
        <v>104.24</v>
      </c>
      <c r="C578" s="7">
        <v>104.43</v>
      </c>
      <c r="D578" s="7">
        <v>104.47</v>
      </c>
      <c r="E578" s="7">
        <v>104.14</v>
      </c>
      <c r="G578" s="8">
        <v>-0.0023</v>
      </c>
    </row>
    <row r="579" spans="1:7">
      <c r="A579" s="10">
        <v>45377</v>
      </c>
      <c r="B579" s="7">
        <v>104.29</v>
      </c>
      <c r="C579" s="7">
        <v>104.22</v>
      </c>
      <c r="D579" s="7">
        <v>104.34</v>
      </c>
      <c r="E579" s="7">
        <v>104.01</v>
      </c>
      <c r="G579" s="8">
        <v>0.0006</v>
      </c>
    </row>
    <row r="580" spans="1:7">
      <c r="A580" s="10">
        <v>45378</v>
      </c>
      <c r="B580" s="7">
        <v>104.35</v>
      </c>
      <c r="C580" s="7">
        <v>104.29</v>
      </c>
      <c r="D580" s="7">
        <v>104.46</v>
      </c>
      <c r="E580" s="7">
        <v>104.22</v>
      </c>
      <c r="G580" s="8">
        <v>0.0005</v>
      </c>
    </row>
    <row r="581" spans="1:7">
      <c r="A581" s="10">
        <v>45379</v>
      </c>
      <c r="B581" s="7">
        <v>104.55</v>
      </c>
      <c r="C581" s="7">
        <v>104.43</v>
      </c>
      <c r="D581" s="7">
        <v>104.73</v>
      </c>
      <c r="E581" s="7">
        <v>104.31</v>
      </c>
      <c r="G581" s="8">
        <v>0.0019</v>
      </c>
    </row>
    <row r="582" spans="1:7">
      <c r="A582" s="10">
        <v>45380</v>
      </c>
      <c r="B582" s="7">
        <v>104.55</v>
      </c>
      <c r="C582" s="7">
        <v>104.54</v>
      </c>
      <c r="D582" s="7">
        <v>104.67</v>
      </c>
      <c r="E582" s="7">
        <v>104.41</v>
      </c>
      <c r="G582" s="8">
        <v>0</v>
      </c>
    </row>
    <row r="583" spans="1:7">
      <c r="A583" s="10">
        <v>45383</v>
      </c>
      <c r="B583" s="7">
        <v>105.02</v>
      </c>
      <c r="C583" s="7">
        <v>104.49</v>
      </c>
      <c r="D583" s="7">
        <v>105.07</v>
      </c>
      <c r="E583" s="7">
        <v>104.42</v>
      </c>
      <c r="G583" s="8">
        <v>0.0045</v>
      </c>
    </row>
    <row r="584" spans="1:7">
      <c r="A584" s="10">
        <v>45384</v>
      </c>
      <c r="B584" s="7">
        <v>104.82</v>
      </c>
      <c r="C584" s="7">
        <v>105</v>
      </c>
      <c r="D584" s="7">
        <v>105.1</v>
      </c>
      <c r="E584" s="7">
        <v>104.68</v>
      </c>
      <c r="G584" s="8">
        <v>-0.0019</v>
      </c>
    </row>
    <row r="585" spans="1:7">
      <c r="A585" s="10">
        <v>45385</v>
      </c>
      <c r="B585" s="7">
        <v>104.25</v>
      </c>
      <c r="C585" s="7">
        <v>104.77</v>
      </c>
      <c r="D585" s="7">
        <v>104.84</v>
      </c>
      <c r="E585" s="7">
        <v>104.23</v>
      </c>
      <c r="G585" s="8">
        <v>-0.0054</v>
      </c>
    </row>
    <row r="586" spans="1:7">
      <c r="A586" s="10">
        <v>45386</v>
      </c>
      <c r="B586" s="7">
        <v>104.12</v>
      </c>
      <c r="C586" s="7">
        <v>104.23</v>
      </c>
      <c r="D586" s="7">
        <v>104.26</v>
      </c>
      <c r="E586" s="7">
        <v>103.92</v>
      </c>
      <c r="G586" s="8">
        <v>-0.0012</v>
      </c>
    </row>
    <row r="587" spans="1:7">
      <c r="A587" s="10">
        <v>45387</v>
      </c>
      <c r="B587" s="7">
        <v>104.3</v>
      </c>
      <c r="C587" s="7">
        <v>104.21</v>
      </c>
      <c r="D587" s="7">
        <v>104.69</v>
      </c>
      <c r="E587" s="7">
        <v>104.14</v>
      </c>
      <c r="G587" s="8">
        <v>0.0017</v>
      </c>
    </row>
    <row r="588" spans="1:7">
      <c r="A588" s="10">
        <v>45390</v>
      </c>
      <c r="B588" s="7">
        <v>104.14</v>
      </c>
      <c r="C588" s="7">
        <v>104.29</v>
      </c>
      <c r="D588" s="7">
        <v>104.44</v>
      </c>
      <c r="E588" s="7">
        <v>104.1</v>
      </c>
      <c r="G588" s="8">
        <v>-0.0015</v>
      </c>
    </row>
    <row r="589" spans="1:7">
      <c r="A589" s="10">
        <v>45391</v>
      </c>
      <c r="B589" s="7">
        <v>104.15</v>
      </c>
      <c r="C589" s="7">
        <v>104.12</v>
      </c>
      <c r="D589" s="7">
        <v>104.2</v>
      </c>
      <c r="E589" s="7">
        <v>103.88</v>
      </c>
      <c r="G589" s="8">
        <v>0.0001</v>
      </c>
    </row>
    <row r="590" spans="1:7">
      <c r="A590" s="10">
        <v>45392</v>
      </c>
      <c r="B590" s="7">
        <v>105.25</v>
      </c>
      <c r="C590" s="7">
        <v>104.1</v>
      </c>
      <c r="D590" s="7">
        <v>105.3</v>
      </c>
      <c r="E590" s="7">
        <v>104.02</v>
      </c>
      <c r="G590" s="8">
        <v>0.0105</v>
      </c>
    </row>
    <row r="591" spans="1:7">
      <c r="A591" s="10">
        <v>45393</v>
      </c>
      <c r="B591" s="7">
        <v>105.28</v>
      </c>
      <c r="C591" s="7">
        <v>105.18</v>
      </c>
      <c r="D591" s="7">
        <v>105.53</v>
      </c>
      <c r="E591" s="7">
        <v>105.03</v>
      </c>
      <c r="G591" s="8">
        <v>0.0004</v>
      </c>
    </row>
    <row r="592" spans="1:7">
      <c r="A592" s="10">
        <v>45394</v>
      </c>
      <c r="B592" s="7">
        <v>106.04</v>
      </c>
      <c r="C592" s="7">
        <v>105.28</v>
      </c>
      <c r="D592" s="7">
        <v>106.11</v>
      </c>
      <c r="E592" s="7">
        <v>105.24</v>
      </c>
      <c r="G592" s="8">
        <v>0.0072</v>
      </c>
    </row>
    <row r="593" spans="1:7">
      <c r="A593" s="10">
        <v>45397</v>
      </c>
      <c r="B593" s="7">
        <v>106.21</v>
      </c>
      <c r="C593" s="7">
        <v>106.01</v>
      </c>
      <c r="D593" s="7">
        <v>106.25</v>
      </c>
      <c r="E593" s="7">
        <v>105.84</v>
      </c>
      <c r="G593" s="8">
        <v>0.0016</v>
      </c>
    </row>
    <row r="594" spans="1:7">
      <c r="A594" s="10">
        <v>45398</v>
      </c>
      <c r="B594" s="7">
        <v>106.26</v>
      </c>
      <c r="C594" s="7">
        <v>106.17</v>
      </c>
      <c r="D594" s="7">
        <v>106.52</v>
      </c>
      <c r="E594" s="7">
        <v>106.07</v>
      </c>
      <c r="G594" s="8">
        <v>0.0005</v>
      </c>
    </row>
    <row r="595" spans="1:7">
      <c r="A595" s="10">
        <v>45399</v>
      </c>
      <c r="B595" s="7">
        <v>105.95</v>
      </c>
      <c r="C595" s="7">
        <v>106.33</v>
      </c>
      <c r="D595" s="7">
        <v>106.44</v>
      </c>
      <c r="E595" s="7">
        <v>105.87</v>
      </c>
      <c r="G595" s="8">
        <v>-0.0029</v>
      </c>
    </row>
    <row r="596" spans="1:7">
      <c r="A596" s="10">
        <v>45400</v>
      </c>
      <c r="B596" s="7">
        <v>106.15</v>
      </c>
      <c r="C596" s="7">
        <v>105.93</v>
      </c>
      <c r="D596" s="7">
        <v>106.18</v>
      </c>
      <c r="E596" s="7">
        <v>105.74</v>
      </c>
      <c r="G596" s="8">
        <v>0.0019</v>
      </c>
    </row>
    <row r="597" spans="1:7">
      <c r="A597" s="10">
        <v>45401</v>
      </c>
      <c r="B597" s="7">
        <v>106.15</v>
      </c>
      <c r="C597" s="7">
        <v>106.19</v>
      </c>
      <c r="D597" s="7">
        <v>106.35</v>
      </c>
      <c r="E597" s="7">
        <v>105.85</v>
      </c>
      <c r="G597" s="8">
        <v>0</v>
      </c>
    </row>
    <row r="598" spans="1:7">
      <c r="A598" s="10">
        <v>45404</v>
      </c>
      <c r="B598" s="7">
        <v>106.08</v>
      </c>
      <c r="C598" s="7">
        <v>106.12</v>
      </c>
      <c r="D598" s="7">
        <v>106.39</v>
      </c>
      <c r="E598" s="7">
        <v>105.98</v>
      </c>
      <c r="G598" s="8">
        <v>-0.0007</v>
      </c>
    </row>
    <row r="599" spans="1:7">
      <c r="A599" s="10">
        <v>45405</v>
      </c>
      <c r="B599" s="7">
        <v>105.68</v>
      </c>
      <c r="C599" s="7">
        <v>106.12</v>
      </c>
      <c r="D599" s="7">
        <v>106.24</v>
      </c>
      <c r="E599" s="7">
        <v>105.61</v>
      </c>
      <c r="G599" s="8">
        <v>-0.0038</v>
      </c>
    </row>
    <row r="600" spans="1:7">
      <c r="A600" s="10">
        <v>45406</v>
      </c>
      <c r="B600" s="7">
        <v>105.86</v>
      </c>
      <c r="C600" s="7">
        <v>105.69</v>
      </c>
      <c r="D600" s="7">
        <v>105.95</v>
      </c>
      <c r="E600" s="7">
        <v>105.59</v>
      </c>
      <c r="G600" s="8">
        <v>0.0017</v>
      </c>
    </row>
    <row r="601" spans="1:7">
      <c r="A601" s="10">
        <v>45407</v>
      </c>
      <c r="B601" s="7">
        <v>105.6</v>
      </c>
      <c r="C601" s="7">
        <v>105.82</v>
      </c>
      <c r="D601" s="7">
        <v>106</v>
      </c>
      <c r="E601" s="7">
        <v>105.51</v>
      </c>
      <c r="G601" s="8">
        <v>-0.0024</v>
      </c>
    </row>
    <row r="602" spans="1:7">
      <c r="A602" s="10">
        <v>45408</v>
      </c>
      <c r="B602" s="7">
        <v>105.94</v>
      </c>
      <c r="C602" s="7">
        <v>105.58</v>
      </c>
      <c r="D602" s="7">
        <v>106.19</v>
      </c>
      <c r="E602" s="7">
        <v>105.41</v>
      </c>
      <c r="G602" s="8">
        <v>0.0032</v>
      </c>
    </row>
    <row r="603" spans="1:7">
      <c r="A603" s="10">
        <v>45411</v>
      </c>
      <c r="B603" s="7">
        <v>105.58</v>
      </c>
      <c r="C603" s="7">
        <v>106.09</v>
      </c>
      <c r="D603" s="7">
        <v>106.08</v>
      </c>
      <c r="E603" s="7">
        <v>105.46</v>
      </c>
      <c r="G603" s="8">
        <v>-0.0034</v>
      </c>
    </row>
    <row r="604" spans="1:7">
      <c r="A604" s="10">
        <v>45412</v>
      </c>
      <c r="B604" s="7">
        <v>106.22</v>
      </c>
      <c r="C604" s="7">
        <v>105.67</v>
      </c>
      <c r="D604" s="7">
        <v>106.35</v>
      </c>
      <c r="E604" s="7">
        <v>105.67</v>
      </c>
      <c r="G604" s="8">
        <v>0.0061</v>
      </c>
    </row>
    <row r="605" spans="1:7">
      <c r="A605" s="10">
        <v>45413</v>
      </c>
      <c r="B605" s="7">
        <v>105.75</v>
      </c>
      <c r="C605" s="7">
        <v>106.32</v>
      </c>
      <c r="D605" s="7">
        <v>106.49</v>
      </c>
      <c r="E605" s="7">
        <v>105.43</v>
      </c>
      <c r="G605" s="8">
        <v>-0.0044</v>
      </c>
    </row>
    <row r="606" spans="1:7">
      <c r="A606" s="10">
        <v>45414</v>
      </c>
      <c r="B606" s="7">
        <v>105.3</v>
      </c>
      <c r="C606" s="7">
        <v>105.73</v>
      </c>
      <c r="D606" s="7">
        <v>105.9</v>
      </c>
      <c r="E606" s="7">
        <v>105.3</v>
      </c>
      <c r="G606" s="8">
        <v>-0.0043</v>
      </c>
    </row>
    <row r="607" spans="1:7">
      <c r="A607" s="10">
        <v>45415</v>
      </c>
      <c r="B607" s="7">
        <v>105.03</v>
      </c>
      <c r="C607" s="7">
        <v>105.31</v>
      </c>
      <c r="D607" s="7">
        <v>105.37</v>
      </c>
      <c r="E607" s="7">
        <v>104.52</v>
      </c>
      <c r="G607" s="8">
        <v>-0.0026</v>
      </c>
    </row>
    <row r="608" spans="1:7">
      <c r="A608" s="10">
        <v>45418</v>
      </c>
      <c r="B608" s="7">
        <v>105.05</v>
      </c>
      <c r="C608" s="7">
        <v>105.08</v>
      </c>
      <c r="D608" s="7">
        <v>105.2</v>
      </c>
      <c r="E608" s="7">
        <v>104.87</v>
      </c>
      <c r="G608" s="8">
        <v>0.0002</v>
      </c>
    </row>
    <row r="609" spans="1:7">
      <c r="A609" s="10">
        <v>45419</v>
      </c>
      <c r="B609" s="7">
        <v>105.41</v>
      </c>
      <c r="C609" s="7">
        <v>105.14</v>
      </c>
      <c r="D609" s="7">
        <v>105.45</v>
      </c>
      <c r="E609" s="7">
        <v>105.03</v>
      </c>
      <c r="G609" s="8">
        <v>0.0034</v>
      </c>
    </row>
    <row r="610" spans="1:7">
      <c r="A610" s="10">
        <v>45420</v>
      </c>
      <c r="B610" s="7">
        <v>105.55</v>
      </c>
      <c r="C610" s="7">
        <v>105.42</v>
      </c>
      <c r="D610" s="7">
        <v>105.64</v>
      </c>
      <c r="E610" s="7">
        <v>105.39</v>
      </c>
      <c r="G610" s="8">
        <v>0.0013</v>
      </c>
    </row>
    <row r="611" spans="1:7">
      <c r="A611" s="10">
        <v>45421</v>
      </c>
      <c r="B611" s="7">
        <v>105.23</v>
      </c>
      <c r="C611" s="7">
        <v>105.52</v>
      </c>
      <c r="D611" s="7">
        <v>105.74</v>
      </c>
      <c r="E611" s="7">
        <v>105.2</v>
      </c>
      <c r="G611" s="8">
        <v>-0.003</v>
      </c>
    </row>
    <row r="612" spans="1:7">
      <c r="A612" s="10">
        <v>45422</v>
      </c>
      <c r="B612" s="7">
        <v>105.3</v>
      </c>
      <c r="C612" s="7">
        <v>105.21</v>
      </c>
      <c r="D612" s="7">
        <v>105.4</v>
      </c>
      <c r="E612" s="7">
        <v>105.14</v>
      </c>
      <c r="G612" s="8">
        <v>0.0007</v>
      </c>
    </row>
    <row r="613" spans="1:7">
      <c r="A613" s="10">
        <v>45425</v>
      </c>
      <c r="B613" s="7">
        <v>105.22</v>
      </c>
      <c r="C613" s="7">
        <v>105.31</v>
      </c>
      <c r="D613" s="7">
        <v>105.37</v>
      </c>
      <c r="E613" s="7">
        <v>105.06</v>
      </c>
      <c r="G613" s="8">
        <v>-0.0008</v>
      </c>
    </row>
    <row r="614" spans="1:7">
      <c r="A614" s="10">
        <v>45426</v>
      </c>
      <c r="B614" s="7">
        <v>105.01</v>
      </c>
      <c r="C614" s="7">
        <v>105.2</v>
      </c>
      <c r="D614" s="7">
        <v>105.46</v>
      </c>
      <c r="E614" s="7">
        <v>104.96</v>
      </c>
      <c r="G614" s="8">
        <v>-0.0019</v>
      </c>
    </row>
    <row r="615" spans="1:7">
      <c r="A615" s="10">
        <v>45427</v>
      </c>
      <c r="B615" s="7">
        <v>104.35</v>
      </c>
      <c r="C615" s="7">
        <v>105.05</v>
      </c>
      <c r="D615" s="7">
        <v>105.06</v>
      </c>
      <c r="E615" s="7">
        <v>104.28</v>
      </c>
      <c r="G615" s="8">
        <v>-0.0064</v>
      </c>
    </row>
    <row r="616" spans="1:7">
      <c r="A616" s="10">
        <v>45428</v>
      </c>
      <c r="B616" s="7">
        <v>104.46</v>
      </c>
      <c r="C616" s="7">
        <v>104.21</v>
      </c>
      <c r="D616" s="7">
        <v>104.63</v>
      </c>
      <c r="E616" s="7">
        <v>104.08</v>
      </c>
      <c r="G616" s="8">
        <v>0.0011</v>
      </c>
    </row>
    <row r="617" spans="1:7">
      <c r="A617" s="10">
        <v>45429</v>
      </c>
      <c r="B617" s="7">
        <v>104.44</v>
      </c>
      <c r="C617" s="7">
        <v>104.5</v>
      </c>
      <c r="D617" s="7">
        <v>104.8</v>
      </c>
      <c r="E617" s="7">
        <v>104.39</v>
      </c>
      <c r="G617" s="8">
        <v>-0.0002</v>
      </c>
    </row>
    <row r="618" spans="1:7">
      <c r="A618" s="10">
        <v>45432</v>
      </c>
      <c r="B618" s="7">
        <v>104.57</v>
      </c>
      <c r="C618" s="7">
        <v>104.5</v>
      </c>
      <c r="D618" s="7">
        <v>104.65</v>
      </c>
      <c r="E618" s="7">
        <v>104.39</v>
      </c>
      <c r="G618" s="8">
        <v>0.0011</v>
      </c>
    </row>
    <row r="619" spans="1:7">
      <c r="A619" s="10">
        <v>45433</v>
      </c>
      <c r="B619" s="7">
        <v>104.66</v>
      </c>
      <c r="C619" s="7">
        <v>104.6</v>
      </c>
      <c r="D619" s="7">
        <v>104.77</v>
      </c>
      <c r="E619" s="7">
        <v>104.48</v>
      </c>
      <c r="G619" s="8">
        <v>0.0009</v>
      </c>
    </row>
    <row r="620" spans="1:7">
      <c r="A620" s="10">
        <v>45434</v>
      </c>
      <c r="B620" s="7">
        <v>104.93</v>
      </c>
      <c r="C620" s="7">
        <v>104.62</v>
      </c>
      <c r="D620" s="7">
        <v>104.97</v>
      </c>
      <c r="E620" s="7">
        <v>104.56</v>
      </c>
      <c r="G620" s="8">
        <v>0.0026</v>
      </c>
    </row>
    <row r="621" spans="1:7">
      <c r="A621" s="10">
        <v>45435</v>
      </c>
      <c r="B621" s="7">
        <v>105.11</v>
      </c>
      <c r="C621" s="7">
        <v>104.9</v>
      </c>
      <c r="D621" s="7">
        <v>105.11</v>
      </c>
      <c r="E621" s="7">
        <v>104.63</v>
      </c>
      <c r="G621" s="8">
        <v>0.0017</v>
      </c>
    </row>
    <row r="622" spans="1:7">
      <c r="A622" s="10">
        <v>45436</v>
      </c>
      <c r="B622" s="7">
        <v>104.72</v>
      </c>
      <c r="C622" s="7">
        <v>105.04</v>
      </c>
      <c r="D622" s="7">
        <v>105.12</v>
      </c>
      <c r="E622" s="7">
        <v>104.64</v>
      </c>
      <c r="G622" s="8">
        <v>-0.0037</v>
      </c>
    </row>
    <row r="623" spans="1:7">
      <c r="A623" s="10">
        <v>45439</v>
      </c>
      <c r="B623" s="7">
        <v>104.6</v>
      </c>
      <c r="C623" s="7">
        <v>104.75</v>
      </c>
      <c r="D623" s="7">
        <v>104.75</v>
      </c>
      <c r="E623" s="7">
        <v>104.57</v>
      </c>
      <c r="G623" s="8">
        <v>-0.0012</v>
      </c>
    </row>
    <row r="624" spans="1:7">
      <c r="A624" s="10">
        <v>45440</v>
      </c>
      <c r="B624" s="7">
        <v>104.61</v>
      </c>
      <c r="C624" s="7">
        <v>104.58</v>
      </c>
      <c r="D624" s="7">
        <v>104.64</v>
      </c>
      <c r="E624" s="7">
        <v>104.33</v>
      </c>
      <c r="G624" s="8">
        <v>0.0002</v>
      </c>
    </row>
    <row r="625" spans="1:7">
      <c r="A625" s="10">
        <v>45441</v>
      </c>
      <c r="B625" s="7">
        <v>105.1</v>
      </c>
      <c r="C625" s="7">
        <v>104.64</v>
      </c>
      <c r="D625" s="7">
        <v>105.14</v>
      </c>
      <c r="E625" s="7">
        <v>104.59</v>
      </c>
      <c r="G625" s="8">
        <v>0.0046</v>
      </c>
    </row>
    <row r="626" spans="1:7">
      <c r="A626" s="10">
        <v>45442</v>
      </c>
      <c r="B626" s="7">
        <v>104.72</v>
      </c>
      <c r="C626" s="7">
        <v>105.13</v>
      </c>
      <c r="D626" s="7">
        <v>105.18</v>
      </c>
      <c r="E626" s="7">
        <v>104.63</v>
      </c>
      <c r="G626" s="8">
        <v>-0.0036</v>
      </c>
    </row>
    <row r="627" spans="1:7">
      <c r="A627" s="10">
        <v>45443</v>
      </c>
      <c r="B627" s="7">
        <v>104.67</v>
      </c>
      <c r="C627" s="7">
        <v>104.76</v>
      </c>
      <c r="D627" s="7">
        <v>104.9</v>
      </c>
      <c r="E627" s="7">
        <v>104.36</v>
      </c>
      <c r="G627" s="8">
        <v>-0.0004</v>
      </c>
    </row>
    <row r="628" spans="1:7">
      <c r="A628" s="10">
        <v>45446</v>
      </c>
      <c r="B628" s="7">
        <v>104.14</v>
      </c>
      <c r="C628" s="7">
        <v>104.63</v>
      </c>
      <c r="D628" s="7">
        <v>104.77</v>
      </c>
      <c r="E628" s="7">
        <v>104.04</v>
      </c>
      <c r="G628" s="8">
        <v>-0.0051</v>
      </c>
    </row>
    <row r="629" spans="1:7">
      <c r="A629" s="10">
        <v>45447</v>
      </c>
      <c r="B629" s="7">
        <v>104.11</v>
      </c>
      <c r="C629" s="7">
        <v>104.05</v>
      </c>
      <c r="D629" s="7">
        <v>104.33</v>
      </c>
      <c r="E629" s="7">
        <v>103.99</v>
      </c>
      <c r="G629" s="8">
        <v>-0.0003</v>
      </c>
    </row>
    <row r="630" spans="1:7">
      <c r="A630" s="10">
        <v>45448</v>
      </c>
      <c r="B630" s="7">
        <v>104.27</v>
      </c>
      <c r="C630" s="7">
        <v>104.17</v>
      </c>
      <c r="D630" s="7">
        <v>104.46</v>
      </c>
      <c r="E630" s="7">
        <v>104.13</v>
      </c>
      <c r="G630" s="8">
        <v>0.0015</v>
      </c>
    </row>
    <row r="631" spans="1:7">
      <c r="A631" s="10">
        <v>45449</v>
      </c>
      <c r="B631" s="7">
        <v>104.1</v>
      </c>
      <c r="C631" s="7">
        <v>104.25</v>
      </c>
      <c r="D631" s="7">
        <v>104.37</v>
      </c>
      <c r="E631" s="7">
        <v>104.05</v>
      </c>
      <c r="G631" s="8">
        <v>-0.0016</v>
      </c>
    </row>
    <row r="632" spans="1:7">
      <c r="A632" s="10">
        <v>45450</v>
      </c>
      <c r="B632" s="7">
        <v>104.89</v>
      </c>
      <c r="C632" s="7">
        <v>104.09</v>
      </c>
      <c r="D632" s="7">
        <v>104.95</v>
      </c>
      <c r="E632" s="7">
        <v>104</v>
      </c>
      <c r="G632" s="8">
        <v>0.0075</v>
      </c>
    </row>
    <row r="633" spans="1:7">
      <c r="A633" s="10">
        <v>45453</v>
      </c>
      <c r="B633" s="7">
        <v>105.15</v>
      </c>
      <c r="C633" s="7">
        <v>104.93</v>
      </c>
      <c r="D633" s="7">
        <v>105.39</v>
      </c>
      <c r="E633" s="7">
        <v>105.04</v>
      </c>
      <c r="G633" s="8">
        <v>0.0025</v>
      </c>
    </row>
    <row r="634" spans="1:7">
      <c r="A634" s="10">
        <v>45454</v>
      </c>
      <c r="B634" s="7">
        <v>105.23</v>
      </c>
      <c r="C634" s="7">
        <v>105.15</v>
      </c>
      <c r="D634" s="7">
        <v>105.46</v>
      </c>
      <c r="E634" s="7">
        <v>105.1</v>
      </c>
      <c r="G634" s="8">
        <v>0.0008</v>
      </c>
    </row>
    <row r="635" spans="1:7">
      <c r="A635" s="10">
        <v>45455</v>
      </c>
      <c r="B635" s="7">
        <v>104.64</v>
      </c>
      <c r="C635" s="7">
        <v>105.28</v>
      </c>
      <c r="D635" s="7">
        <v>105.32</v>
      </c>
      <c r="E635" s="7">
        <v>104.26</v>
      </c>
      <c r="G635" s="8">
        <v>-0.0056</v>
      </c>
    </row>
    <row r="636" spans="1:7">
      <c r="A636" s="10">
        <v>45456</v>
      </c>
      <c r="B636" s="7">
        <v>105.2</v>
      </c>
      <c r="C636" s="7">
        <v>104.69</v>
      </c>
      <c r="D636" s="7">
        <v>105.28</v>
      </c>
      <c r="E636" s="7">
        <v>104.64</v>
      </c>
      <c r="G636" s="8">
        <v>0.0053</v>
      </c>
    </row>
    <row r="637" spans="1:7">
      <c r="A637" s="10">
        <v>45457</v>
      </c>
      <c r="B637" s="7">
        <v>105.55</v>
      </c>
      <c r="C637" s="7">
        <v>105.23</v>
      </c>
      <c r="D637" s="7">
        <v>105.81</v>
      </c>
      <c r="E637" s="7">
        <v>105.18</v>
      </c>
      <c r="G637" s="8">
        <v>0.0034</v>
      </c>
    </row>
    <row r="638" spans="1:7">
      <c r="A638" s="10">
        <v>45460</v>
      </c>
      <c r="B638" s="7">
        <v>105.32</v>
      </c>
      <c r="C638" s="7">
        <v>105.51</v>
      </c>
      <c r="D638" s="7">
        <v>105.65</v>
      </c>
      <c r="E638" s="7">
        <v>105.31</v>
      </c>
      <c r="G638" s="8">
        <v>-0.0022</v>
      </c>
    </row>
    <row r="639" spans="1:7">
      <c r="A639" s="10">
        <v>45461</v>
      </c>
      <c r="B639" s="7">
        <v>105.26</v>
      </c>
      <c r="C639" s="7">
        <v>105.3</v>
      </c>
      <c r="D639" s="7">
        <v>105.56</v>
      </c>
      <c r="E639" s="7">
        <v>105.13</v>
      </c>
      <c r="G639" s="8">
        <v>-0.0006</v>
      </c>
    </row>
    <row r="640" spans="1:7">
      <c r="A640" s="10">
        <v>45462</v>
      </c>
      <c r="B640" s="7">
        <v>105.25</v>
      </c>
      <c r="C640" s="7">
        <v>105.26</v>
      </c>
      <c r="D640" s="7">
        <v>105.34</v>
      </c>
      <c r="E640" s="7">
        <v>105.15</v>
      </c>
      <c r="G640" s="8">
        <v>0</v>
      </c>
    </row>
    <row r="641" spans="1:7">
      <c r="A641" s="10">
        <v>45463</v>
      </c>
      <c r="B641" s="7">
        <v>105.59</v>
      </c>
      <c r="C641" s="7">
        <v>105.2</v>
      </c>
      <c r="D641" s="7">
        <v>105.67</v>
      </c>
      <c r="E641" s="7">
        <v>105.2</v>
      </c>
      <c r="G641" s="8">
        <v>0.0032</v>
      </c>
    </row>
    <row r="642" spans="1:7">
      <c r="A642" s="10">
        <v>45464</v>
      </c>
      <c r="B642" s="7">
        <v>105.8</v>
      </c>
      <c r="C642" s="7">
        <v>105.64</v>
      </c>
      <c r="D642" s="7">
        <v>105.92</v>
      </c>
      <c r="E642" s="7">
        <v>105.54</v>
      </c>
      <c r="G642" s="8">
        <v>0.002</v>
      </c>
    </row>
    <row r="643" spans="1:7">
      <c r="A643" s="10">
        <v>45467</v>
      </c>
      <c r="B643" s="7">
        <v>105.47</v>
      </c>
      <c r="C643" s="7">
        <v>105.83</v>
      </c>
      <c r="D643" s="7">
        <v>105.9</v>
      </c>
      <c r="E643" s="7">
        <v>105.37</v>
      </c>
      <c r="G643" s="8">
        <v>-0.0031</v>
      </c>
    </row>
    <row r="644" spans="1:7">
      <c r="A644" s="10">
        <v>45468</v>
      </c>
      <c r="B644" s="7">
        <v>105.61</v>
      </c>
      <c r="C644" s="7">
        <v>105.51</v>
      </c>
      <c r="D644" s="7">
        <v>105.78</v>
      </c>
      <c r="E644" s="7">
        <v>105.37</v>
      </c>
      <c r="G644" s="8">
        <v>0.0013</v>
      </c>
    </row>
    <row r="645" spans="1:7">
      <c r="A645" s="10">
        <v>45469</v>
      </c>
      <c r="B645" s="7">
        <v>106.05</v>
      </c>
      <c r="C645" s="7">
        <v>105.66</v>
      </c>
      <c r="D645" s="7">
        <v>106.13</v>
      </c>
      <c r="E645" s="7">
        <v>105.61</v>
      </c>
      <c r="G645" s="8">
        <v>0.0042</v>
      </c>
    </row>
    <row r="646" spans="1:7">
      <c r="A646" s="10">
        <v>45470</v>
      </c>
      <c r="B646" s="7">
        <v>105.91</v>
      </c>
      <c r="C646" s="7">
        <v>106.07</v>
      </c>
      <c r="D646" s="7">
        <v>106.08</v>
      </c>
      <c r="E646" s="7">
        <v>105.71</v>
      </c>
      <c r="G646" s="8">
        <v>-0.0014</v>
      </c>
    </row>
    <row r="647" spans="1:7">
      <c r="A647" s="10">
        <v>45471</v>
      </c>
      <c r="B647" s="7">
        <v>105.87</v>
      </c>
      <c r="C647" s="7">
        <v>105.92</v>
      </c>
      <c r="D647" s="7">
        <v>106.13</v>
      </c>
      <c r="E647" s="7">
        <v>105.75</v>
      </c>
      <c r="G647" s="8">
        <v>-0.0004</v>
      </c>
    </row>
    <row r="648" spans="1:7">
      <c r="A648" s="10">
        <v>45474</v>
      </c>
      <c r="B648" s="7">
        <v>105.9</v>
      </c>
      <c r="C648" s="7">
        <v>105.85</v>
      </c>
      <c r="D648" s="7">
        <v>105.98</v>
      </c>
      <c r="E648" s="7">
        <v>105.43</v>
      </c>
      <c r="G648" s="8">
        <v>0.0003</v>
      </c>
    </row>
    <row r="649" spans="1:7">
      <c r="A649" s="10">
        <v>45475</v>
      </c>
      <c r="B649" s="7">
        <v>105.72</v>
      </c>
      <c r="C649" s="7">
        <v>105.85</v>
      </c>
      <c r="D649" s="7">
        <v>106.05</v>
      </c>
      <c r="E649" s="7">
        <v>105.66</v>
      </c>
      <c r="G649" s="8">
        <v>-0.0017</v>
      </c>
    </row>
    <row r="650" spans="1:7">
      <c r="A650" s="10">
        <v>45476</v>
      </c>
      <c r="B650" s="7">
        <v>105.4</v>
      </c>
      <c r="C650" s="7">
        <v>105.67</v>
      </c>
      <c r="D650" s="7">
        <v>105.8</v>
      </c>
      <c r="E650" s="7">
        <v>105.05</v>
      </c>
      <c r="G650" s="8">
        <v>-0.003</v>
      </c>
    </row>
    <row r="651" spans="1:7">
      <c r="A651" s="10">
        <v>45477</v>
      </c>
      <c r="B651" s="7">
        <v>105.13</v>
      </c>
      <c r="C651" s="7">
        <v>105.32</v>
      </c>
      <c r="D651" s="7">
        <v>105.36</v>
      </c>
      <c r="E651" s="7">
        <v>105.1</v>
      </c>
      <c r="G651" s="8">
        <v>-0.0026</v>
      </c>
    </row>
    <row r="652" spans="1:7">
      <c r="A652" s="10">
        <v>45478</v>
      </c>
      <c r="B652" s="7">
        <v>104.88</v>
      </c>
      <c r="C652" s="7">
        <v>105.17</v>
      </c>
      <c r="D652" s="7">
        <v>105.17</v>
      </c>
      <c r="E652" s="7">
        <v>104.82</v>
      </c>
      <c r="G652" s="8">
        <v>-0.0024</v>
      </c>
    </row>
    <row r="653" spans="1:7">
      <c r="A653" s="10">
        <v>45481</v>
      </c>
      <c r="B653" s="7">
        <v>105</v>
      </c>
      <c r="C653" s="7">
        <v>104.88</v>
      </c>
      <c r="D653" s="7">
        <v>105.03</v>
      </c>
      <c r="E653" s="7">
        <v>104.8</v>
      </c>
      <c r="G653" s="8">
        <v>0.0012</v>
      </c>
    </row>
    <row r="654" spans="1:7">
      <c r="A654" s="10">
        <v>45482</v>
      </c>
      <c r="B654" s="7">
        <v>105.13</v>
      </c>
      <c r="C654" s="7">
        <v>104.99</v>
      </c>
      <c r="D654" s="7">
        <v>105.21</v>
      </c>
      <c r="E654" s="7">
        <v>104.96</v>
      </c>
      <c r="G654" s="8">
        <v>0.0012</v>
      </c>
    </row>
    <row r="655" spans="1:7">
      <c r="A655" s="10">
        <v>45483</v>
      </c>
      <c r="B655" s="7">
        <v>105.05</v>
      </c>
      <c r="C655" s="7">
        <v>105.12</v>
      </c>
      <c r="D655" s="7">
        <v>105.17</v>
      </c>
      <c r="E655" s="7">
        <v>104.98</v>
      </c>
      <c r="G655" s="8">
        <v>-0.0008</v>
      </c>
    </row>
    <row r="656" spans="1:7">
      <c r="A656" s="10">
        <v>45484</v>
      </c>
      <c r="B656" s="7">
        <v>104.44</v>
      </c>
      <c r="C656" s="7">
        <v>104.99</v>
      </c>
      <c r="D656" s="7">
        <v>105</v>
      </c>
      <c r="E656" s="7">
        <v>104.08</v>
      </c>
      <c r="G656" s="8">
        <v>-0.0058</v>
      </c>
    </row>
    <row r="657" spans="1:7">
      <c r="A657" s="10">
        <v>45485</v>
      </c>
      <c r="B657" s="7">
        <v>104.09</v>
      </c>
      <c r="C657" s="7">
        <v>104.52</v>
      </c>
      <c r="D657" s="7">
        <v>104.55</v>
      </c>
      <c r="E657" s="7">
        <v>104.04</v>
      </c>
      <c r="G657" s="8">
        <v>-0.0033</v>
      </c>
    </row>
    <row r="658" spans="1:7">
      <c r="A658" s="10">
        <v>45488</v>
      </c>
      <c r="B658" s="7">
        <v>104.19</v>
      </c>
      <c r="C658" s="7">
        <v>104.08</v>
      </c>
      <c r="D658" s="7">
        <v>104.32</v>
      </c>
      <c r="E658" s="7">
        <v>104.03</v>
      </c>
      <c r="G658" s="8">
        <v>0.0009</v>
      </c>
    </row>
    <row r="659" spans="1:7">
      <c r="A659" s="10">
        <v>45489</v>
      </c>
      <c r="B659" s="7">
        <v>104.27</v>
      </c>
      <c r="C659" s="7">
        <v>104.25</v>
      </c>
      <c r="D659" s="7">
        <v>104.51</v>
      </c>
      <c r="E659" s="7">
        <v>104.2</v>
      </c>
      <c r="G659" s="8">
        <v>0.0008</v>
      </c>
    </row>
    <row r="660" spans="1:7">
      <c r="A660" s="10">
        <v>45490</v>
      </c>
      <c r="B660" s="7">
        <v>103.75</v>
      </c>
      <c r="C660" s="7">
        <v>104.22</v>
      </c>
      <c r="D660" s="7">
        <v>104.29</v>
      </c>
      <c r="E660" s="7">
        <v>103.65</v>
      </c>
      <c r="G660" s="8">
        <v>-0.005</v>
      </c>
    </row>
    <row r="661" spans="1:7">
      <c r="A661" s="10">
        <v>45491</v>
      </c>
      <c r="B661" s="7">
        <v>104.17</v>
      </c>
      <c r="C661" s="7">
        <v>103.7</v>
      </c>
      <c r="D661" s="7">
        <v>104.23</v>
      </c>
      <c r="E661" s="7">
        <v>103.65</v>
      </c>
      <c r="G661" s="8">
        <v>0.0041</v>
      </c>
    </row>
    <row r="662" spans="1:7">
      <c r="A662" s="10">
        <v>45492</v>
      </c>
      <c r="B662" s="7">
        <v>104.4</v>
      </c>
      <c r="C662" s="7">
        <v>104.16</v>
      </c>
      <c r="D662" s="7">
        <v>104.42</v>
      </c>
      <c r="E662" s="7">
        <v>104.13</v>
      </c>
      <c r="G662" s="8">
        <v>0.0021</v>
      </c>
    </row>
    <row r="663" spans="1:7">
      <c r="A663" s="10">
        <v>45495</v>
      </c>
      <c r="B663" s="7">
        <v>104.31</v>
      </c>
      <c r="C663" s="7">
        <v>104.36</v>
      </c>
      <c r="D663" s="7">
        <v>104.42</v>
      </c>
      <c r="E663" s="7">
        <v>104.18</v>
      </c>
      <c r="G663" s="8">
        <v>-0.0008</v>
      </c>
    </row>
    <row r="664" spans="1:7">
      <c r="A664" s="10">
        <v>45496</v>
      </c>
      <c r="B664" s="7">
        <v>104.45</v>
      </c>
      <c r="C664" s="7">
        <v>104.31</v>
      </c>
      <c r="D664" s="7">
        <v>104.54</v>
      </c>
      <c r="E664" s="7">
        <v>104.2</v>
      </c>
      <c r="G664" s="8">
        <v>0.0013</v>
      </c>
    </row>
    <row r="665" spans="1:7">
      <c r="A665" s="10">
        <v>45497</v>
      </c>
      <c r="B665" s="7">
        <v>104.39</v>
      </c>
      <c r="C665" s="7">
        <v>104.48</v>
      </c>
      <c r="D665" s="7">
        <v>104.56</v>
      </c>
      <c r="E665" s="7">
        <v>104.12</v>
      </c>
      <c r="G665" s="8">
        <v>-0.0006</v>
      </c>
    </row>
    <row r="666" spans="1:7">
      <c r="A666" s="10">
        <v>45498</v>
      </c>
      <c r="B666" s="7">
        <v>104.36</v>
      </c>
      <c r="C666" s="7">
        <v>104.38</v>
      </c>
      <c r="D666" s="7">
        <v>104.46</v>
      </c>
      <c r="E666" s="7">
        <v>104.08</v>
      </c>
      <c r="G666" s="8">
        <v>-0.0003</v>
      </c>
    </row>
    <row r="667" spans="1:7">
      <c r="A667" s="10">
        <v>45499</v>
      </c>
      <c r="B667" s="7">
        <v>104.32</v>
      </c>
      <c r="C667" s="7">
        <v>104.36</v>
      </c>
      <c r="D667" s="7">
        <v>104.45</v>
      </c>
      <c r="E667" s="7">
        <v>104.21</v>
      </c>
      <c r="G667" s="8">
        <v>-0.0004</v>
      </c>
    </row>
    <row r="668" spans="1:7">
      <c r="A668" s="10">
        <v>45502</v>
      </c>
      <c r="B668" s="7">
        <v>104.56</v>
      </c>
      <c r="C668" s="7">
        <v>104.33</v>
      </c>
      <c r="D668" s="7">
        <v>104.75</v>
      </c>
      <c r="E668" s="7">
        <v>104.14</v>
      </c>
      <c r="G668" s="8">
        <v>0.0024</v>
      </c>
    </row>
    <row r="669" spans="1:7">
      <c r="A669" s="10">
        <v>45503</v>
      </c>
      <c r="B669" s="7">
        <v>104.55</v>
      </c>
      <c r="C669" s="7">
        <v>104.56</v>
      </c>
      <c r="D669" s="7">
        <v>104.8</v>
      </c>
      <c r="E669" s="7">
        <v>104.45</v>
      </c>
      <c r="G669" s="8">
        <v>-0.0001</v>
      </c>
    </row>
    <row r="670" spans="1:7">
      <c r="A670" s="10">
        <v>45504</v>
      </c>
      <c r="B670" s="7">
        <v>104.1</v>
      </c>
      <c r="C670" s="7">
        <v>104.43</v>
      </c>
      <c r="D670" s="7">
        <v>104.53</v>
      </c>
      <c r="E670" s="7">
        <v>103.93</v>
      </c>
      <c r="G670" s="8">
        <v>-0.0044</v>
      </c>
    </row>
    <row r="671" spans="1:7">
      <c r="A671" s="10">
        <v>45505</v>
      </c>
      <c r="B671" s="7">
        <v>104.42</v>
      </c>
      <c r="C671" s="7">
        <v>104.07</v>
      </c>
      <c r="D671" s="7">
        <v>104.45</v>
      </c>
      <c r="E671" s="7">
        <v>103.86</v>
      </c>
      <c r="G671" s="8">
        <v>0.0031</v>
      </c>
    </row>
    <row r="672" spans="1:7">
      <c r="A672" s="10">
        <v>45506</v>
      </c>
      <c r="B672" s="7">
        <v>103.21</v>
      </c>
      <c r="C672" s="7">
        <v>104.31</v>
      </c>
      <c r="D672" s="7">
        <v>104.43</v>
      </c>
      <c r="E672" s="7">
        <v>103.13</v>
      </c>
      <c r="G672" s="8">
        <v>-0.0116</v>
      </c>
    </row>
    <row r="673" spans="1:7">
      <c r="A673" s="10">
        <v>45509</v>
      </c>
      <c r="B673" s="7">
        <v>102.69</v>
      </c>
      <c r="C673" s="7">
        <v>103.22</v>
      </c>
      <c r="D673" s="7">
        <v>103.28</v>
      </c>
      <c r="E673" s="7">
        <v>102.16</v>
      </c>
      <c r="G673" s="8">
        <v>-0.005</v>
      </c>
    </row>
    <row r="674" spans="1:7">
      <c r="A674" s="10">
        <v>45510</v>
      </c>
      <c r="B674" s="7">
        <v>102.97</v>
      </c>
      <c r="C674" s="7">
        <v>102.78</v>
      </c>
      <c r="D674" s="7">
        <v>103.22</v>
      </c>
      <c r="E674" s="7">
        <v>102.7</v>
      </c>
      <c r="G674" s="8">
        <v>0.0027</v>
      </c>
    </row>
    <row r="675" spans="1:7">
      <c r="A675" s="10">
        <v>45511</v>
      </c>
      <c r="B675" s="7">
        <v>103.2</v>
      </c>
      <c r="C675" s="7">
        <v>102.95</v>
      </c>
      <c r="D675" s="7">
        <v>103.37</v>
      </c>
      <c r="E675" s="7">
        <v>102.92</v>
      </c>
      <c r="G675" s="8">
        <v>0.0022</v>
      </c>
    </row>
    <row r="676" spans="1:7">
      <c r="A676" s="10">
        <v>45512</v>
      </c>
      <c r="B676" s="7">
        <v>103.21</v>
      </c>
      <c r="C676" s="7">
        <v>103.09</v>
      </c>
      <c r="D676" s="7">
        <v>103.55</v>
      </c>
      <c r="E676" s="7">
        <v>102.92</v>
      </c>
      <c r="G676" s="8">
        <v>0.0001</v>
      </c>
    </row>
    <row r="677" spans="1:7">
      <c r="A677" s="10">
        <v>45513</v>
      </c>
      <c r="B677" s="7">
        <v>103.14</v>
      </c>
      <c r="C677" s="7">
        <v>103.26</v>
      </c>
      <c r="D677" s="7">
        <v>103.3</v>
      </c>
      <c r="E677" s="7">
        <v>103.03</v>
      </c>
      <c r="G677" s="8">
        <v>-0.0007</v>
      </c>
    </row>
    <row r="678" spans="1:7">
      <c r="A678" s="10">
        <v>45516</v>
      </c>
      <c r="B678" s="7">
        <v>103.14</v>
      </c>
      <c r="C678" s="7">
        <v>103.15</v>
      </c>
      <c r="D678" s="7">
        <v>103.31</v>
      </c>
      <c r="E678" s="7">
        <v>103.09</v>
      </c>
      <c r="G678" s="8">
        <v>0</v>
      </c>
    </row>
    <row r="679" spans="1:7">
      <c r="A679" s="10">
        <v>45517</v>
      </c>
      <c r="B679" s="7">
        <v>102.56</v>
      </c>
      <c r="C679" s="7">
        <v>103.09</v>
      </c>
      <c r="D679" s="7">
        <v>103.27</v>
      </c>
      <c r="E679" s="7">
        <v>102.55</v>
      </c>
      <c r="G679" s="8">
        <v>-0.0056</v>
      </c>
    </row>
    <row r="680" spans="1:7">
      <c r="A680" s="10">
        <v>45518</v>
      </c>
      <c r="B680" s="7">
        <v>102.57</v>
      </c>
      <c r="C680" s="7">
        <v>102.61</v>
      </c>
      <c r="D680" s="7">
        <v>102.72</v>
      </c>
      <c r="E680" s="7">
        <v>102.27</v>
      </c>
      <c r="G680" s="8">
        <v>0.0001</v>
      </c>
    </row>
    <row r="681" spans="1:7">
      <c r="A681" s="10">
        <v>45519</v>
      </c>
      <c r="B681" s="7">
        <v>102.98</v>
      </c>
      <c r="C681" s="7">
        <v>102.63</v>
      </c>
      <c r="D681" s="7">
        <v>103.23</v>
      </c>
      <c r="E681" s="7">
        <v>102.54</v>
      </c>
      <c r="G681" s="8">
        <v>0.004</v>
      </c>
    </row>
    <row r="682" spans="1:7">
      <c r="A682" s="10">
        <v>45520</v>
      </c>
      <c r="B682" s="7">
        <v>102.46</v>
      </c>
      <c r="C682" s="7">
        <v>103.04</v>
      </c>
      <c r="D682" s="7">
        <v>103.05</v>
      </c>
      <c r="E682" s="7">
        <v>102.39</v>
      </c>
      <c r="G682" s="8">
        <v>-0.005</v>
      </c>
    </row>
    <row r="683" spans="1:7">
      <c r="A683" s="10">
        <v>45523</v>
      </c>
      <c r="B683" s="7">
        <v>101.89</v>
      </c>
      <c r="C683" s="7">
        <v>102.4</v>
      </c>
      <c r="D683" s="7">
        <v>102.48</v>
      </c>
      <c r="E683" s="7">
        <v>101.85</v>
      </c>
      <c r="G683" s="8">
        <v>-0.0056</v>
      </c>
    </row>
    <row r="684" spans="1:7">
      <c r="A684" s="10">
        <v>45524</v>
      </c>
      <c r="B684" s="7">
        <v>101.44</v>
      </c>
      <c r="C684" s="7">
        <v>101.88</v>
      </c>
      <c r="D684" s="7">
        <v>102.01</v>
      </c>
      <c r="E684" s="7">
        <v>101.36</v>
      </c>
      <c r="G684" s="8">
        <v>-0.0044</v>
      </c>
    </row>
    <row r="685" spans="1:7">
      <c r="A685" s="10">
        <v>45525</v>
      </c>
      <c r="B685" s="7">
        <v>101.04</v>
      </c>
      <c r="C685" s="7">
        <v>101.35</v>
      </c>
      <c r="D685" s="7">
        <v>101.63</v>
      </c>
      <c r="E685" s="7">
        <v>100.92</v>
      </c>
      <c r="G685" s="8">
        <v>-0.004</v>
      </c>
    </row>
    <row r="686" spans="1:7">
      <c r="A686" s="10">
        <v>45526</v>
      </c>
      <c r="B686" s="7">
        <v>101.51</v>
      </c>
      <c r="C686" s="7">
        <v>101.13</v>
      </c>
      <c r="D686" s="7">
        <v>101.63</v>
      </c>
      <c r="E686" s="7">
        <v>101.09</v>
      </c>
      <c r="G686" s="8">
        <v>0.0046</v>
      </c>
    </row>
    <row r="687" spans="1:7">
      <c r="A687" s="10">
        <v>45527</v>
      </c>
      <c r="B687" s="7">
        <v>100.72</v>
      </c>
      <c r="C687" s="7">
        <v>101.46</v>
      </c>
      <c r="D687" s="7">
        <v>101.55</v>
      </c>
      <c r="E687" s="7">
        <v>100.6</v>
      </c>
      <c r="G687" s="8">
        <v>-0.0078</v>
      </c>
    </row>
    <row r="688" spans="1:7">
      <c r="A688" s="10">
        <v>45530</v>
      </c>
      <c r="B688" s="7">
        <v>100.85</v>
      </c>
      <c r="C688" s="7">
        <v>100.68</v>
      </c>
      <c r="D688" s="7">
        <v>100.92</v>
      </c>
      <c r="E688" s="7">
        <v>100.53</v>
      </c>
      <c r="G688" s="8">
        <v>0.0013</v>
      </c>
    </row>
    <row r="689" spans="1:7">
      <c r="A689" s="10">
        <v>45531</v>
      </c>
      <c r="B689" s="7">
        <v>100.55</v>
      </c>
      <c r="C689" s="7">
        <v>100.82</v>
      </c>
      <c r="D689" s="7">
        <v>100.93</v>
      </c>
      <c r="E689" s="7">
        <v>100.51</v>
      </c>
      <c r="G689" s="8">
        <v>-0.003</v>
      </c>
    </row>
    <row r="690" spans="1:7">
      <c r="A690" s="10">
        <v>45532</v>
      </c>
      <c r="B690" s="7">
        <v>101.09</v>
      </c>
      <c r="C690" s="7">
        <v>100.55</v>
      </c>
      <c r="D690" s="7">
        <v>101.18</v>
      </c>
      <c r="E690" s="7">
        <v>100.55</v>
      </c>
      <c r="G690" s="8">
        <v>0.0054</v>
      </c>
    </row>
    <row r="691" spans="1:7">
      <c r="A691" s="10">
        <v>45533</v>
      </c>
      <c r="B691" s="7">
        <v>101.34</v>
      </c>
      <c r="C691" s="7">
        <v>101</v>
      </c>
      <c r="D691" s="7">
        <v>101.58</v>
      </c>
      <c r="E691" s="7">
        <v>100.89</v>
      </c>
      <c r="G691" s="8">
        <v>0.0025</v>
      </c>
    </row>
    <row r="692" spans="1:7">
      <c r="A692" s="10">
        <v>45534</v>
      </c>
      <c r="B692" s="7">
        <v>101.7</v>
      </c>
      <c r="C692" s="7">
        <v>101.38</v>
      </c>
      <c r="D692" s="7">
        <v>101.78</v>
      </c>
      <c r="E692" s="7">
        <v>101.25</v>
      </c>
      <c r="G692" s="8">
        <v>0.0035</v>
      </c>
    </row>
    <row r="693" spans="1:7">
      <c r="A693" s="10">
        <v>45537</v>
      </c>
      <c r="B693" s="7">
        <v>101.65</v>
      </c>
      <c r="C693" s="7">
        <v>101.73</v>
      </c>
      <c r="D693" s="7">
        <v>101.8</v>
      </c>
      <c r="E693" s="7">
        <v>101.57</v>
      </c>
      <c r="G693" s="8">
        <v>-0.0004</v>
      </c>
    </row>
    <row r="694" spans="1:7">
      <c r="A694" s="10">
        <v>45538</v>
      </c>
      <c r="B694" s="7">
        <v>101.82</v>
      </c>
      <c r="C694" s="7">
        <v>101.66</v>
      </c>
      <c r="D694" s="7">
        <v>101.92</v>
      </c>
      <c r="E694" s="7">
        <v>101.56</v>
      </c>
      <c r="G694" s="8">
        <v>0.0017</v>
      </c>
    </row>
    <row r="695" spans="1:7">
      <c r="A695" s="10">
        <v>45539</v>
      </c>
      <c r="B695" s="7">
        <v>101.36</v>
      </c>
      <c r="C695" s="7">
        <v>101.69</v>
      </c>
      <c r="D695" s="7">
        <v>101.78</v>
      </c>
      <c r="E695" s="7">
        <v>101.24</v>
      </c>
      <c r="G695" s="8">
        <v>-0.0046</v>
      </c>
    </row>
    <row r="696" spans="1:7">
      <c r="A696" s="10">
        <v>45540</v>
      </c>
      <c r="B696" s="7">
        <v>101.11</v>
      </c>
      <c r="C696" s="7">
        <v>101.28</v>
      </c>
      <c r="D696" s="7">
        <v>101.37</v>
      </c>
      <c r="E696" s="7">
        <v>100.96</v>
      </c>
      <c r="G696" s="8">
        <v>-0.0025</v>
      </c>
    </row>
    <row r="697" spans="1:7">
      <c r="A697" s="10">
        <v>45541</v>
      </c>
      <c r="B697" s="7">
        <v>101.18</v>
      </c>
      <c r="C697" s="7">
        <v>101.06</v>
      </c>
      <c r="D697" s="7">
        <v>101.39</v>
      </c>
      <c r="E697" s="7">
        <v>100.58</v>
      </c>
      <c r="G697" s="8">
        <v>0.0007</v>
      </c>
    </row>
    <row r="698" spans="1:7">
      <c r="A698" s="10">
        <v>45544</v>
      </c>
      <c r="B698" s="7">
        <v>101.55</v>
      </c>
      <c r="C698" s="7">
        <v>101.19</v>
      </c>
      <c r="D698" s="7">
        <v>101.7</v>
      </c>
      <c r="E698" s="7">
        <v>101.14</v>
      </c>
      <c r="G698" s="8">
        <v>0.0037</v>
      </c>
    </row>
    <row r="699" spans="1:7">
      <c r="A699" s="10">
        <v>45545</v>
      </c>
      <c r="B699" s="7">
        <v>101.63</v>
      </c>
      <c r="C699" s="7">
        <v>101.64</v>
      </c>
      <c r="D699" s="7">
        <v>101.77</v>
      </c>
      <c r="E699" s="7">
        <v>101.54</v>
      </c>
      <c r="G699" s="8">
        <v>0.0008</v>
      </c>
    </row>
    <row r="700" spans="1:7">
      <c r="A700" s="10">
        <v>45546</v>
      </c>
      <c r="B700" s="7">
        <v>101.68</v>
      </c>
      <c r="C700" s="7">
        <v>101.66</v>
      </c>
      <c r="D700" s="7">
        <v>101.82</v>
      </c>
      <c r="E700" s="7">
        <v>101.27</v>
      </c>
      <c r="G700" s="8">
        <v>0.0005</v>
      </c>
    </row>
    <row r="701" spans="1:7">
      <c r="A701" s="10">
        <v>45547</v>
      </c>
      <c r="B701" s="7">
        <v>101.37</v>
      </c>
      <c r="C701" s="7">
        <v>101.78</v>
      </c>
      <c r="D701" s="7">
        <v>101.84</v>
      </c>
      <c r="E701" s="7">
        <v>101.22</v>
      </c>
      <c r="G701" s="8">
        <v>-0.0031</v>
      </c>
    </row>
    <row r="702" spans="1:7">
      <c r="A702" s="10">
        <v>45548</v>
      </c>
      <c r="B702" s="7">
        <v>101.11</v>
      </c>
      <c r="C702" s="7">
        <v>101.2</v>
      </c>
      <c r="D702" s="7">
        <v>101.2</v>
      </c>
      <c r="E702" s="7">
        <v>100.88</v>
      </c>
      <c r="G702" s="8">
        <v>-0.0025</v>
      </c>
    </row>
    <row r="703" spans="1:7">
      <c r="A703" s="10">
        <v>45551</v>
      </c>
      <c r="B703" s="7">
        <v>100.76</v>
      </c>
      <c r="C703" s="7">
        <v>101.04</v>
      </c>
      <c r="D703" s="7">
        <v>101.1</v>
      </c>
      <c r="E703" s="7">
        <v>100.59</v>
      </c>
      <c r="G703" s="8">
        <v>-0.0035</v>
      </c>
    </row>
    <row r="704" spans="1:7">
      <c r="A704" s="10">
        <v>45552</v>
      </c>
      <c r="B704" s="7">
        <v>100.89</v>
      </c>
      <c r="C704" s="7">
        <v>100.76</v>
      </c>
      <c r="D704" s="7">
        <v>101.03</v>
      </c>
      <c r="E704" s="7">
        <v>100.57</v>
      </c>
      <c r="G704" s="8">
        <v>0.0013</v>
      </c>
    </row>
    <row r="705" spans="1:7">
      <c r="A705" s="10">
        <v>45553</v>
      </c>
      <c r="B705" s="7">
        <v>100.6</v>
      </c>
      <c r="C705" s="7">
        <v>100.94</v>
      </c>
      <c r="D705" s="7">
        <v>101.15</v>
      </c>
      <c r="E705" s="7">
        <v>100.21</v>
      </c>
      <c r="G705" s="8">
        <v>-0.003</v>
      </c>
    </row>
    <row r="706" spans="1:7">
      <c r="A706" s="10">
        <v>45554</v>
      </c>
      <c r="B706" s="7">
        <v>100.61</v>
      </c>
      <c r="C706" s="7">
        <v>101.01</v>
      </c>
      <c r="D706" s="7">
        <v>101.47</v>
      </c>
      <c r="E706" s="7">
        <v>100.52</v>
      </c>
      <c r="G706" s="8">
        <v>0.0002</v>
      </c>
    </row>
    <row r="707" spans="1:7">
      <c r="A707" s="10">
        <v>45555</v>
      </c>
      <c r="B707" s="7">
        <v>100.72</v>
      </c>
      <c r="C707" s="7">
        <v>100.68</v>
      </c>
      <c r="D707" s="7">
        <v>101.01</v>
      </c>
      <c r="E707" s="7">
        <v>100.41</v>
      </c>
      <c r="G707" s="8">
        <v>0.0011</v>
      </c>
    </row>
    <row r="708" spans="1:7">
      <c r="A708" s="10">
        <v>45558</v>
      </c>
      <c r="B708" s="7">
        <v>100.85</v>
      </c>
      <c r="C708" s="7">
        <v>100.74</v>
      </c>
      <c r="D708" s="7">
        <v>101.23</v>
      </c>
      <c r="E708" s="7">
        <v>100.71</v>
      </c>
      <c r="G708" s="8">
        <v>0.0013</v>
      </c>
    </row>
    <row r="709" spans="1:7">
      <c r="A709" s="10">
        <v>45559</v>
      </c>
      <c r="B709" s="7">
        <v>100.47</v>
      </c>
      <c r="C709" s="7">
        <v>100.97</v>
      </c>
      <c r="D709" s="7">
        <v>101.05</v>
      </c>
      <c r="E709" s="7">
        <v>100.34</v>
      </c>
      <c r="G709" s="8">
        <v>-0.0038</v>
      </c>
    </row>
    <row r="710" spans="1:7">
      <c r="A710" s="10">
        <v>45560</v>
      </c>
      <c r="B710" s="7">
        <v>100.91</v>
      </c>
      <c r="C710" s="7">
        <v>100.28</v>
      </c>
      <c r="D710" s="7">
        <v>100.99</v>
      </c>
      <c r="E710" s="7">
        <v>100.22</v>
      </c>
      <c r="G710" s="8">
        <v>0.0044</v>
      </c>
    </row>
    <row r="711" spans="1:7">
      <c r="A711" s="10">
        <v>45561</v>
      </c>
      <c r="B711" s="7">
        <v>100.52</v>
      </c>
      <c r="C711" s="7">
        <v>100.93</v>
      </c>
      <c r="D711" s="7">
        <v>100.97</v>
      </c>
      <c r="E711" s="7">
        <v>100.48</v>
      </c>
      <c r="G711" s="8">
        <v>-0.0039</v>
      </c>
    </row>
    <row r="712" spans="1:7">
      <c r="A712" s="10">
        <v>45562</v>
      </c>
      <c r="B712" s="7">
        <v>100.38</v>
      </c>
      <c r="C712" s="7">
        <v>100.59</v>
      </c>
      <c r="D712" s="7">
        <v>100.88</v>
      </c>
      <c r="E712" s="7">
        <v>100.16</v>
      </c>
      <c r="G712" s="8">
        <v>-0.0014</v>
      </c>
    </row>
    <row r="713" spans="1:7">
      <c r="A713" s="10">
        <v>45565</v>
      </c>
      <c r="B713" s="7">
        <v>100.78</v>
      </c>
      <c r="C713" s="7">
        <v>100.42</v>
      </c>
      <c r="D713" s="7">
        <v>100.92</v>
      </c>
      <c r="E713" s="7">
        <v>100.18</v>
      </c>
      <c r="G713" s="8">
        <v>0.004</v>
      </c>
    </row>
    <row r="714" spans="1:7">
      <c r="A714" s="10">
        <v>45566</v>
      </c>
      <c r="B714" s="7">
        <v>101.19</v>
      </c>
      <c r="C714" s="7">
        <v>100.74</v>
      </c>
      <c r="D714" s="7">
        <v>101.39</v>
      </c>
      <c r="E714" s="7">
        <v>100.7</v>
      </c>
      <c r="G714" s="8">
        <v>0.0041</v>
      </c>
    </row>
    <row r="715" spans="1:7">
      <c r="A715" s="10">
        <v>45567</v>
      </c>
      <c r="B715" s="7">
        <v>101.68</v>
      </c>
      <c r="C715" s="7">
        <v>101.24</v>
      </c>
      <c r="D715" s="7">
        <v>101.69</v>
      </c>
      <c r="E715" s="7">
        <v>101.16</v>
      </c>
      <c r="G715" s="8">
        <v>0.0048</v>
      </c>
    </row>
    <row r="716" spans="1:7">
      <c r="A716" s="10">
        <v>45568</v>
      </c>
      <c r="B716" s="7">
        <v>101.99</v>
      </c>
      <c r="C716" s="7">
        <v>101.64</v>
      </c>
      <c r="D716" s="7">
        <v>102.1</v>
      </c>
      <c r="E716" s="7">
        <v>101.63</v>
      </c>
      <c r="G716" s="8">
        <v>0.0031</v>
      </c>
    </row>
    <row r="717" spans="1:7">
      <c r="A717" s="10">
        <v>45569</v>
      </c>
      <c r="B717" s="7">
        <v>102.52</v>
      </c>
      <c r="C717" s="7">
        <v>101.91</v>
      </c>
      <c r="D717" s="7">
        <v>102.69</v>
      </c>
      <c r="E717" s="7">
        <v>101.81</v>
      </c>
      <c r="G717" s="8">
        <v>0.0052</v>
      </c>
    </row>
    <row r="718" spans="1:7">
      <c r="A718" s="10">
        <v>45572</v>
      </c>
      <c r="B718" s="7">
        <v>102.54</v>
      </c>
      <c r="C718" s="7">
        <v>102.49</v>
      </c>
      <c r="D718" s="7">
        <v>102.62</v>
      </c>
      <c r="E718" s="7">
        <v>102.37</v>
      </c>
      <c r="G718" s="8">
        <v>0.0002</v>
      </c>
    </row>
    <row r="719" spans="1:7">
      <c r="A719" s="10">
        <v>45573</v>
      </c>
      <c r="B719" s="7">
        <v>102.55</v>
      </c>
      <c r="C719" s="7">
        <v>102.46</v>
      </c>
      <c r="D719" s="7">
        <v>102.64</v>
      </c>
      <c r="E719" s="7">
        <v>102.29</v>
      </c>
      <c r="G719" s="8">
        <v>0.0001</v>
      </c>
    </row>
    <row r="720" spans="1:7">
      <c r="A720" s="10">
        <v>45574</v>
      </c>
      <c r="B720" s="7">
        <v>102.93</v>
      </c>
      <c r="C720" s="7">
        <v>102.49</v>
      </c>
      <c r="D720" s="7">
        <v>102.93</v>
      </c>
      <c r="E720" s="7">
        <v>102.46</v>
      </c>
      <c r="G720" s="8">
        <v>0.0037</v>
      </c>
    </row>
    <row r="721" spans="1:7">
      <c r="A721" s="10">
        <v>45575</v>
      </c>
      <c r="B721" s="7">
        <v>102.99</v>
      </c>
      <c r="C721" s="7">
        <v>102.88</v>
      </c>
      <c r="D721" s="7">
        <v>103.18</v>
      </c>
      <c r="E721" s="7">
        <v>102.72</v>
      </c>
      <c r="G721" s="8">
        <v>0.0006</v>
      </c>
    </row>
    <row r="722" spans="1:7">
      <c r="A722" s="10">
        <v>45576</v>
      </c>
      <c r="B722" s="7">
        <v>102.89</v>
      </c>
      <c r="C722" s="7">
        <v>102.88</v>
      </c>
      <c r="D722" s="7">
        <v>102.99</v>
      </c>
      <c r="E722" s="7">
        <v>102.77</v>
      </c>
      <c r="G722" s="8">
        <v>-0.001</v>
      </c>
    </row>
    <row r="723" spans="1:7">
      <c r="A723" s="10">
        <v>45579</v>
      </c>
      <c r="B723" s="7">
        <v>103.3</v>
      </c>
      <c r="C723" s="7">
        <v>102.92</v>
      </c>
      <c r="D723" s="7">
        <v>103.36</v>
      </c>
      <c r="E723" s="7">
        <v>102.93</v>
      </c>
      <c r="G723" s="8">
        <v>0.004</v>
      </c>
    </row>
    <row r="724" spans="1:7">
      <c r="A724" s="10">
        <v>45580</v>
      </c>
      <c r="B724" s="7">
        <v>103.26</v>
      </c>
      <c r="C724" s="7">
        <v>103.21</v>
      </c>
      <c r="D724" s="7">
        <v>103.35</v>
      </c>
      <c r="E724" s="7">
        <v>103.03</v>
      </c>
      <c r="G724" s="8">
        <v>-0.0004</v>
      </c>
    </row>
    <row r="725" spans="1:7">
      <c r="A725" s="10">
        <v>45581</v>
      </c>
      <c r="B725" s="7">
        <v>103.59</v>
      </c>
      <c r="C725" s="7">
        <v>103.26</v>
      </c>
      <c r="D725" s="7">
        <v>103.61</v>
      </c>
      <c r="E725" s="7">
        <v>103.17</v>
      </c>
      <c r="G725" s="8">
        <v>0.0032</v>
      </c>
    </row>
    <row r="726" spans="1:7">
      <c r="A726" s="10">
        <v>45582</v>
      </c>
      <c r="B726" s="7">
        <v>103.82</v>
      </c>
      <c r="C726" s="7">
        <v>103.56</v>
      </c>
      <c r="D726" s="7">
        <v>103.87</v>
      </c>
      <c r="E726" s="7">
        <v>103.44</v>
      </c>
      <c r="G726" s="8">
        <v>0.0023</v>
      </c>
    </row>
    <row r="727" spans="1:7">
      <c r="A727" s="10">
        <v>45583</v>
      </c>
      <c r="B727" s="7">
        <v>103.49</v>
      </c>
      <c r="C727" s="7">
        <v>103.81</v>
      </c>
      <c r="D727" s="7">
        <v>103.81</v>
      </c>
      <c r="E727" s="7">
        <v>103.46</v>
      </c>
      <c r="G727" s="8">
        <v>-0.0032</v>
      </c>
    </row>
    <row r="728" spans="1:7">
      <c r="A728" s="10">
        <v>45586</v>
      </c>
      <c r="B728" s="7">
        <v>104.01</v>
      </c>
      <c r="C728" s="7">
        <v>103.46</v>
      </c>
      <c r="D728" s="7">
        <v>104.02</v>
      </c>
      <c r="E728" s="7">
        <v>103.42</v>
      </c>
      <c r="G728" s="8">
        <v>0.005</v>
      </c>
    </row>
    <row r="729" spans="1:7">
      <c r="A729" s="10">
        <v>45587</v>
      </c>
      <c r="B729" s="7">
        <v>104.07</v>
      </c>
      <c r="C729" s="7">
        <v>103.97</v>
      </c>
      <c r="D729" s="7">
        <v>104.13</v>
      </c>
      <c r="E729" s="7">
        <v>103.82</v>
      </c>
      <c r="G729" s="8">
        <v>0.0006</v>
      </c>
    </row>
    <row r="730" spans="1:7">
      <c r="A730" s="10">
        <v>45588</v>
      </c>
      <c r="B730" s="7">
        <v>104.43</v>
      </c>
      <c r="C730" s="7">
        <v>104.09</v>
      </c>
      <c r="D730" s="7">
        <v>104.57</v>
      </c>
      <c r="E730" s="7">
        <v>104.09</v>
      </c>
      <c r="G730" s="8">
        <v>0.0034</v>
      </c>
    </row>
    <row r="731" spans="1:7">
      <c r="A731" s="10">
        <v>45589</v>
      </c>
      <c r="B731" s="7">
        <v>104.06</v>
      </c>
      <c r="C731" s="7">
        <v>104.43</v>
      </c>
      <c r="D731" s="7">
        <v>104.46</v>
      </c>
      <c r="E731" s="7">
        <v>104.01</v>
      </c>
      <c r="G731" s="8">
        <v>-0.0036</v>
      </c>
    </row>
    <row r="732" spans="1:7">
      <c r="A732" s="10">
        <v>45590</v>
      </c>
      <c r="B732" s="7">
        <v>104.26</v>
      </c>
      <c r="C732" s="7">
        <v>104.04</v>
      </c>
      <c r="D732" s="7">
        <v>104.34</v>
      </c>
      <c r="E732" s="7">
        <v>103.93</v>
      </c>
      <c r="G732" s="8">
        <v>0.0019</v>
      </c>
    </row>
    <row r="733" spans="1:7">
      <c r="A733" s="10">
        <v>45593</v>
      </c>
      <c r="B733" s="7">
        <v>104.32</v>
      </c>
      <c r="C733" s="7">
        <v>104.32</v>
      </c>
      <c r="D733" s="7">
        <v>104.57</v>
      </c>
      <c r="E733" s="7">
        <v>104.12</v>
      </c>
      <c r="G733" s="8">
        <v>0.0006</v>
      </c>
    </row>
    <row r="734" spans="1:7">
      <c r="A734" s="10">
        <v>45594</v>
      </c>
      <c r="B734" s="7">
        <v>104.32</v>
      </c>
      <c r="C734" s="7">
        <v>104.31</v>
      </c>
      <c r="D734" s="7">
        <v>104.64</v>
      </c>
      <c r="E734" s="7">
        <v>104.21</v>
      </c>
      <c r="G734" s="8">
        <v>0</v>
      </c>
    </row>
    <row r="735" spans="1:7">
      <c r="A735" s="10">
        <v>45595</v>
      </c>
      <c r="B735" s="7">
        <v>103.99</v>
      </c>
      <c r="C735" s="7">
        <v>104.25</v>
      </c>
      <c r="D735" s="7">
        <v>104.44</v>
      </c>
      <c r="E735" s="7">
        <v>103.98</v>
      </c>
      <c r="G735" s="8">
        <v>-0.0031</v>
      </c>
    </row>
    <row r="736" spans="1:7">
      <c r="A736" s="10">
        <v>45596</v>
      </c>
      <c r="B736" s="7">
        <v>103.98</v>
      </c>
      <c r="C736" s="7">
        <v>104.08</v>
      </c>
      <c r="D736" s="7">
        <v>104.22</v>
      </c>
      <c r="E736" s="7">
        <v>103.82</v>
      </c>
      <c r="G736" s="8">
        <v>-0.0002</v>
      </c>
    </row>
    <row r="737" spans="1:7">
      <c r="A737" s="10">
        <v>45597</v>
      </c>
      <c r="B737" s="7">
        <v>104.28</v>
      </c>
      <c r="C737" s="7">
        <v>103.86</v>
      </c>
      <c r="D737" s="7">
        <v>104.35</v>
      </c>
      <c r="E737" s="7">
        <v>103.68</v>
      </c>
      <c r="G737" s="8">
        <v>0.0029</v>
      </c>
    </row>
    <row r="738" spans="1:7">
      <c r="A738" s="10">
        <v>45600</v>
      </c>
      <c r="B738" s="7">
        <v>103.89</v>
      </c>
      <c r="C738" s="7">
        <v>104.32</v>
      </c>
      <c r="D738" s="7">
        <v>103.97</v>
      </c>
      <c r="E738" s="7">
        <v>103.58</v>
      </c>
      <c r="G738" s="8">
        <v>-0.0038</v>
      </c>
    </row>
    <row r="739" spans="1:7">
      <c r="A739" s="10">
        <v>45601</v>
      </c>
      <c r="B739" s="7">
        <v>103.42</v>
      </c>
      <c r="C739" s="7">
        <v>103.91</v>
      </c>
      <c r="D739" s="7">
        <v>103.96</v>
      </c>
      <c r="E739" s="7">
        <v>103.37</v>
      </c>
      <c r="G739" s="8">
        <v>-0.0044</v>
      </c>
    </row>
    <row r="740" spans="1:7">
      <c r="A740" s="10">
        <v>45602</v>
      </c>
      <c r="B740" s="7">
        <v>105.09</v>
      </c>
      <c r="C740" s="7">
        <v>103.7</v>
      </c>
      <c r="D740" s="7">
        <v>105.44</v>
      </c>
      <c r="E740" s="7">
        <v>103.7</v>
      </c>
      <c r="G740" s="8">
        <v>0.0161</v>
      </c>
    </row>
    <row r="741" spans="1:7">
      <c r="A741" s="10">
        <v>45603</v>
      </c>
      <c r="B741" s="7">
        <v>104.51</v>
      </c>
      <c r="C741" s="7">
        <v>105.15</v>
      </c>
      <c r="D741" s="7">
        <v>105.25</v>
      </c>
      <c r="E741" s="7">
        <v>104.19</v>
      </c>
      <c r="G741" s="8">
        <v>-0.0055</v>
      </c>
    </row>
    <row r="742" spans="1:7">
      <c r="A742" s="10">
        <v>45604</v>
      </c>
      <c r="B742" s="7">
        <v>105</v>
      </c>
      <c r="C742" s="7">
        <v>104.45</v>
      </c>
      <c r="D742" s="7">
        <v>105.21</v>
      </c>
      <c r="E742" s="7">
        <v>104.34</v>
      </c>
      <c r="G742" s="8">
        <v>0.0047</v>
      </c>
    </row>
    <row r="743" spans="1:7">
      <c r="A743" s="10">
        <v>45607</v>
      </c>
      <c r="B743" s="7">
        <v>105.54</v>
      </c>
      <c r="C743" s="7">
        <v>104.95</v>
      </c>
      <c r="D743" s="7">
        <v>105.71</v>
      </c>
      <c r="E743" s="7">
        <v>104.93</v>
      </c>
      <c r="G743" s="8">
        <v>0.0052</v>
      </c>
    </row>
    <row r="744" spans="1:7">
      <c r="A744" s="10">
        <v>45608</v>
      </c>
      <c r="B744" s="7">
        <v>106.02</v>
      </c>
      <c r="C744" s="7">
        <v>105.49</v>
      </c>
      <c r="D744" s="7">
        <v>106.18</v>
      </c>
      <c r="E744" s="7">
        <v>105.49</v>
      </c>
      <c r="G744" s="8">
        <v>0.0046</v>
      </c>
    </row>
    <row r="745" spans="1:7">
      <c r="A745" s="10">
        <v>45609</v>
      </c>
      <c r="B745" s="7">
        <v>106.48</v>
      </c>
      <c r="C745" s="7">
        <v>106.02</v>
      </c>
      <c r="D745" s="7">
        <v>106.54</v>
      </c>
      <c r="E745" s="7">
        <v>105.72</v>
      </c>
      <c r="G745" s="8">
        <v>0.0043</v>
      </c>
    </row>
    <row r="746" spans="1:7">
      <c r="A746" s="10">
        <v>45610</v>
      </c>
      <c r="B746" s="7">
        <v>106.67</v>
      </c>
      <c r="C746" s="7">
        <v>106.5</v>
      </c>
      <c r="D746" s="7">
        <v>107.06</v>
      </c>
      <c r="E746" s="7">
        <v>106.38</v>
      </c>
      <c r="G746" s="8">
        <v>0.0018</v>
      </c>
    </row>
    <row r="747" spans="1:7">
      <c r="A747" s="10">
        <v>45611</v>
      </c>
      <c r="B747" s="7">
        <v>106.69</v>
      </c>
      <c r="C747" s="7">
        <v>106.9</v>
      </c>
      <c r="D747" s="7">
        <v>106.96</v>
      </c>
      <c r="E747" s="7">
        <v>106.33</v>
      </c>
      <c r="G747" s="8">
        <v>0.0001</v>
      </c>
    </row>
    <row r="748" spans="1:7">
      <c r="A748" s="10">
        <v>45614</v>
      </c>
      <c r="B748" s="7">
        <v>106.28</v>
      </c>
      <c r="C748" s="7">
        <v>106.67</v>
      </c>
      <c r="D748" s="7">
        <v>106.81</v>
      </c>
      <c r="E748" s="7">
        <v>106.13</v>
      </c>
      <c r="G748" s="8">
        <v>-0.0039</v>
      </c>
    </row>
    <row r="749" spans="1:7">
      <c r="A749" s="10">
        <v>45615</v>
      </c>
      <c r="B749" s="7">
        <v>106.21</v>
      </c>
      <c r="C749" s="7">
        <v>106.26</v>
      </c>
      <c r="D749" s="7">
        <v>106.63</v>
      </c>
      <c r="E749" s="7">
        <v>106.11</v>
      </c>
      <c r="G749" s="8">
        <v>-0.0006</v>
      </c>
    </row>
    <row r="750" spans="1:7">
      <c r="A750" s="10">
        <v>45616</v>
      </c>
      <c r="B750" s="7">
        <v>106.68</v>
      </c>
      <c r="C750" s="7">
        <v>106.12</v>
      </c>
      <c r="D750" s="7">
        <v>106.92</v>
      </c>
      <c r="E750" s="7">
        <v>106.11</v>
      </c>
      <c r="G750" s="8">
        <v>0.0045</v>
      </c>
    </row>
    <row r="751" spans="1:7">
      <c r="A751" s="10">
        <v>45617</v>
      </c>
      <c r="B751" s="7">
        <v>106.97</v>
      </c>
      <c r="C751" s="7">
        <v>106.59</v>
      </c>
      <c r="D751" s="7">
        <v>107.16</v>
      </c>
      <c r="E751" s="7">
        <v>106.46</v>
      </c>
      <c r="G751" s="8">
        <v>0.0027</v>
      </c>
    </row>
    <row r="752" spans="1:7">
      <c r="A752" s="10">
        <v>45618</v>
      </c>
      <c r="B752" s="7">
        <v>107.55</v>
      </c>
      <c r="C752" s="7">
        <v>107.06</v>
      </c>
      <c r="D752" s="7">
        <v>108.07</v>
      </c>
      <c r="E752" s="7">
        <v>106.92</v>
      </c>
      <c r="G752" s="8">
        <v>0.0054</v>
      </c>
    </row>
    <row r="753" spans="1:7">
      <c r="A753" s="10">
        <v>45621</v>
      </c>
      <c r="B753" s="7">
        <v>106.82</v>
      </c>
      <c r="C753" s="7">
        <v>107.49</v>
      </c>
      <c r="D753" s="7">
        <v>107.49</v>
      </c>
      <c r="E753" s="7">
        <v>106.58</v>
      </c>
      <c r="G753" s="8">
        <v>-0.0069</v>
      </c>
    </row>
    <row r="754" spans="1:7">
      <c r="A754" s="10">
        <v>45622</v>
      </c>
      <c r="B754" s="7">
        <v>107.01</v>
      </c>
      <c r="C754" s="7">
        <v>107.49</v>
      </c>
      <c r="D754" s="7">
        <v>107.5</v>
      </c>
      <c r="E754" s="7">
        <v>106.49</v>
      </c>
      <c r="G754" s="8">
        <v>0.0018</v>
      </c>
    </row>
    <row r="755" spans="1:7">
      <c r="A755" s="10">
        <v>45623</v>
      </c>
      <c r="B755" s="7">
        <v>106.08</v>
      </c>
      <c r="C755" s="7">
        <v>106.82</v>
      </c>
      <c r="D755" s="7">
        <v>106.92</v>
      </c>
      <c r="E755" s="7">
        <v>105.86</v>
      </c>
      <c r="G755" s="8">
        <v>-0.0087</v>
      </c>
    </row>
    <row r="756" spans="1:7">
      <c r="A756" s="10">
        <v>45624</v>
      </c>
      <c r="B756" s="7">
        <v>106.14</v>
      </c>
      <c r="C756" s="7">
        <v>106.16</v>
      </c>
      <c r="D756" s="7">
        <v>106.42</v>
      </c>
      <c r="E756" s="7">
        <v>106.1</v>
      </c>
      <c r="G756" s="8">
        <v>0.0005</v>
      </c>
    </row>
    <row r="757" spans="1:7">
      <c r="A757" s="10">
        <v>45625</v>
      </c>
      <c r="B757" s="7">
        <v>105.74</v>
      </c>
      <c r="C757" s="7">
        <v>105.95</v>
      </c>
      <c r="D757" s="7">
        <v>106.13</v>
      </c>
      <c r="E757" s="7">
        <v>105.61</v>
      </c>
      <c r="G757" s="8">
        <v>-0.0038</v>
      </c>
    </row>
    <row r="758" spans="1:7">
      <c r="A758" s="10">
        <v>45628</v>
      </c>
      <c r="B758" s="7">
        <v>106.45</v>
      </c>
      <c r="C758" s="7">
        <v>105.83</v>
      </c>
      <c r="D758" s="7">
        <v>106.73</v>
      </c>
      <c r="E758" s="7">
        <v>105.82</v>
      </c>
      <c r="G758" s="8">
        <v>0.0067</v>
      </c>
    </row>
    <row r="759" spans="1:7">
      <c r="A759" s="10">
        <v>45629</v>
      </c>
      <c r="B759" s="7">
        <v>106.36</v>
      </c>
      <c r="C759" s="7">
        <v>106.48</v>
      </c>
      <c r="D759" s="7">
        <v>106.6</v>
      </c>
      <c r="E759" s="7">
        <v>106.09</v>
      </c>
      <c r="G759" s="8">
        <v>-0.0008</v>
      </c>
    </row>
    <row r="760" spans="1:7">
      <c r="A760" s="10">
        <v>45630</v>
      </c>
      <c r="B760" s="7">
        <v>106.32</v>
      </c>
      <c r="C760" s="7">
        <v>106.43</v>
      </c>
      <c r="D760" s="7">
        <v>106.72</v>
      </c>
      <c r="E760" s="7">
        <v>106.09</v>
      </c>
      <c r="G760" s="8">
        <v>-0.0004</v>
      </c>
    </row>
    <row r="761" spans="1:7">
      <c r="A761" s="10">
        <v>45631</v>
      </c>
      <c r="B761" s="7">
        <v>105.71</v>
      </c>
      <c r="C761" s="7">
        <v>106.34</v>
      </c>
      <c r="D761" s="7">
        <v>106.37</v>
      </c>
      <c r="E761" s="7">
        <v>105.7</v>
      </c>
      <c r="G761" s="8">
        <v>-0.0057</v>
      </c>
    </row>
    <row r="762" spans="1:7">
      <c r="A762" s="10">
        <v>45632</v>
      </c>
      <c r="B762" s="7">
        <v>106.06</v>
      </c>
      <c r="C762" s="7">
        <v>105.79</v>
      </c>
      <c r="D762" s="7">
        <v>106.16</v>
      </c>
      <c r="E762" s="7">
        <v>105.42</v>
      </c>
      <c r="G762" s="8">
        <v>0.0032</v>
      </c>
    </row>
    <row r="763" spans="1:7">
      <c r="A763" s="10">
        <v>45635</v>
      </c>
      <c r="B763" s="7">
        <v>106.14</v>
      </c>
      <c r="C763" s="7">
        <v>105.97</v>
      </c>
      <c r="D763" s="7">
        <v>106.21</v>
      </c>
      <c r="E763" s="7">
        <v>105.8</v>
      </c>
      <c r="G763" s="8">
        <v>0.0008</v>
      </c>
    </row>
    <row r="764" spans="1:7">
      <c r="A764" s="10">
        <v>45636</v>
      </c>
      <c r="B764" s="7">
        <v>106.4</v>
      </c>
      <c r="C764" s="7">
        <v>106.18</v>
      </c>
      <c r="D764" s="7">
        <v>106.64</v>
      </c>
      <c r="E764" s="7">
        <v>106.04</v>
      </c>
      <c r="G764" s="8">
        <v>0.0024</v>
      </c>
    </row>
    <row r="765" spans="1:7">
      <c r="A765" s="10">
        <v>45637</v>
      </c>
      <c r="B765" s="7">
        <v>106.71</v>
      </c>
      <c r="C765" s="7">
        <v>106.37</v>
      </c>
      <c r="D765" s="7">
        <v>106.81</v>
      </c>
      <c r="E765" s="7">
        <v>106.27</v>
      </c>
      <c r="G765" s="8">
        <v>0.0029</v>
      </c>
    </row>
    <row r="766" spans="1:7">
      <c r="A766" s="10">
        <v>45638</v>
      </c>
      <c r="B766" s="7">
        <v>106.96</v>
      </c>
      <c r="C766" s="7">
        <v>106.57</v>
      </c>
      <c r="D766" s="7">
        <v>107.04</v>
      </c>
      <c r="E766" s="7">
        <v>106.35</v>
      </c>
      <c r="G766" s="8">
        <v>0.0023</v>
      </c>
    </row>
    <row r="767" spans="1:7">
      <c r="A767" s="10">
        <v>45639</v>
      </c>
      <c r="B767" s="7">
        <v>107</v>
      </c>
      <c r="C767" s="7">
        <v>106.97</v>
      </c>
      <c r="D767" s="7">
        <v>107.19</v>
      </c>
      <c r="E767" s="7">
        <v>106.72</v>
      </c>
      <c r="G767" s="8">
        <v>0.0004</v>
      </c>
    </row>
    <row r="768" spans="1:7">
      <c r="A768" s="10">
        <v>45642</v>
      </c>
      <c r="B768" s="7">
        <v>106.86</v>
      </c>
      <c r="C768" s="7">
        <v>106.94</v>
      </c>
      <c r="D768" s="7">
        <v>107.17</v>
      </c>
      <c r="E768" s="7">
        <v>106.75</v>
      </c>
      <c r="G768" s="8">
        <v>-0.0014</v>
      </c>
    </row>
    <row r="769" spans="1:7">
      <c r="A769" s="10">
        <v>45643</v>
      </c>
      <c r="B769" s="7">
        <v>106.96</v>
      </c>
      <c r="C769" s="7">
        <v>106.82</v>
      </c>
      <c r="D769" s="7">
        <v>107.08</v>
      </c>
      <c r="E769" s="7">
        <v>106.7</v>
      </c>
      <c r="G769" s="8">
        <v>0.0009</v>
      </c>
    </row>
    <row r="770" spans="1:7">
      <c r="A770" s="10">
        <v>45644</v>
      </c>
      <c r="B770" s="7">
        <v>108.03</v>
      </c>
      <c r="C770" s="7">
        <v>106.93</v>
      </c>
      <c r="D770" s="7">
        <v>108.27</v>
      </c>
      <c r="E770" s="7">
        <v>106.82</v>
      </c>
      <c r="G770" s="8">
        <v>0.01</v>
      </c>
    </row>
    <row r="771" spans="1:7">
      <c r="A771" s="10">
        <v>45645</v>
      </c>
      <c r="B771" s="7">
        <v>108.41</v>
      </c>
      <c r="C771" s="7">
        <v>108.1</v>
      </c>
      <c r="D771" s="7">
        <v>108.49</v>
      </c>
      <c r="E771" s="7">
        <v>107.82</v>
      </c>
      <c r="G771" s="8">
        <v>0.0035</v>
      </c>
    </row>
    <row r="772" spans="1:7">
      <c r="A772" s="10">
        <v>45646</v>
      </c>
      <c r="B772" s="7">
        <v>107.62</v>
      </c>
      <c r="C772" s="7">
        <v>108.48</v>
      </c>
      <c r="D772" s="7">
        <v>108.54</v>
      </c>
      <c r="E772" s="7">
        <v>107.59</v>
      </c>
      <c r="G772" s="8">
        <v>-0.0073</v>
      </c>
    </row>
    <row r="773" spans="1:7">
      <c r="A773" s="10">
        <v>45649</v>
      </c>
      <c r="B773" s="7">
        <v>108.04</v>
      </c>
      <c r="C773" s="7">
        <v>107.82</v>
      </c>
      <c r="D773" s="7">
        <v>108.28</v>
      </c>
      <c r="E773" s="7">
        <v>107.68</v>
      </c>
      <c r="G773" s="8">
        <v>0.0039</v>
      </c>
    </row>
    <row r="774" spans="1:7">
      <c r="A774" s="10">
        <v>45650</v>
      </c>
      <c r="B774" s="7">
        <v>108.2</v>
      </c>
      <c r="C774" s="7">
        <v>108.16</v>
      </c>
      <c r="D774" s="7">
        <v>108.3</v>
      </c>
      <c r="E774" s="7">
        <v>107.92</v>
      </c>
      <c r="G774" s="8">
        <v>0.0015</v>
      </c>
    </row>
    <row r="775" spans="1:7">
      <c r="A775" s="10">
        <v>45652</v>
      </c>
      <c r="B775" s="7">
        <v>108.13</v>
      </c>
      <c r="C775" s="7">
        <v>108.17</v>
      </c>
      <c r="D775" s="7">
        <v>108.3</v>
      </c>
      <c r="E775" s="7">
        <v>108.03</v>
      </c>
      <c r="G775" s="8">
        <v>-0.0007</v>
      </c>
    </row>
    <row r="776" spans="1:7">
      <c r="A776" s="10">
        <v>45653</v>
      </c>
      <c r="B776" s="7">
        <v>108</v>
      </c>
      <c r="C776" s="7">
        <v>108.08</v>
      </c>
      <c r="D776" s="7">
        <v>108.2</v>
      </c>
      <c r="E776" s="7">
        <v>107.87</v>
      </c>
      <c r="G776" s="8">
        <v>-0.0012</v>
      </c>
    </row>
    <row r="777" spans="1:7">
      <c r="A777" s="10">
        <v>45656</v>
      </c>
      <c r="B777" s="7">
        <v>108.13</v>
      </c>
      <c r="C777" s="7">
        <v>108.01</v>
      </c>
      <c r="D777" s="7">
        <v>108.38</v>
      </c>
      <c r="E777" s="7">
        <v>107.74</v>
      </c>
      <c r="G777" s="8">
        <v>0.0012</v>
      </c>
    </row>
    <row r="778" spans="1:7">
      <c r="A778" s="10">
        <v>45657</v>
      </c>
      <c r="B778" s="7">
        <v>108.49</v>
      </c>
      <c r="C778" s="7">
        <v>108.09</v>
      </c>
      <c r="D778" s="7">
        <v>108.58</v>
      </c>
      <c r="E778" s="7">
        <v>107.87</v>
      </c>
      <c r="G778" s="8">
        <v>0.0033</v>
      </c>
    </row>
    <row r="779" spans="1:7">
      <c r="A779" s="10">
        <v>45659</v>
      </c>
      <c r="B779" s="7">
        <v>109.39</v>
      </c>
      <c r="C779" s="7">
        <v>108.53</v>
      </c>
      <c r="D779" s="7">
        <v>109.53</v>
      </c>
      <c r="E779" s="7">
        <v>108.27</v>
      </c>
      <c r="G779" s="8">
        <v>0.0084</v>
      </c>
    </row>
    <row r="780" spans="1:7">
      <c r="A780" s="10">
        <v>45660</v>
      </c>
      <c r="B780" s="7">
        <v>108.95</v>
      </c>
      <c r="C780" s="7">
        <v>109.2</v>
      </c>
      <c r="D780" s="7">
        <v>109.22</v>
      </c>
      <c r="E780" s="7">
        <v>108.9</v>
      </c>
      <c r="G780" s="8">
        <v>-0.004</v>
      </c>
    </row>
    <row r="781" spans="1:7">
      <c r="A781" s="10">
        <v>45663</v>
      </c>
      <c r="B781" s="7">
        <v>108.26</v>
      </c>
      <c r="C781" s="7">
        <v>108.92</v>
      </c>
      <c r="D781" s="7">
        <v>109.07</v>
      </c>
      <c r="E781" s="7">
        <v>107.75</v>
      </c>
      <c r="G781" s="8">
        <v>-0.0064</v>
      </c>
    </row>
    <row r="782" spans="1:7">
      <c r="A782" s="10">
        <v>45664</v>
      </c>
      <c r="B782" s="7">
        <v>108.54</v>
      </c>
      <c r="C782" s="7">
        <v>108.34</v>
      </c>
      <c r="D782" s="7">
        <v>108.7</v>
      </c>
      <c r="E782" s="7">
        <v>107.85</v>
      </c>
      <c r="G782" s="8">
        <v>0.0026</v>
      </c>
    </row>
    <row r="783" spans="1:7">
      <c r="A783" s="10">
        <v>45665</v>
      </c>
      <c r="B783" s="7">
        <v>109.09</v>
      </c>
      <c r="C783" s="7">
        <v>108.62</v>
      </c>
      <c r="D783" s="7">
        <v>109.38</v>
      </c>
      <c r="E783" s="7">
        <v>108.55</v>
      </c>
      <c r="G783" s="8">
        <v>0.005</v>
      </c>
    </row>
    <row r="784" spans="1:7">
      <c r="A784" s="10">
        <v>45666</v>
      </c>
      <c r="B784" s="7">
        <v>109.18</v>
      </c>
      <c r="C784" s="7">
        <v>109.08</v>
      </c>
      <c r="D784" s="7">
        <v>109.38</v>
      </c>
      <c r="E784" s="7">
        <v>108.94</v>
      </c>
      <c r="G784" s="8">
        <v>0.0008</v>
      </c>
    </row>
    <row r="785" spans="1:7">
      <c r="A785" s="10">
        <v>45667</v>
      </c>
      <c r="B785" s="7">
        <v>109.65</v>
      </c>
      <c r="C785" s="7">
        <v>109.23</v>
      </c>
      <c r="D785" s="7">
        <v>109.97</v>
      </c>
      <c r="E785" s="7">
        <v>109.08</v>
      </c>
      <c r="G785" s="8">
        <v>0.0043</v>
      </c>
    </row>
    <row r="786" spans="1:7">
      <c r="A786" s="10">
        <v>45670</v>
      </c>
      <c r="B786" s="7">
        <v>109.96</v>
      </c>
      <c r="C786" s="7">
        <v>109.64</v>
      </c>
      <c r="D786" s="7">
        <v>110.18</v>
      </c>
      <c r="E786" s="7">
        <v>109.35</v>
      </c>
      <c r="G786" s="8">
        <v>0.0028</v>
      </c>
    </row>
    <row r="787" spans="1:7">
      <c r="A787" s="10">
        <v>45671</v>
      </c>
      <c r="B787" s="7">
        <v>109.27</v>
      </c>
      <c r="C787" s="7">
        <v>109.57</v>
      </c>
      <c r="D787" s="7">
        <v>109.76</v>
      </c>
      <c r="E787" s="7">
        <v>109.18</v>
      </c>
      <c r="G787" s="8">
        <v>-0.0062</v>
      </c>
    </row>
    <row r="788" spans="1:7">
      <c r="A788" s="10">
        <v>45672</v>
      </c>
      <c r="B788" s="7">
        <v>109.09</v>
      </c>
      <c r="C788" s="7">
        <v>109.23</v>
      </c>
      <c r="D788" s="7">
        <v>109.38</v>
      </c>
      <c r="E788" s="7">
        <v>108.6</v>
      </c>
      <c r="G788" s="8">
        <v>-0.0017</v>
      </c>
    </row>
    <row r="789" spans="1:7">
      <c r="A789" s="10">
        <v>45673</v>
      </c>
      <c r="B789" s="7">
        <v>108.96</v>
      </c>
      <c r="C789" s="7">
        <v>109.07</v>
      </c>
      <c r="D789" s="7">
        <v>109.38</v>
      </c>
      <c r="E789" s="7">
        <v>108.83</v>
      </c>
      <c r="G789" s="8">
        <v>-0.0012</v>
      </c>
    </row>
    <row r="790" spans="1:7">
      <c r="A790" s="10">
        <v>45674</v>
      </c>
      <c r="B790" s="7">
        <v>109.35</v>
      </c>
      <c r="C790" s="7">
        <v>108.93</v>
      </c>
      <c r="D790" s="7">
        <v>109.42</v>
      </c>
      <c r="E790" s="7">
        <v>108.83</v>
      </c>
      <c r="G790" s="8">
        <v>0.0036</v>
      </c>
    </row>
    <row r="791" spans="1:7">
      <c r="A791" s="10">
        <v>45677</v>
      </c>
      <c r="B791" s="7">
        <v>109.35</v>
      </c>
      <c r="C791" s="7">
        <v>109.4</v>
      </c>
      <c r="D791" s="7">
        <v>109.47</v>
      </c>
      <c r="E791" s="7">
        <v>107.92</v>
      </c>
      <c r="G791" s="8">
        <v>0</v>
      </c>
    </row>
    <row r="792" spans="1:7">
      <c r="A792" s="10">
        <v>45678</v>
      </c>
      <c r="B792" s="7">
        <v>108.06</v>
      </c>
      <c r="C792" s="7">
        <v>107.98</v>
      </c>
      <c r="D792" s="7">
        <v>108.79</v>
      </c>
      <c r="E792" s="7">
        <v>107.92</v>
      </c>
      <c r="G792" s="8">
        <v>-0.0118</v>
      </c>
    </row>
    <row r="793" spans="1:7">
      <c r="A793" s="10">
        <v>45679</v>
      </c>
      <c r="B793" s="7">
        <v>108.17</v>
      </c>
      <c r="C793" s="7">
        <v>107.99</v>
      </c>
      <c r="D793" s="7">
        <v>108.28</v>
      </c>
      <c r="E793" s="7">
        <v>107.75</v>
      </c>
      <c r="G793" s="8">
        <v>0.001</v>
      </c>
    </row>
    <row r="794" spans="1:7">
      <c r="A794" s="10">
        <v>45680</v>
      </c>
      <c r="B794" s="7">
        <v>108.05</v>
      </c>
      <c r="C794" s="7">
        <v>108.25</v>
      </c>
      <c r="D794" s="7">
        <v>108.51</v>
      </c>
      <c r="E794" s="7">
        <v>107.92</v>
      </c>
      <c r="G794" s="8">
        <v>-0.0011</v>
      </c>
    </row>
    <row r="795" spans="1:7">
      <c r="A795" s="10">
        <v>45681</v>
      </c>
      <c r="B795" s="7">
        <v>107.44</v>
      </c>
      <c r="C795" s="7">
        <v>108.09</v>
      </c>
      <c r="D795" s="7">
        <v>108.19</v>
      </c>
      <c r="E795" s="7">
        <v>107.22</v>
      </c>
      <c r="G795" s="8">
        <v>-0.0056</v>
      </c>
    </row>
    <row r="796" spans="1:7">
      <c r="A796" s="10">
        <v>45684</v>
      </c>
      <c r="B796" s="7">
        <v>107.34</v>
      </c>
      <c r="C796" s="7">
        <v>107.46</v>
      </c>
      <c r="D796" s="7">
        <v>107.81</v>
      </c>
      <c r="E796" s="7">
        <v>106.97</v>
      </c>
      <c r="G796" s="8">
        <v>-0.0009</v>
      </c>
    </row>
    <row r="797" spans="1:7">
      <c r="A797" s="10">
        <v>45685</v>
      </c>
      <c r="B797" s="7">
        <v>107.87</v>
      </c>
      <c r="C797" s="7">
        <v>107.71</v>
      </c>
      <c r="D797" s="7">
        <v>108.05</v>
      </c>
      <c r="E797" s="7">
        <v>107.69</v>
      </c>
      <c r="G797" s="8">
        <v>0.0049</v>
      </c>
    </row>
    <row r="798" spans="1:7">
      <c r="A798" s="10">
        <v>45686</v>
      </c>
      <c r="B798" s="7">
        <v>108</v>
      </c>
      <c r="C798" s="7">
        <v>107.89</v>
      </c>
      <c r="D798" s="7">
        <v>108.29</v>
      </c>
      <c r="E798" s="7">
        <v>107.75</v>
      </c>
      <c r="G798" s="8">
        <v>0.0012</v>
      </c>
    </row>
    <row r="799" spans="1:7">
      <c r="A799" s="10">
        <v>45687</v>
      </c>
      <c r="B799" s="7">
        <v>107.8</v>
      </c>
      <c r="C799" s="7">
        <v>107.86</v>
      </c>
      <c r="D799" s="7">
        <v>108.24</v>
      </c>
      <c r="E799" s="7">
        <v>107.5</v>
      </c>
      <c r="G799" s="8">
        <v>-0.0019</v>
      </c>
    </row>
    <row r="800" spans="1:7">
      <c r="A800" s="10">
        <v>45688</v>
      </c>
      <c r="B800" s="7">
        <v>108.37</v>
      </c>
      <c r="C800" s="7">
        <v>108.16</v>
      </c>
      <c r="D800" s="7">
        <v>108.57</v>
      </c>
      <c r="E800" s="7">
        <v>107.79</v>
      </c>
      <c r="G800" s="8">
        <v>0.0053</v>
      </c>
    </row>
    <row r="801" spans="1:7">
      <c r="A801" s="10">
        <v>45691</v>
      </c>
      <c r="B801" s="7">
        <v>108.99</v>
      </c>
      <c r="C801" s="7">
        <v>108.5</v>
      </c>
      <c r="D801" s="7">
        <v>109.88</v>
      </c>
      <c r="E801" s="7">
        <v>108.34</v>
      </c>
      <c r="G801" s="8">
        <v>0.0057</v>
      </c>
    </row>
    <row r="802" spans="1:7">
      <c r="A802" s="10">
        <v>45692</v>
      </c>
      <c r="B802" s="7">
        <v>107.96</v>
      </c>
      <c r="C802" s="7">
        <v>108.68</v>
      </c>
      <c r="D802" s="7">
        <v>109.04</v>
      </c>
      <c r="E802" s="7">
        <v>107.92</v>
      </c>
      <c r="G802" s="8">
        <v>-0.0095</v>
      </c>
    </row>
    <row r="803" spans="1:7">
      <c r="A803" s="10">
        <v>45693</v>
      </c>
      <c r="B803" s="7">
        <v>107.58</v>
      </c>
      <c r="C803" s="7">
        <v>108.05</v>
      </c>
      <c r="D803" s="7">
        <v>108.05</v>
      </c>
      <c r="E803" s="7">
        <v>107.3</v>
      </c>
      <c r="G803" s="8">
        <v>-0.0035</v>
      </c>
    </row>
    <row r="804" spans="1:7">
      <c r="A804" s="10">
        <v>45694</v>
      </c>
      <c r="B804" s="7">
        <v>107.69</v>
      </c>
      <c r="C804" s="7">
        <v>107.62</v>
      </c>
      <c r="D804" s="7">
        <v>108.1</v>
      </c>
      <c r="E804" s="7">
        <v>107.54</v>
      </c>
      <c r="G804" s="8">
        <v>0.001</v>
      </c>
    </row>
    <row r="805" spans="1:7">
      <c r="A805" s="10">
        <v>45695</v>
      </c>
      <c r="B805" s="7">
        <v>108.04</v>
      </c>
      <c r="C805" s="7">
        <v>107.7</v>
      </c>
      <c r="D805" s="7">
        <v>108.32</v>
      </c>
      <c r="E805" s="7">
        <v>107.52</v>
      </c>
      <c r="G805" s="8">
        <v>0.0033</v>
      </c>
    </row>
    <row r="806" spans="1:7">
      <c r="A806" s="10">
        <v>45698</v>
      </c>
      <c r="B806" s="7">
        <v>108.32</v>
      </c>
      <c r="C806" s="7">
        <v>108.1</v>
      </c>
      <c r="D806" s="7">
        <v>108.44</v>
      </c>
      <c r="E806" s="7">
        <v>108.09</v>
      </c>
      <c r="G806" s="8">
        <v>0.0026</v>
      </c>
    </row>
    <row r="807" spans="1:7">
      <c r="A807" s="10">
        <v>45699</v>
      </c>
      <c r="B807" s="7">
        <v>107.96</v>
      </c>
      <c r="C807" s="7">
        <v>108.34</v>
      </c>
      <c r="D807" s="7">
        <v>108.46</v>
      </c>
      <c r="E807" s="7">
        <v>107.78</v>
      </c>
      <c r="G807" s="8">
        <v>-0.0033</v>
      </c>
    </row>
    <row r="808" spans="1:7">
      <c r="A808" s="10">
        <v>45700</v>
      </c>
      <c r="B808" s="7">
        <v>107.94</v>
      </c>
      <c r="C808" s="7">
        <v>108.01</v>
      </c>
      <c r="D808" s="7">
        <v>108.52</v>
      </c>
      <c r="E808" s="7">
        <v>107.63</v>
      </c>
      <c r="G808" s="8">
        <v>-0.0002</v>
      </c>
    </row>
    <row r="809" spans="1:7">
      <c r="A809" s="10">
        <v>45701</v>
      </c>
      <c r="B809" s="7">
        <v>107.31</v>
      </c>
      <c r="C809" s="7">
        <v>107.92</v>
      </c>
      <c r="D809" s="7">
        <v>108</v>
      </c>
      <c r="E809" s="7">
        <v>107.03</v>
      </c>
      <c r="G809" s="8">
        <v>-0.0058</v>
      </c>
    </row>
    <row r="810" spans="1:7">
      <c r="A810" s="10">
        <v>45702</v>
      </c>
      <c r="B810" s="7">
        <v>106.71</v>
      </c>
      <c r="C810" s="7">
        <v>107.12</v>
      </c>
      <c r="D810" s="7">
        <v>107.18</v>
      </c>
      <c r="E810" s="7">
        <v>106.57</v>
      </c>
      <c r="G810" s="8">
        <v>-0.0056</v>
      </c>
    </row>
    <row r="811" spans="1:7">
      <c r="A811" s="10">
        <v>45705</v>
      </c>
      <c r="B811" s="7">
        <v>106.57</v>
      </c>
      <c r="C811" s="7">
        <v>106.79</v>
      </c>
      <c r="D811" s="7">
        <v>106.9</v>
      </c>
      <c r="E811" s="7">
        <v>106.57</v>
      </c>
      <c r="G811" s="8">
        <v>-0.0013</v>
      </c>
    </row>
    <row r="812" spans="1:7">
      <c r="A812" s="10">
        <v>45706</v>
      </c>
      <c r="B812" s="7">
        <v>107.05</v>
      </c>
      <c r="C812" s="7">
        <v>106.82</v>
      </c>
      <c r="D812" s="7">
        <v>107.12</v>
      </c>
      <c r="E812" s="7">
        <v>106.81</v>
      </c>
      <c r="G812" s="8">
        <v>0.0045</v>
      </c>
    </row>
    <row r="813" spans="1:7">
      <c r="A813" s="10">
        <v>45707</v>
      </c>
      <c r="B813" s="7">
        <v>107.17</v>
      </c>
      <c r="C813" s="7">
        <v>107.03</v>
      </c>
      <c r="D813" s="7">
        <v>107.38</v>
      </c>
      <c r="E813" s="7">
        <v>106.88</v>
      </c>
      <c r="G813" s="8">
        <v>0.0011</v>
      </c>
    </row>
    <row r="814" spans="1:7">
      <c r="A814" s="10">
        <v>45708</v>
      </c>
      <c r="B814" s="7">
        <v>106.37</v>
      </c>
      <c r="C814" s="7">
        <v>107.12</v>
      </c>
      <c r="D814" s="7">
        <v>107.15</v>
      </c>
      <c r="E814" s="7">
        <v>106.33</v>
      </c>
      <c r="G814" s="8">
        <v>-0.0075</v>
      </c>
    </row>
    <row r="815" spans="1:7">
      <c r="A815" s="10">
        <v>45709</v>
      </c>
      <c r="B815" s="7">
        <v>106.61</v>
      </c>
      <c r="C815" s="7">
        <v>106.46</v>
      </c>
      <c r="D815" s="7">
        <v>106.75</v>
      </c>
      <c r="E815" s="7">
        <v>106.38</v>
      </c>
      <c r="G815" s="8">
        <v>0.0023</v>
      </c>
    </row>
    <row r="816" spans="1:7">
      <c r="A816" s="10">
        <v>45712</v>
      </c>
      <c r="B816" s="7">
        <v>106.6</v>
      </c>
      <c r="C816" s="7">
        <v>106.64</v>
      </c>
      <c r="D816" s="7">
        <v>106.75</v>
      </c>
      <c r="E816" s="7">
        <v>106.13</v>
      </c>
      <c r="G816" s="8">
        <v>-0.0002</v>
      </c>
    </row>
    <row r="817" spans="1:7">
      <c r="A817" s="10">
        <v>45713</v>
      </c>
      <c r="B817" s="7">
        <v>106.31</v>
      </c>
      <c r="C817" s="7">
        <v>106.77</v>
      </c>
      <c r="D817" s="7">
        <v>106.79</v>
      </c>
      <c r="E817" s="7">
        <v>106.19</v>
      </c>
      <c r="G817" s="8">
        <v>-0.0027</v>
      </c>
    </row>
    <row r="818" spans="1:7">
      <c r="A818" s="10">
        <v>45714</v>
      </c>
      <c r="B818" s="7">
        <v>106.42</v>
      </c>
      <c r="C818" s="7">
        <v>106.17</v>
      </c>
      <c r="D818" s="7">
        <v>106.65</v>
      </c>
      <c r="E818" s="7">
        <v>106.16</v>
      </c>
      <c r="G818" s="8">
        <v>0.001</v>
      </c>
    </row>
    <row r="819" spans="1:7">
      <c r="A819" s="10">
        <v>45715</v>
      </c>
      <c r="B819" s="7">
        <v>107.24</v>
      </c>
      <c r="C819" s="7">
        <v>106.53</v>
      </c>
      <c r="D819" s="7">
        <v>107.35</v>
      </c>
      <c r="E819" s="7">
        <v>106.52</v>
      </c>
      <c r="G819" s="8">
        <v>0.0078</v>
      </c>
    </row>
    <row r="820" spans="1:7">
      <c r="A820" s="10">
        <v>45716</v>
      </c>
      <c r="B820" s="7">
        <v>107.61</v>
      </c>
      <c r="C820" s="7">
        <v>107.25</v>
      </c>
      <c r="D820" s="7">
        <v>107.66</v>
      </c>
      <c r="E820" s="7">
        <v>107.18</v>
      </c>
      <c r="G820" s="8">
        <v>0.0035</v>
      </c>
    </row>
    <row r="821" spans="1:7">
      <c r="A821" s="10">
        <v>45719</v>
      </c>
      <c r="B821" s="7">
        <v>106.75</v>
      </c>
      <c r="C821" s="7">
        <v>107.56</v>
      </c>
      <c r="D821" s="7">
        <v>107.56</v>
      </c>
      <c r="E821" s="7">
        <v>106.47</v>
      </c>
      <c r="G821" s="8">
        <v>-0.0081</v>
      </c>
    </row>
    <row r="822" spans="1:7">
      <c r="A822" s="10">
        <v>45720</v>
      </c>
      <c r="B822" s="7">
        <v>105.74</v>
      </c>
      <c r="C822" s="7">
        <v>106.56</v>
      </c>
      <c r="D822" s="7">
        <v>106.65</v>
      </c>
      <c r="E822" s="7">
        <v>105.53</v>
      </c>
      <c r="G822" s="8">
        <v>-0.0094</v>
      </c>
    </row>
    <row r="823" spans="1:7">
      <c r="A823" s="10">
        <v>45721</v>
      </c>
      <c r="B823" s="7">
        <v>104.3</v>
      </c>
      <c r="C823" s="7">
        <v>105.62</v>
      </c>
      <c r="D823" s="7">
        <v>105.77</v>
      </c>
      <c r="E823" s="7">
        <v>104.26</v>
      </c>
      <c r="G823" s="8">
        <v>-0.0136</v>
      </c>
    </row>
    <row r="824" spans="1:7">
      <c r="A824" s="10">
        <v>45722</v>
      </c>
      <c r="B824" s="7">
        <v>104.06</v>
      </c>
      <c r="C824" s="7">
        <v>104.32</v>
      </c>
      <c r="D824" s="7">
        <v>104.39</v>
      </c>
      <c r="E824" s="7">
        <v>103.76</v>
      </c>
      <c r="G824" s="8">
        <v>-0.0023</v>
      </c>
    </row>
    <row r="825" spans="1:7">
      <c r="A825" s="10">
        <v>45723</v>
      </c>
      <c r="B825" s="7">
        <v>103.84</v>
      </c>
      <c r="C825" s="7">
        <v>104.11</v>
      </c>
      <c r="D825" s="7">
        <v>104.24</v>
      </c>
      <c r="E825" s="7">
        <v>103.46</v>
      </c>
      <c r="G825" s="8">
        <v>-0.0022</v>
      </c>
    </row>
    <row r="826" spans="1:7">
      <c r="A826" s="10">
        <v>45726</v>
      </c>
      <c r="B826" s="7">
        <v>103.97</v>
      </c>
      <c r="C826" s="7">
        <v>103.9</v>
      </c>
      <c r="D826" s="7">
        <v>104.06</v>
      </c>
      <c r="E826" s="7">
        <v>103.56</v>
      </c>
      <c r="G826" s="8">
        <v>0.0013</v>
      </c>
    </row>
    <row r="827" spans="1:7">
      <c r="A827" s="10">
        <v>45727</v>
      </c>
      <c r="B827" s="7">
        <v>103.29</v>
      </c>
      <c r="C827" s="7">
        <v>103.84</v>
      </c>
      <c r="D827" s="7">
        <v>103.92</v>
      </c>
      <c r="E827" s="7">
        <v>103.22</v>
      </c>
      <c r="G827" s="8">
        <v>-0.0066</v>
      </c>
    </row>
    <row r="828" spans="1:7">
      <c r="A828" s="10">
        <v>45728</v>
      </c>
      <c r="B828" s="7">
        <v>103.61</v>
      </c>
      <c r="C828" s="7">
        <v>103.42</v>
      </c>
      <c r="D828" s="7">
        <v>103.78</v>
      </c>
      <c r="E828" s="7">
        <v>103.35</v>
      </c>
      <c r="G828" s="8">
        <v>0.0031</v>
      </c>
    </row>
    <row r="829" spans="1:7">
      <c r="A829" s="10">
        <v>45729</v>
      </c>
      <c r="B829" s="7">
        <v>103.83</v>
      </c>
      <c r="C829" s="7">
        <v>103.61</v>
      </c>
      <c r="D829" s="7">
        <v>104.08</v>
      </c>
      <c r="E829" s="7">
        <v>103.51</v>
      </c>
      <c r="G829" s="8">
        <v>0.0021</v>
      </c>
    </row>
    <row r="830" spans="1:7">
      <c r="A830" s="10">
        <v>45730</v>
      </c>
      <c r="B830" s="7">
        <v>103.72</v>
      </c>
      <c r="C830" s="7">
        <v>103.83</v>
      </c>
      <c r="D830" s="7">
        <v>104.09</v>
      </c>
      <c r="E830" s="7">
        <v>103.57</v>
      </c>
      <c r="G830" s="8">
        <v>-0.0011</v>
      </c>
    </row>
    <row r="831" spans="1:7">
      <c r="A831" s="10">
        <v>45733</v>
      </c>
      <c r="B831" s="7">
        <v>103.37</v>
      </c>
      <c r="C831" s="7">
        <v>103.74</v>
      </c>
      <c r="D831" s="7">
        <v>103.81</v>
      </c>
      <c r="E831" s="7">
        <v>103.3</v>
      </c>
      <c r="G831" s="8">
        <v>-0.0034</v>
      </c>
    </row>
    <row r="832" spans="1:7">
      <c r="A832" s="10">
        <v>45734</v>
      </c>
      <c r="B832" s="7">
        <v>103.24</v>
      </c>
      <c r="C832" s="7">
        <v>103.44</v>
      </c>
      <c r="D832" s="7">
        <v>103.68</v>
      </c>
      <c r="E832" s="7">
        <v>103.2</v>
      </c>
      <c r="G832" s="8">
        <v>-0.0012</v>
      </c>
    </row>
    <row r="833" spans="1:7">
      <c r="A833" s="10">
        <v>45735</v>
      </c>
      <c r="B833" s="7">
        <v>103.43</v>
      </c>
      <c r="C833" s="7">
        <v>103.27</v>
      </c>
      <c r="D833" s="7">
        <v>103.91</v>
      </c>
      <c r="E833" s="7">
        <v>103.25</v>
      </c>
      <c r="G833" s="8">
        <v>0.0018</v>
      </c>
    </row>
    <row r="834" spans="1:7">
      <c r="A834" s="10">
        <v>45736</v>
      </c>
      <c r="B834" s="7">
        <v>103.85</v>
      </c>
      <c r="C834" s="7">
        <v>103.43</v>
      </c>
      <c r="D834" s="7">
        <v>104.13</v>
      </c>
      <c r="E834" s="7">
        <v>103.32</v>
      </c>
      <c r="G834" s="8">
        <v>0.0041</v>
      </c>
    </row>
    <row r="835" spans="1:7">
      <c r="A835" s="10">
        <v>45737</v>
      </c>
      <c r="B835" s="7">
        <v>104.09</v>
      </c>
      <c r="C835" s="7">
        <v>103.78</v>
      </c>
      <c r="D835" s="7">
        <v>104.22</v>
      </c>
      <c r="E835" s="7">
        <v>103.76</v>
      </c>
      <c r="G835" s="8">
        <v>0.0023</v>
      </c>
    </row>
    <row r="836" spans="1:7">
      <c r="A836" s="10">
        <v>45740</v>
      </c>
      <c r="B836" s="7">
        <v>104.26</v>
      </c>
      <c r="C836" s="7">
        <v>104.15</v>
      </c>
      <c r="D836" s="7">
        <v>104.44</v>
      </c>
      <c r="E836" s="7">
        <v>103.84</v>
      </c>
      <c r="G836" s="8">
        <v>0.0017</v>
      </c>
    </row>
    <row r="837" spans="1:7">
      <c r="A837" s="10">
        <v>45741</v>
      </c>
      <c r="B837" s="7">
        <v>104.18</v>
      </c>
      <c r="C837" s="7">
        <v>104.33</v>
      </c>
      <c r="D837" s="7">
        <v>104.47</v>
      </c>
      <c r="E837" s="7">
        <v>103.94</v>
      </c>
      <c r="G837" s="8">
        <v>-0.0007</v>
      </c>
    </row>
    <row r="838" spans="1:7">
      <c r="A838" s="10">
        <v>45742</v>
      </c>
      <c r="B838" s="7">
        <v>104.55</v>
      </c>
      <c r="C838" s="7">
        <v>104.25</v>
      </c>
      <c r="D838" s="7">
        <v>104.68</v>
      </c>
      <c r="E838" s="7">
        <v>104.18</v>
      </c>
      <c r="G838" s="8">
        <v>0.0035</v>
      </c>
    </row>
    <row r="839" spans="1:7">
      <c r="A839" s="10">
        <v>45743</v>
      </c>
      <c r="B839" s="7">
        <v>104.33</v>
      </c>
      <c r="C839" s="7">
        <v>104.65</v>
      </c>
      <c r="D839" s="7">
        <v>104.65</v>
      </c>
      <c r="E839" s="7">
        <v>104.07</v>
      </c>
      <c r="G839" s="8">
        <v>-0.002</v>
      </c>
    </row>
    <row r="840" spans="1:7">
      <c r="A840" s="10">
        <v>45744</v>
      </c>
      <c r="B840" s="7">
        <v>104.04</v>
      </c>
      <c r="C840" s="7">
        <v>104.28</v>
      </c>
      <c r="D840" s="7">
        <v>104.5</v>
      </c>
      <c r="E840" s="7">
        <v>103.9</v>
      </c>
      <c r="G840" s="8">
        <v>-0.0028</v>
      </c>
    </row>
    <row r="841" spans="1:7">
      <c r="A841" s="10">
        <v>45747</v>
      </c>
      <c r="B841" s="7">
        <v>104.21</v>
      </c>
      <c r="C841" s="7">
        <v>104.01</v>
      </c>
      <c r="D841" s="7">
        <v>104.39</v>
      </c>
      <c r="E841" s="7">
        <v>103.75</v>
      </c>
      <c r="G841" s="8">
        <v>0.0016</v>
      </c>
    </row>
    <row r="842" spans="1:7">
      <c r="A842" s="10">
        <v>45748</v>
      </c>
      <c r="B842" s="7">
        <v>104.26</v>
      </c>
      <c r="C842" s="7">
        <v>104.18</v>
      </c>
      <c r="D842" s="7">
        <v>104.37</v>
      </c>
      <c r="E842" s="7">
        <v>104.02</v>
      </c>
      <c r="G842" s="8">
        <v>0.0005</v>
      </c>
    </row>
    <row r="843" spans="1:7">
      <c r="A843" s="10">
        <v>45749</v>
      </c>
      <c r="B843" s="7">
        <v>103.81</v>
      </c>
      <c r="C843" s="7">
        <v>104.2</v>
      </c>
      <c r="D843" s="7">
        <v>104.31</v>
      </c>
      <c r="E843" s="7">
        <v>103.37</v>
      </c>
      <c r="G843" s="8">
        <v>-0.0043</v>
      </c>
    </row>
    <row r="844" spans="1:7">
      <c r="A844" s="10">
        <v>45750</v>
      </c>
      <c r="B844" s="7">
        <v>102.07</v>
      </c>
      <c r="C844" s="7">
        <v>103.15</v>
      </c>
      <c r="D844" s="7">
        <v>103.38</v>
      </c>
      <c r="E844" s="7">
        <v>101.27</v>
      </c>
      <c r="G844" s="8">
        <v>-0.0167</v>
      </c>
    </row>
    <row r="845" spans="1:7">
      <c r="A845" s="10">
        <v>45751</v>
      </c>
      <c r="B845" s="7">
        <v>103.02</v>
      </c>
      <c r="C845" s="7">
        <v>101.99</v>
      </c>
      <c r="D845" s="7">
        <v>103.18</v>
      </c>
      <c r="E845" s="7">
        <v>101.54</v>
      </c>
      <c r="G845" s="8">
        <v>0.0093</v>
      </c>
    </row>
    <row r="846" spans="1:7">
      <c r="A846" s="10">
        <v>45754</v>
      </c>
      <c r="B846" s="7">
        <v>103.26</v>
      </c>
      <c r="C846" s="7">
        <v>103.07</v>
      </c>
      <c r="D846" s="7">
        <v>103.54</v>
      </c>
      <c r="E846" s="7">
        <v>102.18</v>
      </c>
      <c r="G846" s="8">
        <v>0.0023</v>
      </c>
    </row>
    <row r="847" spans="1:7">
      <c r="A847" s="10">
        <v>45755</v>
      </c>
      <c r="B847" s="7">
        <v>102.96</v>
      </c>
      <c r="C847" s="7">
        <v>103.43</v>
      </c>
      <c r="D847" s="7">
        <v>103.44</v>
      </c>
      <c r="E847" s="7">
        <v>102.75</v>
      </c>
      <c r="G847" s="8">
        <v>-0.0029</v>
      </c>
    </row>
    <row r="848" spans="1:7">
      <c r="A848" s="10">
        <v>45756</v>
      </c>
      <c r="B848" s="7">
        <v>102.9</v>
      </c>
      <c r="C848" s="7">
        <v>102.75</v>
      </c>
      <c r="D848" s="7">
        <v>103.33</v>
      </c>
      <c r="E848" s="7">
        <v>101.84</v>
      </c>
      <c r="G848" s="8">
        <v>-0.0005</v>
      </c>
    </row>
    <row r="849" spans="1:7">
      <c r="A849" s="10">
        <v>45757</v>
      </c>
      <c r="B849" s="7">
        <v>100.87</v>
      </c>
      <c r="C849" s="7">
        <v>102.99</v>
      </c>
      <c r="D849" s="7">
        <v>103.03</v>
      </c>
      <c r="E849" s="7">
        <v>100.7</v>
      </c>
      <c r="G849" s="8">
        <v>-0.0198</v>
      </c>
    </row>
    <row r="850" spans="1:7">
      <c r="A850" s="10">
        <v>45758</v>
      </c>
      <c r="B850" s="7">
        <v>100.1</v>
      </c>
      <c r="C850" s="7">
        <v>100.78</v>
      </c>
      <c r="D850" s="7">
        <v>100.78</v>
      </c>
      <c r="E850" s="7">
        <v>99.01</v>
      </c>
      <c r="G850" s="8">
        <v>-0.0076</v>
      </c>
    </row>
    <row r="851" spans="1:7">
      <c r="A851" s="10">
        <v>45761</v>
      </c>
      <c r="B851" s="7">
        <v>99.64</v>
      </c>
      <c r="C851" s="7">
        <v>100.02</v>
      </c>
      <c r="D851" s="7">
        <v>100.16</v>
      </c>
      <c r="E851" s="7">
        <v>99.21</v>
      </c>
      <c r="G851" s="8">
        <v>-0.0046</v>
      </c>
    </row>
    <row r="852" spans="1:7">
      <c r="A852" s="10">
        <v>45762</v>
      </c>
      <c r="B852" s="7">
        <v>100.21</v>
      </c>
      <c r="C852" s="7">
        <v>99.81</v>
      </c>
      <c r="D852" s="7">
        <v>100.28</v>
      </c>
      <c r="E852" s="7">
        <v>99.48</v>
      </c>
      <c r="G852" s="8">
        <v>0.0058</v>
      </c>
    </row>
    <row r="853" spans="1:7">
      <c r="A853" s="10">
        <v>45763</v>
      </c>
      <c r="B853" s="7">
        <v>99.38</v>
      </c>
      <c r="C853" s="7">
        <v>100.06</v>
      </c>
      <c r="D853" s="7">
        <v>100.1</v>
      </c>
      <c r="E853" s="7">
        <v>99.17</v>
      </c>
      <c r="G853" s="8">
        <v>-0.0083</v>
      </c>
    </row>
    <row r="854" spans="1:7">
      <c r="A854" s="10">
        <v>45764</v>
      </c>
      <c r="B854" s="7">
        <v>99.38</v>
      </c>
      <c r="C854" s="7">
        <v>99.23</v>
      </c>
      <c r="D854" s="7">
        <v>99.75</v>
      </c>
      <c r="E854" s="7">
        <v>99.22</v>
      </c>
      <c r="G854" s="8">
        <v>0</v>
      </c>
    </row>
    <row r="855" spans="1:7">
      <c r="A855" s="10">
        <v>45768</v>
      </c>
      <c r="B855" s="7">
        <v>98.28</v>
      </c>
      <c r="C855" s="7">
        <v>99.08</v>
      </c>
      <c r="D855" s="7">
        <v>99.21</v>
      </c>
      <c r="E855" s="7">
        <v>97.92</v>
      </c>
      <c r="G855" s="8">
        <v>-0.011</v>
      </c>
    </row>
    <row r="856" spans="1:7">
      <c r="A856" s="10">
        <v>45769</v>
      </c>
      <c r="B856" s="7">
        <v>98.92</v>
      </c>
      <c r="C856" s="7">
        <v>98.3</v>
      </c>
      <c r="D856" s="7">
        <v>99.64</v>
      </c>
      <c r="E856" s="7">
        <v>98.01</v>
      </c>
      <c r="G856" s="8">
        <v>0.0065</v>
      </c>
    </row>
    <row r="857" spans="1:7">
      <c r="A857" s="10">
        <v>45770</v>
      </c>
      <c r="B857" s="7">
        <v>99.84</v>
      </c>
      <c r="C857" s="7">
        <v>99.48</v>
      </c>
      <c r="D857" s="7">
        <v>99.94</v>
      </c>
      <c r="E857" s="7">
        <v>98.86</v>
      </c>
      <c r="G857" s="8">
        <v>0.0094</v>
      </c>
    </row>
    <row r="858" spans="1:7">
      <c r="A858" s="10">
        <v>45771</v>
      </c>
      <c r="B858" s="7">
        <v>99.38</v>
      </c>
      <c r="C858" s="7">
        <v>99.75</v>
      </c>
      <c r="D858" s="7">
        <v>99.84</v>
      </c>
      <c r="E858" s="7">
        <v>99.22</v>
      </c>
      <c r="G858" s="8">
        <v>-0.0047</v>
      </c>
    </row>
    <row r="859" spans="1:7">
      <c r="A859" s="10">
        <v>45772</v>
      </c>
      <c r="B859" s="7">
        <v>99.47</v>
      </c>
      <c r="C859" s="7">
        <v>99.41</v>
      </c>
      <c r="D859" s="7">
        <v>99.89</v>
      </c>
      <c r="E859" s="7">
        <v>99.4</v>
      </c>
      <c r="G859" s="8">
        <v>0.0009</v>
      </c>
    </row>
    <row r="860" spans="1:7">
      <c r="A860" s="10">
        <v>45775</v>
      </c>
      <c r="B860" s="7">
        <v>99.01</v>
      </c>
      <c r="C860" s="7">
        <v>99.61</v>
      </c>
      <c r="D860" s="7">
        <v>99.84</v>
      </c>
      <c r="E860" s="7">
        <v>98.9</v>
      </c>
      <c r="G860" s="8">
        <v>-0.0046</v>
      </c>
    </row>
    <row r="861" spans="1:7">
      <c r="A861" s="10">
        <v>45776</v>
      </c>
      <c r="B861" s="7">
        <v>99.24</v>
      </c>
      <c r="C861" s="7">
        <v>99.04</v>
      </c>
      <c r="D861" s="7">
        <v>99.37</v>
      </c>
      <c r="E861" s="7">
        <v>98.95</v>
      </c>
      <c r="G861" s="8">
        <v>0.0023</v>
      </c>
    </row>
    <row r="862" spans="1:7">
      <c r="A862" s="10">
        <v>45777</v>
      </c>
      <c r="B862" s="7">
        <v>99.47</v>
      </c>
      <c r="C862" s="7">
        <v>99.17</v>
      </c>
      <c r="D862" s="7">
        <v>99.71</v>
      </c>
      <c r="E862" s="7">
        <v>99.14</v>
      </c>
      <c r="G862" s="8">
        <v>0.0023</v>
      </c>
    </row>
    <row r="863" spans="1:7">
      <c r="A863" s="10">
        <v>45778</v>
      </c>
      <c r="B863" s="7">
        <v>100.25</v>
      </c>
      <c r="C863" s="7">
        <v>99.65</v>
      </c>
      <c r="D863" s="7">
        <v>100.38</v>
      </c>
      <c r="E863" s="7">
        <v>99.61</v>
      </c>
      <c r="G863" s="8">
        <v>0.0078</v>
      </c>
    </row>
    <row r="864" spans="1:7">
      <c r="A864" s="10">
        <v>45779</v>
      </c>
      <c r="B864" s="7">
        <v>100.03</v>
      </c>
      <c r="C864" s="7">
        <v>100.18</v>
      </c>
      <c r="D864" s="7">
        <v>100.33</v>
      </c>
      <c r="E864" s="7">
        <v>99.4</v>
      </c>
      <c r="G864" s="8">
        <v>-0.0022</v>
      </c>
    </row>
    <row r="865" spans="1:7">
      <c r="A865" s="10">
        <v>45782</v>
      </c>
      <c r="B865" s="7">
        <v>99.83</v>
      </c>
      <c r="C865" s="7">
        <v>100</v>
      </c>
      <c r="D865" s="7">
        <v>100.05</v>
      </c>
      <c r="E865" s="7">
        <v>99.46</v>
      </c>
      <c r="G865" s="8">
        <v>-0.002</v>
      </c>
    </row>
    <row r="866" spans="1:7">
      <c r="A866" s="10">
        <v>45783</v>
      </c>
      <c r="B866" s="7">
        <v>99.24</v>
      </c>
      <c r="C866" s="7">
        <v>99.83</v>
      </c>
      <c r="D866" s="7">
        <v>100.1</v>
      </c>
      <c r="E866" s="7">
        <v>99.17</v>
      </c>
      <c r="F866" s="7" t="s">
        <v>29</v>
      </c>
      <c r="G866" s="8">
        <v>-0.0059</v>
      </c>
    </row>
    <row r="867" spans="1:7">
      <c r="A867" s="10">
        <v>45784</v>
      </c>
      <c r="B867" s="7">
        <v>99.61</v>
      </c>
      <c r="C867" s="7">
        <v>99.5</v>
      </c>
      <c r="D867" s="7">
        <v>99.97</v>
      </c>
      <c r="E867" s="7">
        <v>99.29</v>
      </c>
      <c r="F867" s="7" t="s">
        <v>29</v>
      </c>
      <c r="G867" s="8">
        <v>0.0038</v>
      </c>
    </row>
    <row r="868" spans="1:7">
      <c r="A868" s="10">
        <v>45785</v>
      </c>
      <c r="B868" s="7">
        <v>100.64</v>
      </c>
      <c r="C868" s="7">
        <v>99.85</v>
      </c>
      <c r="D868" s="7">
        <v>100.76</v>
      </c>
      <c r="E868" s="7">
        <v>99.61</v>
      </c>
      <c r="F868" s="7" t="s">
        <v>29</v>
      </c>
      <c r="G868" s="8">
        <v>0.0103</v>
      </c>
    </row>
    <row r="869" spans="1:7">
      <c r="A869" s="10">
        <v>45786</v>
      </c>
      <c r="B869" s="7">
        <v>100.34</v>
      </c>
      <c r="C869" s="7">
        <v>100.64</v>
      </c>
      <c r="D869" s="7">
        <v>100.86</v>
      </c>
      <c r="E869" s="7">
        <v>100.09</v>
      </c>
      <c r="G869" s="8">
        <v>-0.003</v>
      </c>
    </row>
    <row r="870" spans="1:7">
      <c r="A870" s="10">
        <v>45789</v>
      </c>
      <c r="B870" s="7">
        <v>101.79</v>
      </c>
      <c r="C870" s="7">
        <v>100.69</v>
      </c>
      <c r="D870" s="7">
        <v>101.98</v>
      </c>
      <c r="E870" s="7">
        <v>100.51</v>
      </c>
      <c r="F870" s="7" t="s">
        <v>29</v>
      </c>
      <c r="G870" s="8">
        <v>0.0144</v>
      </c>
    </row>
    <row r="871" spans="1:7">
      <c r="A871" s="10">
        <v>45790</v>
      </c>
      <c r="B871" s="7">
        <v>101</v>
      </c>
      <c r="C871" s="7">
        <v>101.72</v>
      </c>
      <c r="D871" s="7">
        <v>101.76</v>
      </c>
      <c r="E871" s="7">
        <v>100.91</v>
      </c>
      <c r="F871" s="7" t="s">
        <v>29</v>
      </c>
      <c r="G871" s="8">
        <v>-0.0077</v>
      </c>
    </row>
    <row r="872" spans="1:7">
      <c r="A872" s="10">
        <v>45791</v>
      </c>
      <c r="B872" s="7">
        <v>101.04</v>
      </c>
      <c r="C872" s="7">
        <v>100.95</v>
      </c>
      <c r="D872" s="7">
        <v>101.14</v>
      </c>
      <c r="E872" s="7">
        <v>100.27</v>
      </c>
      <c r="F872" s="7" t="s">
        <v>29</v>
      </c>
      <c r="G872" s="8">
        <v>0.0004</v>
      </c>
    </row>
    <row r="873" spans="1:7">
      <c r="A873" s="10">
        <v>45792</v>
      </c>
      <c r="B873" s="7">
        <v>100.88</v>
      </c>
      <c r="C873" s="7">
        <v>100.97</v>
      </c>
      <c r="D873" s="7">
        <v>101.06</v>
      </c>
      <c r="E873" s="7">
        <v>100.59</v>
      </c>
      <c r="F873" s="7" t="s">
        <v>29</v>
      </c>
      <c r="G873" s="8">
        <v>-0.0016</v>
      </c>
    </row>
    <row r="874" spans="1:7">
      <c r="A874" s="10">
        <v>45793</v>
      </c>
      <c r="B874" s="7">
        <v>101.09</v>
      </c>
      <c r="C874" s="7">
        <v>100.77</v>
      </c>
      <c r="D874" s="7">
        <v>101.26</v>
      </c>
      <c r="E874" s="7">
        <v>100.52</v>
      </c>
      <c r="G874" s="8">
        <v>0.0021</v>
      </c>
    </row>
    <row r="875" spans="1:7">
      <c r="A875" s="10">
        <v>45796</v>
      </c>
      <c r="B875" s="7">
        <v>100.43</v>
      </c>
      <c r="C875" s="7">
        <v>100.9</v>
      </c>
      <c r="D875" s="7">
        <v>100.9</v>
      </c>
      <c r="E875" s="7">
        <v>100.06</v>
      </c>
      <c r="F875" s="7" t="s">
        <v>29</v>
      </c>
      <c r="G875" s="8">
        <v>-0.0066</v>
      </c>
    </row>
    <row r="876" spans="1:7">
      <c r="A876" s="10">
        <v>45797</v>
      </c>
      <c r="B876" s="7">
        <v>100.12</v>
      </c>
      <c r="C876" s="7">
        <v>100.43</v>
      </c>
      <c r="D876" s="7">
        <v>100.58</v>
      </c>
      <c r="E876" s="7">
        <v>100.01</v>
      </c>
      <c r="F876" s="7" t="s">
        <v>29</v>
      </c>
      <c r="G876" s="8">
        <v>-0.0031</v>
      </c>
    </row>
    <row r="877" spans="1:7">
      <c r="A877" s="10">
        <v>45798</v>
      </c>
      <c r="B877" s="7">
        <v>99.56</v>
      </c>
      <c r="C877" s="7">
        <v>99.99</v>
      </c>
      <c r="D877" s="7">
        <v>99.99</v>
      </c>
      <c r="E877" s="7">
        <v>99.34</v>
      </c>
      <c r="F877" s="7" t="s">
        <v>29</v>
      </c>
      <c r="G877" s="8">
        <v>-0.0056</v>
      </c>
    </row>
    <row r="878" spans="1:7">
      <c r="A878" s="10">
        <v>45799</v>
      </c>
      <c r="B878" s="7">
        <v>99.96</v>
      </c>
      <c r="C878" s="7">
        <v>99.64</v>
      </c>
      <c r="D878" s="7">
        <v>100.12</v>
      </c>
      <c r="E878" s="7">
        <v>99.44</v>
      </c>
      <c r="F878" s="7" t="s">
        <v>29</v>
      </c>
      <c r="G878" s="8">
        <v>0.004</v>
      </c>
    </row>
    <row r="879" spans="1:7">
      <c r="A879" s="10">
        <v>45800</v>
      </c>
      <c r="B879" s="7">
        <v>99.11</v>
      </c>
      <c r="C879" s="7">
        <v>99.88</v>
      </c>
      <c r="D879" s="7">
        <v>99.94</v>
      </c>
      <c r="E879" s="7">
        <v>99.05</v>
      </c>
      <c r="G879" s="8">
        <v>-0.0085</v>
      </c>
    </row>
    <row r="880" spans="1:7">
      <c r="A880" s="10">
        <v>45803</v>
      </c>
      <c r="B880" s="7">
        <v>99.11</v>
      </c>
      <c r="C880" s="7">
        <v>99.09</v>
      </c>
      <c r="D880" s="7">
        <v>99.16</v>
      </c>
      <c r="E880" s="7">
        <v>98.69</v>
      </c>
      <c r="F880" s="7" t="s">
        <v>29</v>
      </c>
      <c r="G880" s="8">
        <v>0</v>
      </c>
    </row>
    <row r="881" spans="1:7">
      <c r="A881" s="10">
        <v>45804</v>
      </c>
      <c r="B881" s="7">
        <v>99.52</v>
      </c>
      <c r="C881" s="7">
        <v>98.96</v>
      </c>
      <c r="D881" s="7">
        <v>99.61</v>
      </c>
      <c r="E881" s="7">
        <v>98.78</v>
      </c>
      <c r="F881" s="7" t="s">
        <v>29</v>
      </c>
      <c r="G881" s="8">
        <v>0.0041</v>
      </c>
    </row>
    <row r="882" spans="1:7">
      <c r="A882" s="10">
        <v>45805</v>
      </c>
      <c r="B882" s="7">
        <v>99.88</v>
      </c>
      <c r="C882" s="7">
        <v>99.53</v>
      </c>
      <c r="D882" s="7">
        <v>99.96</v>
      </c>
      <c r="E882" s="7">
        <v>99.44</v>
      </c>
      <c r="F882" s="7" t="s">
        <v>29</v>
      </c>
      <c r="G882" s="8">
        <v>0.0036</v>
      </c>
    </row>
    <row r="883" spans="1:7">
      <c r="A883" s="10">
        <v>45806</v>
      </c>
      <c r="B883" s="7">
        <v>99.28</v>
      </c>
      <c r="C883" s="7">
        <v>100.54</v>
      </c>
      <c r="D883" s="7">
        <v>100.54</v>
      </c>
      <c r="E883" s="7">
        <v>99.22</v>
      </c>
      <c r="F883" s="7" t="s">
        <v>29</v>
      </c>
      <c r="G883" s="8">
        <v>-0.006</v>
      </c>
    </row>
    <row r="884" spans="1:7">
      <c r="A884" s="10">
        <v>45807</v>
      </c>
      <c r="B884" s="7">
        <v>99.33</v>
      </c>
      <c r="C884" s="7">
        <v>99.25</v>
      </c>
      <c r="D884" s="7">
        <v>99.67</v>
      </c>
      <c r="E884" s="7">
        <v>99.13</v>
      </c>
      <c r="G884" s="8">
        <v>0.0005</v>
      </c>
    </row>
    <row r="885" spans="1:7">
      <c r="A885" s="10">
        <v>45810</v>
      </c>
      <c r="B885" s="7">
        <v>98.71</v>
      </c>
      <c r="C885" s="7">
        <v>99.41</v>
      </c>
      <c r="D885" s="7">
        <v>99.42</v>
      </c>
      <c r="E885" s="7">
        <v>98.61</v>
      </c>
      <c r="F885" s="7" t="s">
        <v>29</v>
      </c>
      <c r="G885" s="8">
        <v>-0.0063</v>
      </c>
    </row>
    <row r="886" spans="1:7">
      <c r="A886" s="10">
        <v>45811</v>
      </c>
      <c r="B886" s="7">
        <v>99.23</v>
      </c>
      <c r="C886" s="7">
        <v>98.58</v>
      </c>
      <c r="D886" s="7">
        <v>99.33</v>
      </c>
      <c r="E886" s="7">
        <v>98.58</v>
      </c>
      <c r="F886" s="7" t="s">
        <v>29</v>
      </c>
      <c r="G886" s="8">
        <v>0.0053</v>
      </c>
    </row>
    <row r="887" spans="1:7">
      <c r="A887" s="10">
        <v>45812</v>
      </c>
      <c r="B887" s="7">
        <v>98.79</v>
      </c>
      <c r="C887" s="7">
        <v>99.18</v>
      </c>
      <c r="D887" s="7">
        <v>99.39</v>
      </c>
      <c r="E887" s="7">
        <v>98.67</v>
      </c>
      <c r="F887" s="7" t="s">
        <v>29</v>
      </c>
      <c r="G887" s="8">
        <v>-0.0044</v>
      </c>
    </row>
    <row r="888" spans="1:7">
      <c r="A888" s="10">
        <v>45813</v>
      </c>
      <c r="B888" s="7">
        <v>98.74</v>
      </c>
      <c r="C888" s="7">
        <v>98.8</v>
      </c>
      <c r="D888" s="7">
        <v>98.94</v>
      </c>
      <c r="E888" s="7">
        <v>98.35</v>
      </c>
      <c r="F888" s="7" t="s">
        <v>29</v>
      </c>
      <c r="G888" s="8">
        <v>-0.0005</v>
      </c>
    </row>
    <row r="889" spans="1:7">
      <c r="A889" s="10">
        <v>45814</v>
      </c>
      <c r="B889" s="7">
        <v>99.19</v>
      </c>
      <c r="C889" s="7">
        <v>98.7</v>
      </c>
      <c r="D889" s="7">
        <v>99.36</v>
      </c>
      <c r="E889" s="7">
        <v>98.65</v>
      </c>
      <c r="G889" s="8">
        <v>0.0045</v>
      </c>
    </row>
    <row r="890" spans="1:7">
      <c r="A890" s="10">
        <v>45817</v>
      </c>
      <c r="B890" s="7">
        <v>98.94</v>
      </c>
      <c r="C890" s="7">
        <v>99.2</v>
      </c>
      <c r="D890" s="7">
        <v>99.23</v>
      </c>
      <c r="E890" s="7">
        <v>98.82</v>
      </c>
      <c r="F890" s="7" t="s">
        <v>29</v>
      </c>
      <c r="G890" s="8">
        <v>-0.0025</v>
      </c>
    </row>
    <row r="891" spans="1:7">
      <c r="A891" s="10">
        <v>45818</v>
      </c>
      <c r="B891" s="7">
        <v>99.1</v>
      </c>
      <c r="C891" s="7">
        <v>98.98</v>
      </c>
      <c r="D891" s="7">
        <v>99.39</v>
      </c>
      <c r="E891" s="7">
        <v>98.86</v>
      </c>
      <c r="F891" s="7" t="s">
        <v>29</v>
      </c>
      <c r="G891" s="8">
        <v>0.0016</v>
      </c>
    </row>
    <row r="892" spans="1:7">
      <c r="A892" s="10">
        <v>45819</v>
      </c>
      <c r="B892" s="7">
        <v>98.63</v>
      </c>
      <c r="C892" s="7">
        <v>98.96</v>
      </c>
      <c r="D892" s="7">
        <v>99.22</v>
      </c>
      <c r="E892" s="7">
        <v>98.53</v>
      </c>
      <c r="F892" s="7" t="s">
        <v>29</v>
      </c>
      <c r="G892" s="8">
        <v>-0.0047</v>
      </c>
    </row>
    <row r="893" spans="1:7">
      <c r="A893" s="10">
        <v>45820</v>
      </c>
      <c r="B893" s="7">
        <v>97.92</v>
      </c>
      <c r="C893" s="7">
        <v>98.46</v>
      </c>
      <c r="D893" s="7">
        <v>98.52</v>
      </c>
      <c r="E893" s="7">
        <v>97.6</v>
      </c>
      <c r="F893" s="7" t="s">
        <v>29</v>
      </c>
      <c r="G893" s="8">
        <v>-0.0072</v>
      </c>
    </row>
    <row r="894" spans="1:7">
      <c r="A894" s="10">
        <v>45821</v>
      </c>
      <c r="B894" s="7">
        <v>98.18</v>
      </c>
      <c r="C894" s="7">
        <v>97.81</v>
      </c>
      <c r="D894" s="7">
        <v>98.59</v>
      </c>
      <c r="E894" s="7">
        <v>97.62</v>
      </c>
      <c r="G894" s="8">
        <v>0.0027</v>
      </c>
    </row>
    <row r="895" spans="1:7">
      <c r="A895" s="10">
        <v>45824</v>
      </c>
      <c r="B895" s="7">
        <v>98</v>
      </c>
      <c r="C895" s="7">
        <v>98.26</v>
      </c>
      <c r="D895" s="7">
        <v>98.36</v>
      </c>
      <c r="E895" s="7">
        <v>97.68</v>
      </c>
      <c r="F895" s="7" t="s">
        <v>29</v>
      </c>
      <c r="G895" s="8">
        <v>-0.0019</v>
      </c>
    </row>
    <row r="896" spans="1:7">
      <c r="A896" s="10">
        <v>45825</v>
      </c>
      <c r="B896" s="7">
        <v>98.82</v>
      </c>
      <c r="C896" s="7">
        <v>98.19</v>
      </c>
      <c r="D896" s="7">
        <v>98.87</v>
      </c>
      <c r="E896" s="7">
        <v>98.02</v>
      </c>
      <c r="F896" s="7" t="s">
        <v>29</v>
      </c>
      <c r="G896" s="8">
        <v>0.0084</v>
      </c>
    </row>
    <row r="897" spans="1:7">
      <c r="A897" s="10">
        <v>45826</v>
      </c>
      <c r="B897" s="7">
        <v>98.9</v>
      </c>
      <c r="C897" s="7">
        <v>98.87</v>
      </c>
      <c r="D897" s="7">
        <v>99.01</v>
      </c>
      <c r="E897" s="7">
        <v>98.48</v>
      </c>
      <c r="F897" s="7" t="s">
        <v>29</v>
      </c>
      <c r="G897" s="8">
        <v>0.0009</v>
      </c>
    </row>
    <row r="898" spans="1:7">
      <c r="A898" s="10">
        <v>45827</v>
      </c>
      <c r="B898" s="7">
        <v>98.9</v>
      </c>
      <c r="C898" s="7">
        <v>98.88</v>
      </c>
      <c r="D898" s="7">
        <v>99.16</v>
      </c>
      <c r="E898" s="7">
        <v>98.75</v>
      </c>
      <c r="F898" s="7" t="s">
        <v>29</v>
      </c>
      <c r="G898" s="8">
        <v>0</v>
      </c>
    </row>
    <row r="899" spans="1:7">
      <c r="A899" s="10">
        <v>45828</v>
      </c>
      <c r="B899" s="7">
        <v>98.71</v>
      </c>
      <c r="C899" s="7">
        <v>98.67</v>
      </c>
      <c r="D899" s="7">
        <v>98.89</v>
      </c>
      <c r="E899" s="7">
        <v>98.54</v>
      </c>
      <c r="G899" s="8">
        <v>-0.002</v>
      </c>
    </row>
    <row r="900" spans="1:7">
      <c r="A900" s="10">
        <v>45831</v>
      </c>
      <c r="B900" s="7">
        <v>98.42</v>
      </c>
      <c r="C900" s="7">
        <v>99.09</v>
      </c>
      <c r="D900" s="7">
        <v>99.42</v>
      </c>
      <c r="E900" s="7">
        <v>98.35</v>
      </c>
      <c r="F900" s="7" t="s">
        <v>29</v>
      </c>
      <c r="G900" s="8">
        <v>-0.0029</v>
      </c>
    </row>
    <row r="901" spans="1:7">
      <c r="A901" s="10">
        <v>45832</v>
      </c>
      <c r="B901" s="7">
        <v>97.86</v>
      </c>
      <c r="C901" s="7">
        <v>98.16</v>
      </c>
      <c r="D901" s="7">
        <v>98.28</v>
      </c>
      <c r="E901" s="7">
        <v>97.71</v>
      </c>
      <c r="F901" s="7" t="s">
        <v>29</v>
      </c>
      <c r="G901" s="8">
        <v>-0.0057</v>
      </c>
    </row>
    <row r="902" spans="1:7">
      <c r="A902" s="10">
        <v>45833</v>
      </c>
      <c r="B902" s="7">
        <v>97.68</v>
      </c>
      <c r="C902" s="7">
        <v>97.93</v>
      </c>
      <c r="D902" s="7">
        <v>98.2</v>
      </c>
      <c r="E902" s="7">
        <v>97.65</v>
      </c>
      <c r="F902" s="7" t="s">
        <v>29</v>
      </c>
      <c r="G902" s="8">
        <v>-0.0018</v>
      </c>
    </row>
    <row r="903" spans="1:7">
      <c r="A903" s="10">
        <v>45834</v>
      </c>
      <c r="B903" s="7">
        <v>97.15</v>
      </c>
      <c r="C903" s="7">
        <v>97.55</v>
      </c>
      <c r="D903" s="7">
        <v>97.61</v>
      </c>
      <c r="E903" s="7">
        <v>97</v>
      </c>
      <c r="F903" s="7" t="s">
        <v>29</v>
      </c>
      <c r="G903" s="8">
        <v>-0.0054</v>
      </c>
    </row>
    <row r="904" spans="1:7">
      <c r="A904" s="10">
        <v>45835</v>
      </c>
      <c r="B904" s="7">
        <v>97.4</v>
      </c>
      <c r="C904" s="7">
        <v>97.33</v>
      </c>
      <c r="D904" s="7">
        <v>97.5</v>
      </c>
      <c r="E904" s="7">
        <v>97</v>
      </c>
      <c r="G904" s="8">
        <v>0.0026</v>
      </c>
    </row>
    <row r="905" spans="1:7">
      <c r="A905" s="10">
        <v>45838</v>
      </c>
      <c r="B905" s="7">
        <v>96.88</v>
      </c>
      <c r="C905" s="7">
        <v>97.18</v>
      </c>
      <c r="D905" s="7">
        <v>97.32</v>
      </c>
      <c r="E905" s="7">
        <v>96.77</v>
      </c>
      <c r="F905" s="7" t="s">
        <v>29</v>
      </c>
      <c r="G905" s="8">
        <v>-0.0054</v>
      </c>
    </row>
    <row r="906" spans="1:7">
      <c r="A906" s="10">
        <v>45839</v>
      </c>
      <c r="B906" s="7">
        <v>96.82</v>
      </c>
      <c r="C906" s="7">
        <v>96.78</v>
      </c>
      <c r="D906" s="7">
        <v>96.95</v>
      </c>
      <c r="E906" s="7">
        <v>96.38</v>
      </c>
      <c r="F906" s="7" t="s">
        <v>29</v>
      </c>
      <c r="G906" s="8">
        <v>-0.0006</v>
      </c>
    </row>
    <row r="907" spans="1:7">
      <c r="A907" s="10">
        <v>45840</v>
      </c>
      <c r="B907" s="7">
        <v>96.78</v>
      </c>
      <c r="C907" s="7">
        <v>96.64</v>
      </c>
      <c r="D907" s="7">
        <v>97.15</v>
      </c>
      <c r="E907" s="7">
        <v>96.62</v>
      </c>
      <c r="F907" s="7" t="s">
        <v>29</v>
      </c>
      <c r="G907" s="8">
        <v>-0.0004</v>
      </c>
    </row>
    <row r="908" spans="1:7">
      <c r="A908" s="10">
        <v>45841</v>
      </c>
      <c r="B908" s="7">
        <v>97.18</v>
      </c>
      <c r="C908" s="7">
        <v>96.75</v>
      </c>
      <c r="D908" s="7">
        <v>97.42</v>
      </c>
      <c r="E908" s="7">
        <v>96.69</v>
      </c>
      <c r="F908" s="7" t="s">
        <v>29</v>
      </c>
      <c r="G908" s="8">
        <v>0.0042</v>
      </c>
    </row>
    <row r="909" spans="1:7">
      <c r="A909" s="10">
        <v>45842</v>
      </c>
      <c r="B909" s="7">
        <v>96.96</v>
      </c>
      <c r="C909" s="7">
        <v>97.09</v>
      </c>
      <c r="D909" s="7">
        <v>97.18</v>
      </c>
      <c r="E909" s="7">
        <v>96.86</v>
      </c>
      <c r="F909" s="7" t="s">
        <v>29</v>
      </c>
      <c r="G909" s="8">
        <v>-0.0022</v>
      </c>
    </row>
    <row r="910" spans="1:7">
      <c r="A910" s="10">
        <v>45845</v>
      </c>
      <c r="B910" s="7">
        <v>97.48</v>
      </c>
      <c r="C910" s="7">
        <v>96.96</v>
      </c>
      <c r="D910" s="7">
        <v>97.67</v>
      </c>
      <c r="E910" s="7">
        <v>96.89</v>
      </c>
      <c r="F910" s="7" t="s">
        <v>29</v>
      </c>
      <c r="G910" s="8">
        <v>0.0053</v>
      </c>
    </row>
    <row r="911" spans="1:7">
      <c r="A911" s="10">
        <v>45846</v>
      </c>
      <c r="B911" s="7">
        <v>97.52</v>
      </c>
      <c r="C911" s="7">
        <v>97.36</v>
      </c>
      <c r="D911" s="7">
        <v>97.84</v>
      </c>
      <c r="E911" s="7">
        <v>97.18</v>
      </c>
      <c r="F911" s="7" t="s">
        <v>29</v>
      </c>
      <c r="G911" s="8">
        <v>0.0004</v>
      </c>
    </row>
    <row r="912" spans="1:7">
      <c r="A912" s="10">
        <v>45847</v>
      </c>
      <c r="B912" s="7">
        <v>97.56</v>
      </c>
      <c r="C912" s="7">
        <v>97.55</v>
      </c>
      <c r="D912" s="7">
        <v>97.75</v>
      </c>
      <c r="E912" s="7">
        <v>97.46</v>
      </c>
      <c r="F912" s="7" t="s">
        <v>29</v>
      </c>
      <c r="G912" s="8">
        <v>0.0004</v>
      </c>
    </row>
    <row r="913" spans="1:7">
      <c r="A913" s="10">
        <v>45848</v>
      </c>
      <c r="B913" s="7">
        <v>97.65</v>
      </c>
      <c r="C913" s="7">
        <v>97.44</v>
      </c>
      <c r="D913" s="7">
        <v>97.92</v>
      </c>
      <c r="E913" s="7">
        <v>97.27</v>
      </c>
      <c r="F913" s="7" t="s">
        <v>29</v>
      </c>
      <c r="G913" s="8">
        <v>0.001</v>
      </c>
    </row>
    <row r="914" spans="1:7">
      <c r="A914" s="10">
        <v>45849</v>
      </c>
      <c r="B914" s="7">
        <v>97.85</v>
      </c>
      <c r="C914" s="7">
        <v>97.57</v>
      </c>
      <c r="D914" s="7">
        <v>97.96</v>
      </c>
      <c r="E914" s="7">
        <v>97.56</v>
      </c>
      <c r="G914" s="8">
        <v>0.0021</v>
      </c>
    </row>
    <row r="915" spans="1:7">
      <c r="A915" s="10">
        <v>45852</v>
      </c>
      <c r="B915" s="7">
        <v>98.08</v>
      </c>
      <c r="C915" s="7">
        <v>97.96</v>
      </c>
      <c r="D915" s="7">
        <v>98.14</v>
      </c>
      <c r="E915" s="7">
        <v>97.76</v>
      </c>
      <c r="F915" s="7" t="s">
        <v>29</v>
      </c>
      <c r="G915" s="8">
        <v>0.0023</v>
      </c>
    </row>
    <row r="916" spans="1:7">
      <c r="A916" s="10">
        <v>45853</v>
      </c>
      <c r="B916" s="7">
        <v>98.62</v>
      </c>
      <c r="C916" s="7">
        <v>98.14</v>
      </c>
      <c r="D916" s="7">
        <v>98.7</v>
      </c>
      <c r="E916" s="7">
        <v>97.93</v>
      </c>
      <c r="F916" s="7" t="s">
        <v>29</v>
      </c>
      <c r="G916" s="8">
        <v>0.0055</v>
      </c>
    </row>
    <row r="917" spans="1:7">
      <c r="A917" s="10">
        <v>45854</v>
      </c>
      <c r="B917" s="7">
        <v>98.39</v>
      </c>
      <c r="C917" s="7">
        <v>98.58</v>
      </c>
      <c r="D917" s="7">
        <v>98.91</v>
      </c>
      <c r="E917" s="7">
        <v>97.71</v>
      </c>
      <c r="F917" s="7" t="s">
        <v>29</v>
      </c>
      <c r="G917" s="8">
        <v>-0.0023</v>
      </c>
    </row>
    <row r="918" spans="1:7">
      <c r="A918" s="10">
        <v>45855</v>
      </c>
      <c r="B918" s="7">
        <v>98.73</v>
      </c>
      <c r="C918" s="7">
        <v>98.35</v>
      </c>
      <c r="D918" s="7">
        <v>98.95</v>
      </c>
      <c r="E918" s="7">
        <v>98.33</v>
      </c>
      <c r="F918" s="7" t="s">
        <v>29</v>
      </c>
      <c r="G918" s="8">
        <v>0.0035</v>
      </c>
    </row>
    <row r="919" spans="1:7">
      <c r="A919" s="10">
        <v>45856</v>
      </c>
      <c r="B919" s="7">
        <v>98.48</v>
      </c>
      <c r="C919" s="7">
        <v>98.49</v>
      </c>
      <c r="D919" s="7">
        <v>98.57</v>
      </c>
      <c r="E919" s="7">
        <v>98.1</v>
      </c>
      <c r="G919" s="8">
        <v>-0.0026</v>
      </c>
    </row>
    <row r="920" spans="1:7">
      <c r="A920" s="10">
        <v>45859</v>
      </c>
      <c r="B920" s="7">
        <v>97.85</v>
      </c>
      <c r="C920" s="7">
        <v>98.36</v>
      </c>
      <c r="D920" s="7">
        <v>98.51</v>
      </c>
      <c r="E920" s="7">
        <v>97.7</v>
      </c>
      <c r="F920" s="7" t="s">
        <v>29</v>
      </c>
      <c r="G920" s="8">
        <v>-0.0064</v>
      </c>
    </row>
    <row r="921" spans="1:7">
      <c r="A921" s="10">
        <v>45860</v>
      </c>
      <c r="B921" s="7">
        <v>97.39</v>
      </c>
      <c r="C921" s="7">
        <v>97.87</v>
      </c>
      <c r="D921" s="7">
        <v>97.99</v>
      </c>
      <c r="E921" s="7">
        <v>97.31</v>
      </c>
      <c r="F921" s="7" t="s">
        <v>29</v>
      </c>
      <c r="G921" s="8">
        <v>-0.0047</v>
      </c>
    </row>
    <row r="922" spans="1:7">
      <c r="A922" s="10">
        <v>45861</v>
      </c>
      <c r="B922" s="7">
        <v>97.21</v>
      </c>
      <c r="C922" s="7">
        <v>97.47</v>
      </c>
      <c r="D922" s="7">
        <v>97.61</v>
      </c>
      <c r="E922" s="7">
        <v>97.19</v>
      </c>
      <c r="F922" s="7" t="s">
        <v>29</v>
      </c>
      <c r="G922" s="8">
        <v>-0.0018</v>
      </c>
    </row>
    <row r="923" spans="1:7">
      <c r="A923" s="10">
        <v>45862</v>
      </c>
      <c r="B923" s="7">
        <v>97.38</v>
      </c>
      <c r="C923" s="7">
        <v>97.18</v>
      </c>
      <c r="D923" s="7">
        <v>97.55</v>
      </c>
      <c r="E923" s="7">
        <v>97.11</v>
      </c>
      <c r="F923" s="7" t="s">
        <v>29</v>
      </c>
      <c r="G923" s="8">
        <v>0.0017</v>
      </c>
    </row>
    <row r="924" spans="1:7">
      <c r="A924" s="10">
        <v>45863</v>
      </c>
      <c r="B924" s="7">
        <v>97.64</v>
      </c>
      <c r="C924" s="7">
        <v>97.45</v>
      </c>
      <c r="D924" s="7">
        <v>97.9</v>
      </c>
      <c r="E924" s="7">
        <v>97.43</v>
      </c>
      <c r="G924" s="8">
        <v>0.0028</v>
      </c>
    </row>
    <row r="925" spans="1:7">
      <c r="A925" s="10">
        <v>45866</v>
      </c>
      <c r="B925" s="7">
        <v>98.63</v>
      </c>
      <c r="C925" s="7">
        <v>97.58</v>
      </c>
      <c r="D925" s="7">
        <v>98.68</v>
      </c>
      <c r="E925" s="7">
        <v>97.49</v>
      </c>
      <c r="F925" s="7" t="s">
        <v>29</v>
      </c>
      <c r="G925" s="8">
        <v>0.0101</v>
      </c>
    </row>
    <row r="926" spans="1:7">
      <c r="A926" s="10">
        <v>45867</v>
      </c>
      <c r="B926" s="7">
        <v>98.89</v>
      </c>
      <c r="C926" s="7">
        <v>98.64</v>
      </c>
      <c r="D926" s="7">
        <v>99.14</v>
      </c>
      <c r="E926" s="7">
        <v>98.58</v>
      </c>
      <c r="F926" s="7" t="s">
        <v>29</v>
      </c>
      <c r="G926" s="8">
        <v>0.0026</v>
      </c>
    </row>
    <row r="927" spans="1:7">
      <c r="A927" s="10">
        <v>45868</v>
      </c>
      <c r="B927" s="7">
        <v>99.82</v>
      </c>
      <c r="C927" s="7">
        <v>98.92</v>
      </c>
      <c r="D927" s="7">
        <v>99.98</v>
      </c>
      <c r="E927" s="7">
        <v>98.7</v>
      </c>
      <c r="F927" s="7" t="s">
        <v>29</v>
      </c>
      <c r="G927" s="8">
        <v>0.0094</v>
      </c>
    </row>
    <row r="928" spans="1:7">
      <c r="A928" s="10">
        <v>45869</v>
      </c>
      <c r="B928" s="7">
        <v>99.97</v>
      </c>
      <c r="C928" s="7">
        <v>99.8</v>
      </c>
      <c r="D928" s="7">
        <v>100.1</v>
      </c>
      <c r="E928" s="7">
        <v>99.52</v>
      </c>
      <c r="F928" s="7" t="s">
        <v>29</v>
      </c>
      <c r="G928" s="8">
        <v>0.0015</v>
      </c>
    </row>
    <row r="929" spans="1:7">
      <c r="A929" s="10">
        <v>45870</v>
      </c>
      <c r="B929" s="7">
        <v>99.14</v>
      </c>
      <c r="C929" s="7">
        <v>100.01</v>
      </c>
      <c r="D929" s="7">
        <v>100.26</v>
      </c>
      <c r="E929" s="7">
        <v>98.61</v>
      </c>
      <c r="G929" s="8">
        <v>-0.0083</v>
      </c>
    </row>
    <row r="930" spans="1:7">
      <c r="A930" s="10">
        <v>45873</v>
      </c>
      <c r="B930" s="7">
        <v>98.78</v>
      </c>
      <c r="C930" s="7">
        <v>98.65</v>
      </c>
      <c r="D930" s="7">
        <v>98.98</v>
      </c>
      <c r="E930" s="7">
        <v>98.59</v>
      </c>
      <c r="F930" s="7" t="s">
        <v>29</v>
      </c>
      <c r="G930" s="8">
        <v>-0.0036</v>
      </c>
    </row>
    <row r="931" spans="1:7">
      <c r="A931" s="10">
        <v>45874</v>
      </c>
      <c r="B931" s="7">
        <v>98.78</v>
      </c>
      <c r="C931" s="7">
        <v>98.62</v>
      </c>
      <c r="D931" s="7">
        <v>99.07</v>
      </c>
      <c r="E931" s="7">
        <v>98.58</v>
      </c>
      <c r="F931" s="7" t="s">
        <v>29</v>
      </c>
      <c r="G931" s="8">
        <v>0</v>
      </c>
    </row>
    <row r="932" spans="1:7">
      <c r="A932" s="10">
        <v>45875</v>
      </c>
      <c r="B932" s="7">
        <v>98.18</v>
      </c>
      <c r="C932" s="7">
        <v>98.75</v>
      </c>
      <c r="D932" s="7">
        <v>98.84</v>
      </c>
      <c r="E932" s="7">
        <v>98.13</v>
      </c>
      <c r="F932" s="7" t="s">
        <v>29</v>
      </c>
      <c r="G932" s="8">
        <v>-0.0061</v>
      </c>
    </row>
    <row r="933" spans="1:7">
      <c r="A933" s="10">
        <v>45876</v>
      </c>
      <c r="B933" s="7">
        <v>98.4</v>
      </c>
      <c r="C933" s="7">
        <v>98.19</v>
      </c>
      <c r="D933" s="7">
        <v>98.47</v>
      </c>
      <c r="E933" s="7">
        <v>97.94</v>
      </c>
      <c r="F933" s="7" t="s">
        <v>29</v>
      </c>
      <c r="G933" s="8">
        <v>0.0023</v>
      </c>
    </row>
    <row r="934" spans="1:7">
      <c r="A934" s="10">
        <v>45877</v>
      </c>
      <c r="B934" s="7">
        <v>98.18</v>
      </c>
      <c r="C934" s="7">
        <v>97.98</v>
      </c>
      <c r="D934" s="7">
        <v>98.35</v>
      </c>
      <c r="E934" s="7">
        <v>97.96</v>
      </c>
      <c r="G934" s="8">
        <v>-0.0022</v>
      </c>
    </row>
    <row r="935" spans="1:7">
      <c r="A935" s="10">
        <v>45880</v>
      </c>
      <c r="B935" s="7">
        <v>98.52</v>
      </c>
      <c r="C935" s="7">
        <v>98.24</v>
      </c>
      <c r="D935" s="7">
        <v>99.32</v>
      </c>
      <c r="E935" s="7">
        <v>98.03</v>
      </c>
      <c r="F935" s="7" t="s">
        <v>29</v>
      </c>
      <c r="G935" s="8">
        <v>0.0035</v>
      </c>
    </row>
    <row r="936" spans="1:7">
      <c r="A936" s="10">
        <v>45881</v>
      </c>
      <c r="B936" s="7">
        <v>98.1</v>
      </c>
      <c r="C936" s="7">
        <v>98.51</v>
      </c>
      <c r="D936" s="7">
        <v>98.62</v>
      </c>
      <c r="E936" s="7">
        <v>97.9</v>
      </c>
      <c r="F936" s="7" t="s">
        <v>29</v>
      </c>
      <c r="G936" s="8">
        <v>-0.0043</v>
      </c>
    </row>
    <row r="937" spans="1:7">
      <c r="A937" s="10">
        <v>45882</v>
      </c>
      <c r="B937" s="7">
        <v>97.84</v>
      </c>
      <c r="C937" s="7">
        <v>98.04</v>
      </c>
      <c r="D937" s="7">
        <v>98.13</v>
      </c>
      <c r="E937" s="7">
        <v>97.63</v>
      </c>
      <c r="F937" s="7" t="s">
        <v>29</v>
      </c>
      <c r="G937" s="8">
        <v>-0.0026</v>
      </c>
    </row>
    <row r="938" spans="1:7">
      <c r="A938" s="10">
        <v>45883</v>
      </c>
      <c r="B938" s="7">
        <v>98.25</v>
      </c>
      <c r="C938" s="7">
        <v>97.75</v>
      </c>
      <c r="D938" s="7">
        <v>98.32</v>
      </c>
      <c r="E938" s="7">
        <v>97.63</v>
      </c>
      <c r="F938" s="7" t="s">
        <v>29</v>
      </c>
      <c r="G938" s="8">
        <v>0.0042</v>
      </c>
    </row>
    <row r="939" spans="1:7">
      <c r="A939" s="10">
        <v>45884</v>
      </c>
      <c r="B939" s="7">
        <v>97.85</v>
      </c>
      <c r="C939" s="7">
        <v>98.18</v>
      </c>
      <c r="D939" s="7">
        <v>98.21</v>
      </c>
      <c r="E939" s="7">
        <v>97.72</v>
      </c>
      <c r="G939" s="8">
        <v>-0.0041</v>
      </c>
    </row>
    <row r="940" spans="1:7">
      <c r="A940" s="10">
        <v>45887</v>
      </c>
      <c r="B940" s="7">
        <v>98.17</v>
      </c>
      <c r="C940" s="7">
        <v>97.79</v>
      </c>
      <c r="D940" s="7">
        <v>98.19</v>
      </c>
      <c r="E940" s="7">
        <v>97.78</v>
      </c>
      <c r="F940" s="7" t="s">
        <v>29</v>
      </c>
      <c r="G940" s="8">
        <v>0.0032</v>
      </c>
    </row>
    <row r="941" spans="1:7">
      <c r="A941" s="10">
        <v>45888</v>
      </c>
      <c r="B941" s="7">
        <v>98.26</v>
      </c>
      <c r="C941" s="7">
        <v>98.15</v>
      </c>
      <c r="D941" s="7">
        <v>98.32</v>
      </c>
      <c r="E941" s="7">
        <v>97.94</v>
      </c>
      <c r="F941" s="7" t="s">
        <v>29</v>
      </c>
      <c r="G941" s="8">
        <v>0.001</v>
      </c>
    </row>
    <row r="942" spans="1:7">
      <c r="A942" s="10">
        <v>45889</v>
      </c>
      <c r="B942" s="7">
        <v>98.22</v>
      </c>
      <c r="C942" s="7">
        <v>98.29</v>
      </c>
      <c r="D942" s="7">
        <v>98.44</v>
      </c>
      <c r="E942" s="7">
        <v>98.08</v>
      </c>
      <c r="F942" s="7" t="s">
        <v>29</v>
      </c>
      <c r="G942" s="8">
        <v>-0.0005</v>
      </c>
    </row>
    <row r="943" spans="1:7">
      <c r="A943" s="10">
        <v>45890</v>
      </c>
      <c r="B943" s="7">
        <v>98.62</v>
      </c>
      <c r="C943" s="7">
        <v>98.25</v>
      </c>
      <c r="D943" s="7">
        <v>98.68</v>
      </c>
      <c r="E943" s="7">
        <v>98.18</v>
      </c>
      <c r="F943" s="7" t="s">
        <v>29</v>
      </c>
      <c r="G943" s="8">
        <v>0.0041</v>
      </c>
    </row>
    <row r="944" spans="1:7">
      <c r="A944" s="10">
        <v>45891</v>
      </c>
      <c r="B944" s="7">
        <v>97.72</v>
      </c>
      <c r="C944" s="7">
        <v>98.6</v>
      </c>
      <c r="D944" s="7">
        <v>98.83</v>
      </c>
      <c r="E944" s="7">
        <v>97.56</v>
      </c>
      <c r="G944" s="8">
        <v>-0.0092</v>
      </c>
    </row>
    <row r="945" spans="1:7">
      <c r="A945" s="10">
        <v>45894</v>
      </c>
      <c r="B945" s="7">
        <v>98.43</v>
      </c>
      <c r="C945" s="7">
        <v>97.72</v>
      </c>
      <c r="D945" s="7">
        <v>98.54</v>
      </c>
      <c r="E945" s="7">
        <v>97.71</v>
      </c>
      <c r="F945" s="7" t="s">
        <v>29</v>
      </c>
      <c r="G945" s="8">
        <v>0.0073</v>
      </c>
    </row>
    <row r="946" spans="1:7">
      <c r="A946" s="10">
        <v>45895</v>
      </c>
      <c r="B946" s="7">
        <v>98.22</v>
      </c>
      <c r="C946" s="7">
        <v>98.47</v>
      </c>
      <c r="D946" s="7">
        <v>98.56</v>
      </c>
      <c r="E946" s="7">
        <v>98.08</v>
      </c>
      <c r="F946" s="7" t="s">
        <v>29</v>
      </c>
      <c r="G946" s="8">
        <v>-0.0021</v>
      </c>
    </row>
    <row r="947" spans="1:7">
      <c r="A947" s="10">
        <v>45896</v>
      </c>
      <c r="B947" s="7">
        <v>98.23</v>
      </c>
      <c r="C947" s="7">
        <v>98.25</v>
      </c>
      <c r="D947" s="7">
        <v>98.73</v>
      </c>
      <c r="E947" s="7">
        <v>98.15</v>
      </c>
      <c r="F947" s="7" t="s">
        <v>29</v>
      </c>
      <c r="G947" s="8">
        <v>0.0001</v>
      </c>
    </row>
    <row r="948" spans="1:7">
      <c r="A948" s="10">
        <v>45897</v>
      </c>
      <c r="B948" s="7">
        <v>97.81</v>
      </c>
      <c r="C948" s="7">
        <v>98.12</v>
      </c>
      <c r="D948" s="7">
        <v>98.23</v>
      </c>
      <c r="E948" s="7">
        <v>97.74</v>
      </c>
      <c r="F948" s="7" t="s">
        <v>29</v>
      </c>
      <c r="G948" s="8">
        <v>-0.0043</v>
      </c>
    </row>
    <row r="949" spans="1:7">
      <c r="A949" s="10">
        <v>45898</v>
      </c>
      <c r="B949" s="7">
        <v>97.77</v>
      </c>
      <c r="C949" s="7">
        <v>97.87</v>
      </c>
      <c r="D949" s="7">
        <v>98.13</v>
      </c>
      <c r="E949" s="7">
        <v>97.69</v>
      </c>
      <c r="G949" s="8">
        <v>-0.0004</v>
      </c>
    </row>
    <row r="950" spans="1:7">
      <c r="A950" s="10">
        <v>45901</v>
      </c>
      <c r="B950" s="7">
        <v>97.77</v>
      </c>
      <c r="C950" s="7">
        <v>97.83</v>
      </c>
      <c r="D950" s="7">
        <v>97.87</v>
      </c>
      <c r="E950" s="7">
        <v>97.54</v>
      </c>
      <c r="F950" s="7" t="s">
        <v>29</v>
      </c>
      <c r="G950" s="8">
        <v>0</v>
      </c>
    </row>
    <row r="951" spans="1:7">
      <c r="A951" s="10">
        <v>45902</v>
      </c>
      <c r="B951" s="7">
        <v>98.4</v>
      </c>
      <c r="C951" s="7">
        <v>97.65</v>
      </c>
      <c r="D951" s="7">
        <v>98.6</v>
      </c>
      <c r="E951" s="7">
        <v>97.62</v>
      </c>
      <c r="F951" s="7" t="s">
        <v>29</v>
      </c>
      <c r="G951" s="8">
        <v>0.0064</v>
      </c>
    </row>
    <row r="952" spans="1:7">
      <c r="A952" s="10">
        <v>45903</v>
      </c>
      <c r="B952" s="7">
        <v>98.14</v>
      </c>
      <c r="C952" s="7">
        <v>98.4</v>
      </c>
      <c r="D952" s="7">
        <v>98.64</v>
      </c>
      <c r="E952" s="7">
        <v>98.01</v>
      </c>
      <c r="F952" s="7" t="s">
        <v>29</v>
      </c>
      <c r="G952" s="8">
        <v>-0.0026</v>
      </c>
    </row>
    <row r="953" spans="1:7">
      <c r="A953" s="10">
        <v>45904</v>
      </c>
      <c r="B953" s="7">
        <v>98.35</v>
      </c>
      <c r="C953" s="7">
        <v>98.15</v>
      </c>
      <c r="D953" s="7">
        <v>98.44</v>
      </c>
      <c r="E953" s="7">
        <v>98.08</v>
      </c>
      <c r="F953" s="7" t="s">
        <v>29</v>
      </c>
      <c r="G953" s="8">
        <v>0.0021</v>
      </c>
    </row>
    <row r="954" spans="1:7">
      <c r="A954" s="10">
        <v>45905</v>
      </c>
      <c r="B954" s="7">
        <v>97.77</v>
      </c>
      <c r="C954" s="7">
        <v>98.24</v>
      </c>
      <c r="D954" s="7">
        <v>98.26</v>
      </c>
      <c r="E954" s="7">
        <v>97.43</v>
      </c>
      <c r="G954" s="8">
        <v>-0.0059</v>
      </c>
    </row>
    <row r="955" spans="1:7">
      <c r="A955" s="10">
        <v>45908</v>
      </c>
      <c r="B955" s="7">
        <v>97.45</v>
      </c>
      <c r="C955" s="7">
        <v>97.79</v>
      </c>
      <c r="D955" s="7">
        <v>97.94</v>
      </c>
      <c r="E955" s="7">
        <v>97.42</v>
      </c>
      <c r="F955" s="7" t="s">
        <v>29</v>
      </c>
      <c r="G955" s="8">
        <v>-0.0032</v>
      </c>
    </row>
    <row r="956" spans="1:7">
      <c r="A956" s="10">
        <v>45909</v>
      </c>
      <c r="B956" s="7">
        <v>97.79</v>
      </c>
      <c r="C956" s="7">
        <v>97.38</v>
      </c>
      <c r="D956" s="7">
        <v>97.82</v>
      </c>
      <c r="E956" s="7">
        <v>97.25</v>
      </c>
      <c r="F956" s="7" t="s">
        <v>29</v>
      </c>
      <c r="G956" s="8">
        <v>0.0034</v>
      </c>
    </row>
    <row r="957" spans="1:7">
      <c r="A957" s="10">
        <v>45910</v>
      </c>
      <c r="B957" s="7">
        <v>97.78</v>
      </c>
      <c r="C957" s="7">
        <v>97.83</v>
      </c>
      <c r="D957" s="7">
        <v>97.93</v>
      </c>
      <c r="E957" s="7">
        <v>97.6</v>
      </c>
      <c r="F957" s="7" t="s">
        <v>29</v>
      </c>
      <c r="G957" s="8">
        <v>-0.0001</v>
      </c>
    </row>
    <row r="958" spans="1:7">
      <c r="A958" s="10">
        <v>45911</v>
      </c>
      <c r="B958" s="7">
        <v>97.55</v>
      </c>
      <c r="C958" s="7">
        <v>97.8</v>
      </c>
      <c r="D958" s="7">
        <v>98.14</v>
      </c>
      <c r="E958" s="7">
        <v>97.54</v>
      </c>
      <c r="G958" s="8">
        <v>-0.0024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71"/>
  <sheetViews>
    <sheetView workbookViewId="0">
      <selection activeCell="A1" sqref="A$1:A$1048576"/>
    </sheetView>
  </sheetViews>
  <sheetFormatPr defaultColWidth="9" defaultRowHeight="14.25" outlineLevelCol="6"/>
  <cols>
    <col min="1" max="1" width="11.625" style="6" customWidth="1"/>
    <col min="2" max="16384" width="9" style="7"/>
  </cols>
  <sheetData>
    <row r="1" spans="1:7">
      <c r="A1" s="6" t="s">
        <v>13</v>
      </c>
      <c r="B1" s="7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26</v>
      </c>
    </row>
    <row r="2" spans="1:7">
      <c r="A2" s="6">
        <v>44564</v>
      </c>
      <c r="B2" s="7">
        <v>75.85</v>
      </c>
      <c r="C2" s="7">
        <v>75.53</v>
      </c>
      <c r="D2" s="7">
        <v>76.18</v>
      </c>
      <c r="E2" s="7">
        <v>74.01</v>
      </c>
      <c r="F2" s="7" t="s">
        <v>30</v>
      </c>
      <c r="G2" s="8">
        <v>0.013</v>
      </c>
    </row>
    <row r="3" spans="1:7">
      <c r="A3" s="6">
        <v>44565</v>
      </c>
      <c r="B3" s="7">
        <v>76.74</v>
      </c>
      <c r="C3" s="7">
        <v>75.8</v>
      </c>
      <c r="D3" s="7">
        <v>77.4</v>
      </c>
      <c r="E3" s="7">
        <v>75.47</v>
      </c>
      <c r="F3" s="7" t="s">
        <v>31</v>
      </c>
      <c r="G3" s="8">
        <v>0.0117</v>
      </c>
    </row>
    <row r="4" spans="1:7">
      <c r="A4" s="6">
        <v>44566</v>
      </c>
      <c r="B4" s="7">
        <v>77.47</v>
      </c>
      <c r="C4" s="7">
        <v>76.88</v>
      </c>
      <c r="D4" s="7">
        <v>78.16</v>
      </c>
      <c r="E4" s="7">
        <v>76.25</v>
      </c>
      <c r="F4" s="7" t="s">
        <v>32</v>
      </c>
      <c r="G4" s="8">
        <v>0.0095</v>
      </c>
    </row>
    <row r="5" spans="1:7">
      <c r="A5" s="6">
        <v>44567</v>
      </c>
      <c r="B5" s="7">
        <v>78.88</v>
      </c>
      <c r="C5" s="7">
        <v>76.79</v>
      </c>
      <c r="D5" s="7">
        <v>79.56</v>
      </c>
      <c r="E5" s="7">
        <v>76.28</v>
      </c>
      <c r="F5" s="7" t="s">
        <v>33</v>
      </c>
      <c r="G5" s="8">
        <v>0.0182</v>
      </c>
    </row>
    <row r="6" spans="1:7">
      <c r="A6" s="6">
        <v>44568</v>
      </c>
      <c r="B6" s="7">
        <v>78.44</v>
      </c>
      <c r="C6" s="7">
        <v>79</v>
      </c>
      <c r="D6" s="7">
        <v>79.82</v>
      </c>
      <c r="E6" s="7">
        <v>78.07</v>
      </c>
      <c r="F6" s="7" t="s">
        <v>34</v>
      </c>
      <c r="G6" s="8">
        <v>-0.0056</v>
      </c>
    </row>
    <row r="7" spans="1:7">
      <c r="A7" s="6">
        <v>44571</v>
      </c>
      <c r="B7" s="7">
        <v>77.7</v>
      </c>
      <c r="C7" s="7">
        <v>78.51</v>
      </c>
      <c r="D7" s="7">
        <v>78.92</v>
      </c>
      <c r="E7" s="7">
        <v>77.34</v>
      </c>
      <c r="F7" s="7" t="s">
        <v>35</v>
      </c>
      <c r="G7" s="8">
        <v>-0.0094</v>
      </c>
    </row>
    <row r="8" spans="1:7">
      <c r="A8" s="6">
        <v>44572</v>
      </c>
      <c r="B8" s="7">
        <v>80.67</v>
      </c>
      <c r="C8" s="7">
        <v>77.87</v>
      </c>
      <c r="D8" s="7">
        <v>80.95</v>
      </c>
      <c r="E8" s="7">
        <v>77.83</v>
      </c>
      <c r="F8" s="7" t="s">
        <v>36</v>
      </c>
      <c r="G8" s="8">
        <v>0.0382</v>
      </c>
    </row>
    <row r="9" spans="1:7">
      <c r="A9" s="6">
        <v>44573</v>
      </c>
      <c r="B9" s="7">
        <v>82.02</v>
      </c>
      <c r="C9" s="7">
        <v>80.71</v>
      </c>
      <c r="D9" s="7">
        <v>82.41</v>
      </c>
      <c r="E9" s="7">
        <v>80.55</v>
      </c>
      <c r="F9" s="7" t="s">
        <v>37</v>
      </c>
      <c r="G9" s="8">
        <v>0.0167</v>
      </c>
    </row>
    <row r="10" spans="1:7">
      <c r="A10" s="6">
        <v>44574</v>
      </c>
      <c r="B10" s="7">
        <v>81.62</v>
      </c>
      <c r="C10" s="7">
        <v>82.12</v>
      </c>
      <c r="D10" s="7">
        <v>82.29</v>
      </c>
      <c r="E10" s="7">
        <v>80.91</v>
      </c>
      <c r="F10" s="7" t="s">
        <v>38</v>
      </c>
      <c r="G10" s="8">
        <v>-0.0049</v>
      </c>
    </row>
    <row r="11" spans="1:7">
      <c r="A11" s="6">
        <v>44575</v>
      </c>
      <c r="B11" s="7">
        <v>83.3</v>
      </c>
      <c r="C11" s="7">
        <v>81.21</v>
      </c>
      <c r="D11" s="7">
        <v>83.79</v>
      </c>
      <c r="E11" s="7">
        <v>81.1</v>
      </c>
      <c r="F11" s="7" t="s">
        <v>39</v>
      </c>
      <c r="G11" s="8">
        <v>0.0206</v>
      </c>
    </row>
    <row r="12" spans="1:7">
      <c r="A12" s="6">
        <v>44577</v>
      </c>
      <c r="B12" s="7">
        <v>83.83</v>
      </c>
      <c r="C12" s="7">
        <v>83.78</v>
      </c>
      <c r="D12" s="7">
        <v>84.09</v>
      </c>
      <c r="E12" s="7">
        <v>83.68</v>
      </c>
      <c r="G12" s="8">
        <v>0.0064</v>
      </c>
    </row>
    <row r="13" spans="1:7">
      <c r="A13" s="6">
        <v>44578</v>
      </c>
      <c r="B13" s="7">
        <v>83.69</v>
      </c>
      <c r="C13" s="7">
        <v>83.84</v>
      </c>
      <c r="D13" s="7">
        <v>83.95</v>
      </c>
      <c r="E13" s="7">
        <v>82.94</v>
      </c>
      <c r="G13" s="8">
        <v>-0.0017</v>
      </c>
    </row>
    <row r="14" spans="1:7">
      <c r="A14" s="6">
        <v>44579</v>
      </c>
      <c r="B14" s="7">
        <v>84.83</v>
      </c>
      <c r="C14" s="7">
        <v>83.77</v>
      </c>
      <c r="D14" s="7">
        <v>85.98</v>
      </c>
      <c r="E14" s="7">
        <v>82.93</v>
      </c>
      <c r="F14" s="7" t="s">
        <v>40</v>
      </c>
      <c r="G14" s="8">
        <v>0.0136</v>
      </c>
    </row>
    <row r="15" spans="1:7">
      <c r="A15" s="6">
        <v>44580</v>
      </c>
      <c r="B15" s="7">
        <v>85.8</v>
      </c>
      <c r="C15" s="7">
        <v>85.89</v>
      </c>
      <c r="D15" s="7">
        <v>86.79</v>
      </c>
      <c r="E15" s="7">
        <v>84.99</v>
      </c>
      <c r="F15" s="7" t="s">
        <v>41</v>
      </c>
      <c r="G15" s="8">
        <v>0.0114</v>
      </c>
    </row>
    <row r="16" spans="1:7">
      <c r="A16" s="6">
        <v>44581</v>
      </c>
      <c r="B16" s="7">
        <v>85.55</v>
      </c>
      <c r="C16" s="7">
        <v>85.06</v>
      </c>
      <c r="D16" s="7">
        <v>87.1</v>
      </c>
      <c r="E16" s="7">
        <v>84.2</v>
      </c>
      <c r="F16" s="7" t="s">
        <v>42</v>
      </c>
      <c r="G16" s="8">
        <v>-0.0029</v>
      </c>
    </row>
    <row r="17" spans="1:7">
      <c r="A17" s="6">
        <v>44582</v>
      </c>
      <c r="B17" s="7">
        <v>84.14</v>
      </c>
      <c r="C17" s="7">
        <v>83.65</v>
      </c>
      <c r="D17" s="7">
        <v>84.53</v>
      </c>
      <c r="E17" s="7">
        <v>81.96</v>
      </c>
      <c r="F17" s="7" t="s">
        <v>43</v>
      </c>
      <c r="G17" s="8">
        <v>-0.0165</v>
      </c>
    </row>
    <row r="18" spans="1:7">
      <c r="A18" s="6">
        <v>44585</v>
      </c>
      <c r="B18" s="7">
        <v>82.41</v>
      </c>
      <c r="C18" s="7">
        <v>83.84</v>
      </c>
      <c r="D18" s="7">
        <v>85.1</v>
      </c>
      <c r="E18" s="7">
        <v>81.06</v>
      </c>
      <c r="F18" s="7" t="s">
        <v>44</v>
      </c>
      <c r="G18" s="8">
        <v>-0.0206</v>
      </c>
    </row>
    <row r="19" spans="1:7">
      <c r="A19" s="6">
        <v>44586</v>
      </c>
      <c r="B19" s="7">
        <v>84.37</v>
      </c>
      <c r="C19" s="7">
        <v>83.32</v>
      </c>
      <c r="D19" s="7">
        <v>84.54</v>
      </c>
      <c r="E19" s="7">
        <v>82.14</v>
      </c>
      <c r="F19" s="7" t="s">
        <v>45</v>
      </c>
      <c r="G19" s="8">
        <v>0.0238</v>
      </c>
    </row>
    <row r="20" spans="1:7">
      <c r="A20" s="6">
        <v>44587</v>
      </c>
      <c r="B20" s="7">
        <v>85.96</v>
      </c>
      <c r="C20" s="7">
        <v>84.1</v>
      </c>
      <c r="D20" s="7">
        <v>86.51</v>
      </c>
      <c r="E20" s="7">
        <v>83.84</v>
      </c>
      <c r="F20" s="7" t="s">
        <v>46</v>
      </c>
      <c r="G20" s="8">
        <v>0.0188</v>
      </c>
    </row>
    <row r="21" spans="1:7">
      <c r="A21" s="6">
        <v>44588</v>
      </c>
      <c r="B21" s="7">
        <v>85.29</v>
      </c>
      <c r="C21" s="7">
        <v>85.71</v>
      </c>
      <c r="D21" s="7">
        <v>87.08</v>
      </c>
      <c r="E21" s="7">
        <v>84.9</v>
      </c>
      <c r="F21" s="7" t="s">
        <v>47</v>
      </c>
      <c r="G21" s="8">
        <v>-0.0078</v>
      </c>
    </row>
    <row r="22" spans="1:7">
      <c r="A22" s="6">
        <v>44589</v>
      </c>
      <c r="B22" s="7">
        <v>85.43</v>
      </c>
      <c r="C22" s="7">
        <v>86</v>
      </c>
      <c r="D22" s="7">
        <v>87.36</v>
      </c>
      <c r="E22" s="7">
        <v>85.06</v>
      </c>
      <c r="F22" s="7" t="s">
        <v>48</v>
      </c>
      <c r="G22" s="8">
        <v>0.0016</v>
      </c>
    </row>
    <row r="23" spans="1:7">
      <c r="A23" s="6">
        <v>44592</v>
      </c>
      <c r="B23" s="7">
        <v>86.49</v>
      </c>
      <c r="C23" s="7">
        <v>85.92</v>
      </c>
      <c r="D23" s="7">
        <v>86.68</v>
      </c>
      <c r="E23" s="7">
        <v>84.96</v>
      </c>
      <c r="F23" s="7" t="s">
        <v>49</v>
      </c>
      <c r="G23" s="8">
        <v>0.0124</v>
      </c>
    </row>
    <row r="24" spans="1:7">
      <c r="A24" s="6">
        <v>44593</v>
      </c>
      <c r="B24" s="7">
        <v>86.46</v>
      </c>
      <c r="C24" s="7">
        <v>86.45</v>
      </c>
      <c r="D24" s="7">
        <v>87.12</v>
      </c>
      <c r="E24" s="7">
        <v>84.92</v>
      </c>
      <c r="F24" s="7" t="s">
        <v>50</v>
      </c>
      <c r="G24" s="8">
        <v>-0.0003</v>
      </c>
    </row>
    <row r="25" spans="1:7">
      <c r="A25" s="6">
        <v>44594</v>
      </c>
      <c r="B25" s="7">
        <v>86.69</v>
      </c>
      <c r="C25" s="7">
        <v>86.64</v>
      </c>
      <c r="D25" s="7">
        <v>87.93</v>
      </c>
      <c r="E25" s="7">
        <v>85.56</v>
      </c>
      <c r="F25" s="7" t="s">
        <v>51</v>
      </c>
      <c r="G25" s="8">
        <v>0.0027</v>
      </c>
    </row>
    <row r="26" spans="1:7">
      <c r="A26" s="6">
        <v>44595</v>
      </c>
      <c r="B26" s="7">
        <v>88.45</v>
      </c>
      <c r="C26" s="7">
        <v>86.4</v>
      </c>
      <c r="D26" s="7">
        <v>88.59</v>
      </c>
      <c r="E26" s="7">
        <v>85.24</v>
      </c>
      <c r="F26" s="7" t="s">
        <v>52</v>
      </c>
      <c r="G26" s="8">
        <v>0.0203</v>
      </c>
    </row>
    <row r="27" spans="1:7">
      <c r="A27" s="6">
        <v>44596</v>
      </c>
      <c r="B27" s="7">
        <v>90.33</v>
      </c>
      <c r="C27" s="7">
        <v>88.33</v>
      </c>
      <c r="D27" s="7">
        <v>90.98</v>
      </c>
      <c r="E27" s="7">
        <v>88.18</v>
      </c>
      <c r="F27" s="7" t="s">
        <v>53</v>
      </c>
      <c r="G27" s="8">
        <v>0.0213</v>
      </c>
    </row>
    <row r="28" spans="1:7">
      <c r="A28" s="6">
        <v>44599</v>
      </c>
      <c r="B28" s="7">
        <v>89.77</v>
      </c>
      <c r="C28" s="7">
        <v>89.88</v>
      </c>
      <c r="D28" s="7">
        <v>90.97</v>
      </c>
      <c r="E28" s="7">
        <v>89.08</v>
      </c>
      <c r="F28" s="7" t="s">
        <v>54</v>
      </c>
      <c r="G28" s="8">
        <v>-0.0062</v>
      </c>
    </row>
    <row r="29" spans="1:7">
      <c r="A29" s="6">
        <v>44600</v>
      </c>
      <c r="B29" s="7">
        <v>87.9</v>
      </c>
      <c r="C29" s="7">
        <v>89.98</v>
      </c>
      <c r="D29" s="7">
        <v>90.07</v>
      </c>
      <c r="E29" s="7">
        <v>87.07</v>
      </c>
      <c r="F29" s="7" t="s">
        <v>55</v>
      </c>
      <c r="G29" s="8">
        <v>-0.0208</v>
      </c>
    </row>
    <row r="30" spans="1:7">
      <c r="A30" s="6">
        <v>44601</v>
      </c>
      <c r="B30" s="7">
        <v>88.53</v>
      </c>
      <c r="C30" s="7">
        <v>88.4</v>
      </c>
      <c r="D30" s="7">
        <v>89.17</v>
      </c>
      <c r="E30" s="7">
        <v>87.15</v>
      </c>
      <c r="F30" s="7" t="s">
        <v>56</v>
      </c>
      <c r="G30" s="8">
        <v>0.0072</v>
      </c>
    </row>
    <row r="31" spans="1:7">
      <c r="A31" s="6">
        <v>44602</v>
      </c>
      <c r="B31" s="7">
        <v>88.56</v>
      </c>
      <c r="C31" s="7">
        <v>88.84</v>
      </c>
      <c r="D31" s="7">
        <v>90.26</v>
      </c>
      <c r="E31" s="7">
        <v>87.87</v>
      </c>
      <c r="F31" s="7" t="s">
        <v>57</v>
      </c>
      <c r="G31" s="8">
        <v>0.0003</v>
      </c>
    </row>
    <row r="32" spans="1:7">
      <c r="A32" s="6">
        <v>44603</v>
      </c>
      <c r="B32" s="7">
        <v>91.42</v>
      </c>
      <c r="C32" s="7">
        <v>88.56</v>
      </c>
      <c r="D32" s="7">
        <v>92.74</v>
      </c>
      <c r="E32" s="7">
        <v>87.79</v>
      </c>
      <c r="F32" s="7" t="s">
        <v>58</v>
      </c>
      <c r="G32" s="8">
        <v>0.0323</v>
      </c>
    </row>
    <row r="33" spans="1:7">
      <c r="A33" s="6">
        <v>44606</v>
      </c>
      <c r="B33" s="7">
        <v>93.5</v>
      </c>
      <c r="C33" s="7">
        <v>92.06</v>
      </c>
      <c r="D33" s="7">
        <v>93.83</v>
      </c>
      <c r="E33" s="7">
        <v>90.45</v>
      </c>
      <c r="F33" s="7" t="s">
        <v>59</v>
      </c>
      <c r="G33" s="8">
        <v>0.0228</v>
      </c>
    </row>
    <row r="34" spans="1:7">
      <c r="A34" s="6">
        <v>44607</v>
      </c>
      <c r="B34" s="7">
        <v>90.21</v>
      </c>
      <c r="C34" s="7">
        <v>92.84</v>
      </c>
      <c r="D34" s="7">
        <v>93.16</v>
      </c>
      <c r="E34" s="7">
        <v>88.94</v>
      </c>
      <c r="F34" s="7" t="s">
        <v>60</v>
      </c>
      <c r="G34" s="8">
        <v>-0.0352</v>
      </c>
    </row>
    <row r="35" spans="1:7">
      <c r="A35" s="6">
        <v>44608</v>
      </c>
      <c r="B35" s="7">
        <v>91.83</v>
      </c>
      <c r="C35" s="7">
        <v>90.31</v>
      </c>
      <c r="D35" s="7">
        <v>93.07</v>
      </c>
      <c r="E35" s="7">
        <v>88.2</v>
      </c>
      <c r="F35" s="7" t="s">
        <v>61</v>
      </c>
      <c r="G35" s="8">
        <v>0.018</v>
      </c>
    </row>
    <row r="36" spans="1:7">
      <c r="A36" s="6">
        <v>44609</v>
      </c>
      <c r="B36" s="7">
        <v>90.04</v>
      </c>
      <c r="C36" s="7">
        <v>89.25</v>
      </c>
      <c r="D36" s="7">
        <v>91.51</v>
      </c>
      <c r="E36" s="7">
        <v>88.83</v>
      </c>
      <c r="F36" s="7" t="s">
        <v>62</v>
      </c>
      <c r="G36" s="8">
        <v>-0.0195</v>
      </c>
    </row>
    <row r="37" spans="1:7">
      <c r="A37" s="6">
        <v>44610</v>
      </c>
      <c r="B37" s="7">
        <v>90.21</v>
      </c>
      <c r="C37" s="7">
        <v>90.06</v>
      </c>
      <c r="D37" s="7">
        <v>91.07</v>
      </c>
      <c r="E37" s="7">
        <v>87.46</v>
      </c>
      <c r="F37" s="7" t="s">
        <v>63</v>
      </c>
      <c r="G37" s="8">
        <v>0.0019</v>
      </c>
    </row>
    <row r="38" spans="1:7">
      <c r="A38" s="6">
        <v>44612</v>
      </c>
      <c r="B38" s="7">
        <v>91.62</v>
      </c>
      <c r="C38" s="7">
        <v>91.22</v>
      </c>
      <c r="D38" s="7">
        <v>91.74</v>
      </c>
      <c r="E38" s="7">
        <v>91.08</v>
      </c>
      <c r="G38" s="8">
        <v>0.0156</v>
      </c>
    </row>
    <row r="39" spans="1:7">
      <c r="A39" s="6">
        <v>44613</v>
      </c>
      <c r="B39" s="7">
        <v>92.65</v>
      </c>
      <c r="C39" s="7">
        <v>91.62</v>
      </c>
      <c r="D39" s="7">
        <v>93.91</v>
      </c>
      <c r="E39" s="7">
        <v>89.08</v>
      </c>
      <c r="G39" s="8">
        <v>0.0112</v>
      </c>
    </row>
    <row r="40" spans="1:7">
      <c r="A40" s="6">
        <v>44614</v>
      </c>
      <c r="B40" s="7">
        <v>91.91</v>
      </c>
      <c r="C40" s="7">
        <v>91.32</v>
      </c>
      <c r="D40" s="7">
        <v>94.95</v>
      </c>
      <c r="E40" s="7">
        <v>89.06</v>
      </c>
      <c r="F40" s="7" t="s">
        <v>64</v>
      </c>
      <c r="G40" s="8">
        <v>-0.008</v>
      </c>
    </row>
    <row r="41" spans="1:7">
      <c r="A41" s="6">
        <v>44615</v>
      </c>
      <c r="B41" s="7">
        <v>90.69</v>
      </c>
      <c r="C41" s="7">
        <v>90.31</v>
      </c>
      <c r="D41" s="7">
        <v>92.36</v>
      </c>
      <c r="E41" s="7">
        <v>89.34</v>
      </c>
      <c r="F41" s="7" t="s">
        <v>65</v>
      </c>
      <c r="G41" s="8">
        <v>-0.0133</v>
      </c>
    </row>
    <row r="42" spans="1:7">
      <c r="A42" s="6">
        <v>44616</v>
      </c>
      <c r="B42" s="7">
        <v>90.94</v>
      </c>
      <c r="C42" s="7">
        <v>91.08</v>
      </c>
      <c r="D42" s="7">
        <v>98.44</v>
      </c>
      <c r="E42" s="7">
        <v>89.65</v>
      </c>
      <c r="F42" s="7" t="s">
        <v>66</v>
      </c>
      <c r="G42" s="8">
        <v>0.0028</v>
      </c>
    </row>
    <row r="43" spans="1:7">
      <c r="A43" s="6">
        <v>44617</v>
      </c>
      <c r="B43" s="7">
        <v>89.89</v>
      </c>
      <c r="C43" s="7">
        <v>91.48</v>
      </c>
      <c r="D43" s="7">
        <v>93.73</v>
      </c>
      <c r="E43" s="7">
        <v>88.49</v>
      </c>
      <c r="F43" s="7" t="s">
        <v>67</v>
      </c>
      <c r="G43" s="8">
        <v>-0.0115</v>
      </c>
    </row>
    <row r="44" spans="1:7">
      <c r="A44" s="6">
        <v>44620</v>
      </c>
      <c r="B44" s="7">
        <v>93.5</v>
      </c>
      <c r="C44" s="7">
        <v>92.97</v>
      </c>
      <c r="D44" s="7">
        <v>96.92</v>
      </c>
      <c r="E44" s="7">
        <v>92.42</v>
      </c>
      <c r="F44" s="7" t="s">
        <v>68</v>
      </c>
      <c r="G44" s="8">
        <v>0.0402</v>
      </c>
    </row>
    <row r="45" spans="1:7">
      <c r="A45" s="6">
        <v>44621</v>
      </c>
      <c r="B45" s="7">
        <v>100.21</v>
      </c>
      <c r="C45" s="7">
        <v>93.88</v>
      </c>
      <c r="D45" s="7">
        <v>103.06</v>
      </c>
      <c r="E45" s="7">
        <v>93.21</v>
      </c>
      <c r="F45" s="7" t="s">
        <v>69</v>
      </c>
      <c r="G45" s="8">
        <v>0.0718</v>
      </c>
    </row>
    <row r="46" spans="1:7">
      <c r="A46" s="6">
        <v>44622</v>
      </c>
      <c r="B46" s="7">
        <v>107.06</v>
      </c>
      <c r="C46" s="7">
        <v>103.43</v>
      </c>
      <c r="D46" s="7">
        <v>108.91</v>
      </c>
      <c r="E46" s="7">
        <v>101.86</v>
      </c>
      <c r="F46" s="7" t="s">
        <v>70</v>
      </c>
      <c r="G46" s="8">
        <v>0.0684</v>
      </c>
    </row>
    <row r="47" spans="1:7">
      <c r="A47" s="6">
        <v>44623</v>
      </c>
      <c r="B47" s="7">
        <v>104.61</v>
      </c>
      <c r="C47" s="7">
        <v>107.27</v>
      </c>
      <c r="D47" s="7">
        <v>112.65</v>
      </c>
      <c r="E47" s="7">
        <v>103.14</v>
      </c>
      <c r="F47" s="7" t="s">
        <v>71</v>
      </c>
      <c r="G47" s="8">
        <v>-0.0229</v>
      </c>
    </row>
    <row r="48" spans="1:7">
      <c r="A48" s="6">
        <v>44624</v>
      </c>
      <c r="B48" s="7">
        <v>112.11</v>
      </c>
      <c r="C48" s="7">
        <v>105.04</v>
      </c>
      <c r="D48" s="7">
        <v>112.54</v>
      </c>
      <c r="E48" s="7">
        <v>104.36</v>
      </c>
      <c r="F48" s="7" t="s">
        <v>72</v>
      </c>
      <c r="G48" s="8">
        <v>0.0717</v>
      </c>
    </row>
    <row r="49" spans="1:7">
      <c r="A49" s="6">
        <v>44627</v>
      </c>
      <c r="B49" s="7">
        <v>115.8</v>
      </c>
      <c r="C49" s="7">
        <v>116.03</v>
      </c>
      <c r="D49" s="7">
        <v>126.42</v>
      </c>
      <c r="E49" s="7">
        <v>111.87</v>
      </c>
      <c r="F49" s="7" t="s">
        <v>73</v>
      </c>
      <c r="G49" s="8">
        <v>0.0329</v>
      </c>
    </row>
    <row r="50" spans="1:7">
      <c r="A50" s="6">
        <v>44628</v>
      </c>
      <c r="B50" s="7">
        <v>119.65</v>
      </c>
      <c r="C50" s="7">
        <v>116.98</v>
      </c>
      <c r="D50" s="7">
        <v>124.98</v>
      </c>
      <c r="E50" s="7">
        <v>113.66</v>
      </c>
      <c r="F50" s="7" t="s">
        <v>74</v>
      </c>
      <c r="G50" s="8">
        <v>0.0332</v>
      </c>
    </row>
    <row r="51" spans="1:7">
      <c r="A51" s="6">
        <v>44629</v>
      </c>
      <c r="B51" s="7">
        <v>105.05</v>
      </c>
      <c r="C51" s="7">
        <v>120.66</v>
      </c>
      <c r="D51" s="7">
        <v>122.73</v>
      </c>
      <c r="E51" s="7">
        <v>99.55</v>
      </c>
      <c r="F51" s="7" t="s">
        <v>75</v>
      </c>
      <c r="G51" s="8">
        <v>-0.122</v>
      </c>
    </row>
    <row r="52" spans="1:7">
      <c r="A52" s="6">
        <v>44630</v>
      </c>
      <c r="B52" s="7">
        <v>102.99</v>
      </c>
      <c r="C52" s="7">
        <v>106.59</v>
      </c>
      <c r="D52" s="7">
        <v>110.91</v>
      </c>
      <c r="E52" s="7">
        <v>102.38</v>
      </c>
      <c r="F52" s="7" t="s">
        <v>76</v>
      </c>
      <c r="G52" s="8">
        <v>-0.0196</v>
      </c>
    </row>
    <row r="53" spans="1:7">
      <c r="A53" s="6">
        <v>44631</v>
      </c>
      <c r="B53" s="7">
        <v>106.3</v>
      </c>
      <c r="C53" s="7">
        <v>103</v>
      </c>
      <c r="D53" s="7">
        <v>107.17</v>
      </c>
      <c r="E53" s="7">
        <v>101.27</v>
      </c>
      <c r="F53" s="7" t="s">
        <v>77</v>
      </c>
      <c r="G53" s="8">
        <v>0.0321</v>
      </c>
    </row>
    <row r="54" spans="1:7">
      <c r="A54" s="6">
        <v>44634</v>
      </c>
      <c r="B54" s="7">
        <v>101.18</v>
      </c>
      <c r="C54" s="7">
        <v>106.64</v>
      </c>
      <c r="D54" s="7">
        <v>106.65</v>
      </c>
      <c r="E54" s="7">
        <v>97.89</v>
      </c>
      <c r="F54" s="7" t="s">
        <v>78</v>
      </c>
      <c r="G54" s="8">
        <v>-0.0482</v>
      </c>
    </row>
    <row r="55" spans="1:7">
      <c r="A55" s="6">
        <v>44635</v>
      </c>
      <c r="B55" s="7">
        <v>94.79</v>
      </c>
      <c r="C55" s="7">
        <v>100.55</v>
      </c>
      <c r="D55" s="7">
        <v>100.92</v>
      </c>
      <c r="E55" s="7">
        <v>92.2</v>
      </c>
      <c r="F55" s="7" t="s">
        <v>79</v>
      </c>
      <c r="G55" s="8">
        <v>-0.0632</v>
      </c>
    </row>
    <row r="56" spans="1:7">
      <c r="A56" s="6">
        <v>44636</v>
      </c>
      <c r="B56" s="7">
        <v>93.59</v>
      </c>
      <c r="C56" s="7">
        <v>93.7</v>
      </c>
      <c r="D56" s="7">
        <v>97.93</v>
      </c>
      <c r="E56" s="7">
        <v>92.68</v>
      </c>
      <c r="F56" s="7" t="s">
        <v>80</v>
      </c>
      <c r="G56" s="8">
        <v>-0.0127</v>
      </c>
    </row>
    <row r="57" spans="1:7">
      <c r="A57" s="6">
        <v>44637</v>
      </c>
      <c r="B57" s="7">
        <v>101.65</v>
      </c>
      <c r="C57" s="7">
        <v>94.08</v>
      </c>
      <c r="D57" s="7">
        <v>102.69</v>
      </c>
      <c r="E57" s="7">
        <v>93.41</v>
      </c>
      <c r="F57" s="7" t="s">
        <v>81</v>
      </c>
      <c r="G57" s="8">
        <v>0.0861</v>
      </c>
    </row>
    <row r="58" spans="1:7">
      <c r="A58" s="6">
        <v>44638</v>
      </c>
      <c r="B58" s="7">
        <v>103.09</v>
      </c>
      <c r="C58" s="7">
        <v>102.23</v>
      </c>
      <c r="D58" s="7">
        <v>104.67</v>
      </c>
      <c r="E58" s="7">
        <v>100.96</v>
      </c>
      <c r="F58" s="7" t="s">
        <v>82</v>
      </c>
      <c r="G58" s="8">
        <v>0.0142</v>
      </c>
    </row>
    <row r="59" spans="1:7">
      <c r="A59" s="6">
        <v>44641</v>
      </c>
      <c r="B59" s="7">
        <v>109.97</v>
      </c>
      <c r="C59" s="7">
        <v>103.62</v>
      </c>
      <c r="D59" s="7">
        <v>111.08</v>
      </c>
      <c r="E59" s="7">
        <v>102.47</v>
      </c>
      <c r="F59" s="7" t="s">
        <v>83</v>
      </c>
      <c r="G59" s="8">
        <v>0.0667</v>
      </c>
    </row>
    <row r="60" spans="1:7">
      <c r="A60" s="6">
        <v>44642</v>
      </c>
      <c r="B60" s="7">
        <v>109.27</v>
      </c>
      <c r="C60" s="7">
        <v>110.91</v>
      </c>
      <c r="D60" s="7">
        <v>113.35</v>
      </c>
      <c r="E60" s="7">
        <v>107.1</v>
      </c>
      <c r="F60" s="7" t="s">
        <v>84</v>
      </c>
      <c r="G60" s="8">
        <v>-0.0064</v>
      </c>
    </row>
    <row r="61" spans="1:7">
      <c r="A61" s="6">
        <v>44643</v>
      </c>
      <c r="B61" s="7">
        <v>111.99</v>
      </c>
      <c r="C61" s="7">
        <v>105.84</v>
      </c>
      <c r="D61" s="7">
        <v>112.34</v>
      </c>
      <c r="E61" s="7">
        <v>105.69</v>
      </c>
      <c r="F61" s="7" t="s">
        <v>85</v>
      </c>
      <c r="G61" s="8">
        <v>0.0249</v>
      </c>
    </row>
    <row r="62" spans="1:7">
      <c r="A62" s="6">
        <v>44644</v>
      </c>
      <c r="B62" s="7">
        <v>109.43</v>
      </c>
      <c r="C62" s="7">
        <v>111.41</v>
      </c>
      <c r="D62" s="7">
        <v>113.51</v>
      </c>
      <c r="E62" s="7">
        <v>107.79</v>
      </c>
      <c r="F62" s="7" t="s">
        <v>86</v>
      </c>
      <c r="G62" s="8">
        <v>-0.0229</v>
      </c>
    </row>
    <row r="63" spans="1:7">
      <c r="A63" s="6">
        <v>44645</v>
      </c>
      <c r="B63" s="7">
        <v>111.06</v>
      </c>
      <c r="C63" s="7">
        <v>108.29</v>
      </c>
      <c r="D63" s="7">
        <v>111.26</v>
      </c>
      <c r="E63" s="7">
        <v>105.86</v>
      </c>
      <c r="F63" s="7" t="s">
        <v>87</v>
      </c>
      <c r="G63" s="8">
        <v>0.0149</v>
      </c>
    </row>
    <row r="64" spans="1:7">
      <c r="A64" s="6">
        <v>44648</v>
      </c>
      <c r="B64" s="7">
        <v>103.42</v>
      </c>
      <c r="C64" s="7">
        <v>110.22</v>
      </c>
      <c r="D64" s="7">
        <v>110.22</v>
      </c>
      <c r="E64" s="7">
        <v>100.43</v>
      </c>
      <c r="F64" s="7" t="s">
        <v>88</v>
      </c>
      <c r="G64" s="8">
        <v>-0.0688</v>
      </c>
    </row>
    <row r="65" spans="1:7">
      <c r="A65" s="6">
        <v>44649</v>
      </c>
      <c r="B65" s="7">
        <v>102.05</v>
      </c>
      <c r="C65" s="7">
        <v>101.29</v>
      </c>
      <c r="D65" s="7">
        <v>105.45</v>
      </c>
      <c r="E65" s="7">
        <v>96.52</v>
      </c>
      <c r="F65" s="7" t="s">
        <v>89</v>
      </c>
      <c r="G65" s="8">
        <v>-0.0132</v>
      </c>
    </row>
    <row r="66" spans="1:7">
      <c r="A66" s="6">
        <v>44650</v>
      </c>
      <c r="B66" s="7">
        <v>105.68</v>
      </c>
      <c r="C66" s="7">
        <v>103.04</v>
      </c>
      <c r="D66" s="7">
        <v>106.44</v>
      </c>
      <c r="E66" s="7">
        <v>102.41</v>
      </c>
      <c r="F66" s="7" t="s">
        <v>90</v>
      </c>
      <c r="G66" s="8">
        <v>0.0356</v>
      </c>
    </row>
    <row r="67" spans="1:7">
      <c r="A67" s="6">
        <v>44651</v>
      </c>
      <c r="B67" s="7">
        <v>98.52</v>
      </c>
      <c r="C67" s="7">
        <v>105.3</v>
      </c>
      <c r="D67" s="7">
        <v>105.64</v>
      </c>
      <c r="E67" s="7">
        <v>97.88</v>
      </c>
      <c r="F67" s="7" t="s">
        <v>91</v>
      </c>
      <c r="G67" s="8">
        <v>-0.0678</v>
      </c>
    </row>
    <row r="68" spans="1:7">
      <c r="A68" s="6">
        <v>44652</v>
      </c>
      <c r="B68" s="7">
        <v>97.9</v>
      </c>
      <c r="C68" s="7">
        <v>99.77</v>
      </c>
      <c r="D68" s="7">
        <v>100</v>
      </c>
      <c r="E68" s="7">
        <v>96.22</v>
      </c>
      <c r="F68" s="7" t="s">
        <v>92</v>
      </c>
      <c r="G68" s="8">
        <v>-0.0063</v>
      </c>
    </row>
    <row r="69" spans="1:7">
      <c r="A69" s="6">
        <v>44655</v>
      </c>
      <c r="B69" s="7">
        <v>101.84</v>
      </c>
      <c r="C69" s="7">
        <v>97.68</v>
      </c>
      <c r="D69" s="7">
        <v>102.44</v>
      </c>
      <c r="E69" s="7">
        <v>96.83</v>
      </c>
      <c r="F69" s="7" t="s">
        <v>93</v>
      </c>
      <c r="G69" s="8">
        <v>0.0402</v>
      </c>
    </row>
    <row r="70" spans="1:7">
      <c r="A70" s="6">
        <v>44656</v>
      </c>
      <c r="B70" s="7">
        <v>100.68</v>
      </c>
      <c r="C70" s="7">
        <v>102.16</v>
      </c>
      <c r="D70" s="7">
        <v>104.07</v>
      </c>
      <c r="E70" s="7">
        <v>98.63</v>
      </c>
      <c r="F70" s="7" t="s">
        <v>94</v>
      </c>
      <c r="G70" s="8">
        <v>-0.0114</v>
      </c>
    </row>
    <row r="71" spans="1:7">
      <c r="A71" s="6">
        <v>44657</v>
      </c>
      <c r="B71" s="7">
        <v>95.41</v>
      </c>
      <c r="C71" s="7">
        <v>99.95</v>
      </c>
      <c r="D71" s="7">
        <v>102.63</v>
      </c>
      <c r="E71" s="7">
        <v>94.93</v>
      </c>
      <c r="F71" s="7" t="s">
        <v>95</v>
      </c>
      <c r="G71" s="8">
        <v>-0.0523</v>
      </c>
    </row>
    <row r="72" spans="1:7">
      <c r="A72" s="6">
        <v>44658</v>
      </c>
      <c r="B72" s="7">
        <v>95.51</v>
      </c>
      <c r="C72" s="7">
        <v>96.29</v>
      </c>
      <c r="D72" s="7">
        <v>97.95</v>
      </c>
      <c r="E72" s="7">
        <v>93.21</v>
      </c>
      <c r="F72" s="7" t="s">
        <v>96</v>
      </c>
      <c r="G72" s="8">
        <v>0.001</v>
      </c>
    </row>
    <row r="73" spans="1:7">
      <c r="A73" s="6">
        <v>44659</v>
      </c>
      <c r="B73" s="7">
        <v>97.73</v>
      </c>
      <c r="C73" s="7">
        <v>96.31</v>
      </c>
      <c r="D73" s="7">
        <v>98.12</v>
      </c>
      <c r="E73" s="7">
        <v>94.72</v>
      </c>
      <c r="F73" s="7" t="s">
        <v>97</v>
      </c>
      <c r="G73" s="8">
        <v>0.0232</v>
      </c>
    </row>
    <row r="74" spans="1:7">
      <c r="A74" s="6">
        <v>44662</v>
      </c>
      <c r="B74" s="7">
        <v>93.92</v>
      </c>
      <c r="C74" s="7">
        <v>97.84</v>
      </c>
      <c r="D74" s="7">
        <v>97.95</v>
      </c>
      <c r="E74" s="7">
        <v>92.6</v>
      </c>
      <c r="F74" s="7" t="s">
        <v>98</v>
      </c>
      <c r="G74" s="8">
        <v>-0.039</v>
      </c>
    </row>
    <row r="75" spans="1:7">
      <c r="A75" s="6">
        <v>44663</v>
      </c>
      <c r="B75" s="7">
        <v>100.15</v>
      </c>
      <c r="C75" s="7">
        <v>94.84</v>
      </c>
      <c r="D75" s="7">
        <v>100.82</v>
      </c>
      <c r="E75" s="7">
        <v>94.52</v>
      </c>
      <c r="F75" s="7" t="s">
        <v>99</v>
      </c>
      <c r="G75" s="8">
        <v>0.0663</v>
      </c>
    </row>
    <row r="76" spans="1:7">
      <c r="A76" s="6">
        <v>44664</v>
      </c>
      <c r="B76" s="7">
        <v>103.79</v>
      </c>
      <c r="C76" s="7">
        <v>100.35</v>
      </c>
      <c r="D76" s="7">
        <v>104</v>
      </c>
      <c r="E76" s="7">
        <v>99.51</v>
      </c>
      <c r="F76" s="7" t="s">
        <v>100</v>
      </c>
      <c r="G76" s="8">
        <v>0.0363</v>
      </c>
    </row>
    <row r="77" spans="1:7">
      <c r="A77" s="6">
        <v>44665</v>
      </c>
      <c r="B77" s="7">
        <v>106.38</v>
      </c>
      <c r="C77" s="7">
        <v>103.79</v>
      </c>
      <c r="D77" s="7">
        <v>107</v>
      </c>
      <c r="E77" s="7">
        <v>101.69</v>
      </c>
      <c r="F77" s="7" t="s">
        <v>101</v>
      </c>
      <c r="G77" s="8">
        <v>0.025</v>
      </c>
    </row>
    <row r="78" spans="1:7">
      <c r="A78" s="6">
        <v>44669</v>
      </c>
      <c r="B78" s="7">
        <v>107.61</v>
      </c>
      <c r="C78" s="7">
        <v>106.46</v>
      </c>
      <c r="D78" s="7">
        <v>109.2</v>
      </c>
      <c r="E78" s="7">
        <v>105.43</v>
      </c>
      <c r="F78" s="7" t="s">
        <v>102</v>
      </c>
      <c r="G78" s="8">
        <v>0.0116</v>
      </c>
    </row>
    <row r="79" spans="1:7">
      <c r="A79" s="6">
        <v>44670</v>
      </c>
      <c r="B79" s="7">
        <v>102.05</v>
      </c>
      <c r="C79" s="7">
        <v>107.06</v>
      </c>
      <c r="D79" s="7">
        <v>108.37</v>
      </c>
      <c r="E79" s="7">
        <v>101.51</v>
      </c>
      <c r="F79" s="7" t="s">
        <v>103</v>
      </c>
      <c r="G79" s="8">
        <v>-0.0517</v>
      </c>
    </row>
    <row r="80" spans="1:7">
      <c r="A80" s="6">
        <v>44671</v>
      </c>
      <c r="B80" s="7">
        <v>102.19</v>
      </c>
      <c r="C80" s="7">
        <v>102.38</v>
      </c>
      <c r="D80" s="7">
        <v>103.96</v>
      </c>
      <c r="E80" s="7">
        <v>99.88</v>
      </c>
      <c r="F80" s="7" t="s">
        <v>104</v>
      </c>
      <c r="G80" s="8">
        <v>0.0014</v>
      </c>
    </row>
    <row r="81" spans="1:7">
      <c r="A81" s="6">
        <v>44672</v>
      </c>
      <c r="B81" s="7">
        <v>102.96</v>
      </c>
      <c r="C81" s="7">
        <v>101.66</v>
      </c>
      <c r="D81" s="7">
        <v>104.47</v>
      </c>
      <c r="E81" s="7">
        <v>101.25</v>
      </c>
      <c r="F81" s="7" t="s">
        <v>105</v>
      </c>
      <c r="G81" s="8">
        <v>0.0075</v>
      </c>
    </row>
    <row r="82" spans="1:7">
      <c r="A82" s="6">
        <v>44673</v>
      </c>
      <c r="B82" s="7">
        <v>101.05</v>
      </c>
      <c r="C82" s="7">
        <v>102.01</v>
      </c>
      <c r="D82" s="7">
        <v>103.34</v>
      </c>
      <c r="E82" s="7">
        <v>100.08</v>
      </c>
      <c r="F82" s="7" t="s">
        <v>106</v>
      </c>
      <c r="G82" s="8">
        <v>-0.0186</v>
      </c>
    </row>
    <row r="83" spans="1:7">
      <c r="A83" s="6">
        <v>44676</v>
      </c>
      <c r="B83" s="7">
        <v>97.67</v>
      </c>
      <c r="C83" s="7">
        <v>100.38</v>
      </c>
      <c r="D83" s="7">
        <v>100.48</v>
      </c>
      <c r="E83" s="7">
        <v>94.47</v>
      </c>
      <c r="F83" s="7" t="s">
        <v>107</v>
      </c>
      <c r="G83" s="8">
        <v>-0.0334</v>
      </c>
    </row>
    <row r="84" spans="1:7">
      <c r="A84" s="6">
        <v>44677</v>
      </c>
      <c r="B84" s="7">
        <v>100.41</v>
      </c>
      <c r="C84" s="7">
        <v>97.77</v>
      </c>
      <c r="D84" s="7">
        <v>101.5</v>
      </c>
      <c r="E84" s="7">
        <v>96.37</v>
      </c>
      <c r="F84" s="7" t="s">
        <v>108</v>
      </c>
      <c r="G84" s="8">
        <v>0.0281</v>
      </c>
    </row>
    <row r="85" spans="1:7">
      <c r="A85" s="6">
        <v>44678</v>
      </c>
      <c r="B85" s="7">
        <v>100.68</v>
      </c>
      <c r="C85" s="7">
        <v>100.76</v>
      </c>
      <c r="D85" s="7">
        <v>101.68</v>
      </c>
      <c r="E85" s="7">
        <v>98.65</v>
      </c>
      <c r="F85" s="7" t="s">
        <v>109</v>
      </c>
      <c r="G85" s="8">
        <v>0.0027</v>
      </c>
    </row>
    <row r="86" spans="1:7">
      <c r="A86" s="6">
        <v>44679</v>
      </c>
      <c r="B86" s="7">
        <v>103.47</v>
      </c>
      <c r="C86" s="7">
        <v>100.59</v>
      </c>
      <c r="D86" s="7">
        <v>103.77</v>
      </c>
      <c r="E86" s="7">
        <v>98.75</v>
      </c>
      <c r="F86" s="7" t="s">
        <v>110</v>
      </c>
      <c r="G86" s="8">
        <v>0.0277</v>
      </c>
    </row>
    <row r="87" spans="1:7">
      <c r="A87" s="6">
        <v>44680</v>
      </c>
      <c r="B87" s="7">
        <v>102.94</v>
      </c>
      <c r="C87" s="7">
        <v>103.12</v>
      </c>
      <c r="D87" s="7">
        <v>105.99</v>
      </c>
      <c r="E87" s="7">
        <v>102.14</v>
      </c>
      <c r="F87" s="7" t="s">
        <v>111</v>
      </c>
      <c r="G87" s="8">
        <v>-0.0051</v>
      </c>
    </row>
    <row r="88" spans="1:7">
      <c r="A88" s="6">
        <v>44683</v>
      </c>
      <c r="B88" s="7">
        <v>103.42</v>
      </c>
      <c r="C88" s="7">
        <v>102.15</v>
      </c>
      <c r="D88" s="7">
        <v>104.19</v>
      </c>
      <c r="E88" s="7">
        <v>98.87</v>
      </c>
      <c r="F88" s="7" t="s">
        <v>112</v>
      </c>
      <c r="G88" s="8">
        <v>0.0047</v>
      </c>
    </row>
    <row r="89" spans="1:7">
      <c r="A89" s="6">
        <v>44684</v>
      </c>
      <c r="B89" s="7">
        <v>100.9</v>
      </c>
      <c r="C89" s="7">
        <v>103.19</v>
      </c>
      <c r="D89" s="7">
        <v>104.06</v>
      </c>
      <c r="E89" s="7">
        <v>100.58</v>
      </c>
      <c r="F89" s="7" t="s">
        <v>113</v>
      </c>
      <c r="G89" s="8">
        <v>-0.0244</v>
      </c>
    </row>
    <row r="90" spans="1:7">
      <c r="A90" s="6">
        <v>44685</v>
      </c>
      <c r="B90" s="7">
        <v>106.22</v>
      </c>
      <c r="C90" s="7">
        <v>101.99</v>
      </c>
      <c r="D90" s="7">
        <v>107</v>
      </c>
      <c r="E90" s="7">
        <v>101.41</v>
      </c>
      <c r="F90" s="7" t="s">
        <v>114</v>
      </c>
      <c r="G90" s="8">
        <v>0.0527</v>
      </c>
    </row>
    <row r="91" spans="1:7">
      <c r="A91" s="6">
        <v>44686</v>
      </c>
      <c r="B91" s="7">
        <v>106.74</v>
      </c>
      <c r="C91" s="7">
        <v>106.07</v>
      </c>
      <c r="D91" s="7">
        <v>109.77</v>
      </c>
      <c r="E91" s="7">
        <v>104.95</v>
      </c>
      <c r="F91" s="7" t="s">
        <v>115</v>
      </c>
      <c r="G91" s="8">
        <v>0.0049</v>
      </c>
    </row>
    <row r="92" spans="1:7">
      <c r="A92" s="6">
        <v>44687</v>
      </c>
      <c r="B92" s="7">
        <v>108.33</v>
      </c>
      <c r="C92" s="7">
        <v>107.07</v>
      </c>
      <c r="D92" s="7">
        <v>109.53</v>
      </c>
      <c r="E92" s="7">
        <v>105.72</v>
      </c>
      <c r="F92" s="7" t="s">
        <v>116</v>
      </c>
      <c r="G92" s="8">
        <v>0.0149</v>
      </c>
    </row>
    <row r="93" spans="1:7">
      <c r="A93" s="6">
        <v>44690</v>
      </c>
      <c r="B93" s="7">
        <v>101.77</v>
      </c>
      <c r="C93" s="7">
        <v>108.97</v>
      </c>
      <c r="D93" s="7">
        <v>109</v>
      </c>
      <c r="E93" s="7">
        <v>100.81</v>
      </c>
      <c r="F93" s="7" t="s">
        <v>117</v>
      </c>
      <c r="G93" s="8">
        <v>-0.0606</v>
      </c>
    </row>
    <row r="94" spans="1:7">
      <c r="A94" s="6">
        <v>44691</v>
      </c>
      <c r="B94" s="7">
        <v>98.45</v>
      </c>
      <c r="C94" s="7">
        <v>100.96</v>
      </c>
      <c r="D94" s="7">
        <v>102.78</v>
      </c>
      <c r="E94" s="7">
        <v>97.61</v>
      </c>
      <c r="F94" s="7" t="s">
        <v>118</v>
      </c>
      <c r="G94" s="8">
        <v>-0.0326</v>
      </c>
    </row>
    <row r="95" spans="1:7">
      <c r="A95" s="6">
        <v>44692</v>
      </c>
      <c r="B95" s="7">
        <v>104.03</v>
      </c>
      <c r="C95" s="7">
        <v>97.74</v>
      </c>
      <c r="D95" s="7">
        <v>104.74</v>
      </c>
      <c r="E95" s="7">
        <v>96.93</v>
      </c>
      <c r="F95" s="7" t="s">
        <v>119</v>
      </c>
      <c r="G95" s="8">
        <v>0.0567</v>
      </c>
    </row>
    <row r="96" spans="1:7">
      <c r="A96" s="6">
        <v>44693</v>
      </c>
      <c r="B96" s="7">
        <v>104.4</v>
      </c>
      <c r="C96" s="7">
        <v>103.94</v>
      </c>
      <c r="D96" s="7">
        <v>105.55</v>
      </c>
      <c r="E96" s="7">
        <v>101.11</v>
      </c>
      <c r="F96" s="7" t="s">
        <v>120</v>
      </c>
      <c r="G96" s="8">
        <v>0.0036</v>
      </c>
    </row>
    <row r="97" spans="1:7">
      <c r="A97" s="6">
        <v>44694</v>
      </c>
      <c r="B97" s="7">
        <v>108.63</v>
      </c>
      <c r="C97" s="7">
        <v>104.91</v>
      </c>
      <c r="D97" s="7">
        <v>108.77</v>
      </c>
      <c r="E97" s="7">
        <v>104.64</v>
      </c>
      <c r="F97" s="7" t="s">
        <v>121</v>
      </c>
      <c r="G97" s="8">
        <v>0.0405</v>
      </c>
    </row>
    <row r="98" spans="1:7">
      <c r="A98" s="6">
        <v>44697</v>
      </c>
      <c r="B98" s="7">
        <v>111.82</v>
      </c>
      <c r="C98" s="7">
        <v>109</v>
      </c>
      <c r="D98" s="7">
        <v>112.47</v>
      </c>
      <c r="E98" s="7">
        <v>106.27</v>
      </c>
      <c r="F98" s="7" t="s">
        <v>122</v>
      </c>
      <c r="G98" s="8">
        <v>0.0294</v>
      </c>
    </row>
    <row r="99" spans="1:7">
      <c r="A99" s="6">
        <v>44698</v>
      </c>
      <c r="B99" s="7">
        <v>109.63</v>
      </c>
      <c r="C99" s="7">
        <v>111.61</v>
      </c>
      <c r="D99" s="7">
        <v>113.2</v>
      </c>
      <c r="E99" s="7">
        <v>108.96</v>
      </c>
      <c r="F99" s="7" t="s">
        <v>123</v>
      </c>
      <c r="G99" s="8">
        <v>-0.0196</v>
      </c>
    </row>
    <row r="100" spans="1:7">
      <c r="A100" s="6">
        <v>44699</v>
      </c>
      <c r="B100" s="7">
        <v>107.04</v>
      </c>
      <c r="C100" s="7">
        <v>110.77</v>
      </c>
      <c r="D100" s="7">
        <v>112.39</v>
      </c>
      <c r="E100" s="7">
        <v>106.06</v>
      </c>
      <c r="F100" s="7" t="s">
        <v>124</v>
      </c>
      <c r="G100" s="8">
        <v>-0.0236</v>
      </c>
    </row>
    <row r="101" spans="1:7">
      <c r="A101" s="6">
        <v>44700</v>
      </c>
      <c r="B101" s="7">
        <v>109.89</v>
      </c>
      <c r="C101" s="7">
        <v>106.96</v>
      </c>
      <c r="D101" s="7">
        <v>110.16</v>
      </c>
      <c r="E101" s="7">
        <v>103.24</v>
      </c>
      <c r="F101" s="7" t="s">
        <v>125</v>
      </c>
      <c r="G101" s="8">
        <v>0.0266</v>
      </c>
    </row>
    <row r="102" spans="1:7">
      <c r="A102" s="6">
        <v>44701</v>
      </c>
      <c r="B102" s="7">
        <v>110.28</v>
      </c>
      <c r="C102" s="7">
        <v>109.26</v>
      </c>
      <c r="D102" s="7">
        <v>111.04</v>
      </c>
      <c r="E102" s="7">
        <v>108.13</v>
      </c>
      <c r="F102" s="7" t="s">
        <v>126</v>
      </c>
      <c r="G102" s="8">
        <v>0.0035</v>
      </c>
    </row>
    <row r="103" spans="1:7">
      <c r="A103" s="6">
        <v>44704</v>
      </c>
      <c r="B103" s="7">
        <v>107.54</v>
      </c>
      <c r="C103" s="7">
        <v>107.34</v>
      </c>
      <c r="D103" s="7">
        <v>108.76</v>
      </c>
      <c r="E103" s="7">
        <v>106.32</v>
      </c>
      <c r="F103" s="7" t="s">
        <v>127</v>
      </c>
      <c r="G103" s="8">
        <v>-0.0248</v>
      </c>
    </row>
    <row r="104" spans="1:7">
      <c r="A104" s="6">
        <v>44705</v>
      </c>
      <c r="B104" s="7">
        <v>107.2</v>
      </c>
      <c r="C104" s="7">
        <v>107.68</v>
      </c>
      <c r="D104" s="7">
        <v>108.76</v>
      </c>
      <c r="E104" s="7">
        <v>105.94</v>
      </c>
      <c r="F104" s="7" t="s">
        <v>128</v>
      </c>
      <c r="G104" s="8">
        <v>-0.0032</v>
      </c>
    </row>
    <row r="105" spans="1:7">
      <c r="A105" s="6">
        <v>44706</v>
      </c>
      <c r="B105" s="7">
        <v>107.75</v>
      </c>
      <c r="C105" s="7">
        <v>107.68</v>
      </c>
      <c r="D105" s="7">
        <v>108.97</v>
      </c>
      <c r="E105" s="7">
        <v>106.71</v>
      </c>
      <c r="F105" s="7" t="s">
        <v>129</v>
      </c>
      <c r="G105" s="8">
        <v>0.0051</v>
      </c>
    </row>
    <row r="106" spans="1:7">
      <c r="A106" s="6">
        <v>44707</v>
      </c>
      <c r="B106" s="7">
        <v>111.25</v>
      </c>
      <c r="C106" s="7">
        <v>108.05</v>
      </c>
      <c r="D106" s="7">
        <v>111.88</v>
      </c>
      <c r="E106" s="7">
        <v>107.6</v>
      </c>
      <c r="F106" s="7" t="s">
        <v>130</v>
      </c>
      <c r="G106" s="8">
        <v>0.0325</v>
      </c>
    </row>
    <row r="107" spans="1:7">
      <c r="A107" s="6">
        <v>44708</v>
      </c>
      <c r="B107" s="7">
        <v>112.23</v>
      </c>
      <c r="C107" s="7">
        <v>111.25</v>
      </c>
      <c r="D107" s="7">
        <v>112.42</v>
      </c>
      <c r="E107" s="7">
        <v>110.06</v>
      </c>
      <c r="F107" s="7" t="s">
        <v>131</v>
      </c>
      <c r="G107" s="8">
        <v>0.0088</v>
      </c>
    </row>
    <row r="108" spans="1:7">
      <c r="A108" s="6">
        <v>44710</v>
      </c>
      <c r="B108" s="7">
        <v>115.61</v>
      </c>
      <c r="C108" s="7">
        <v>115.3</v>
      </c>
      <c r="D108" s="7">
        <v>115.81</v>
      </c>
      <c r="E108" s="7">
        <v>115.2</v>
      </c>
      <c r="G108" s="8">
        <v>0.0301</v>
      </c>
    </row>
    <row r="109" spans="1:7">
      <c r="A109" s="6">
        <v>44711</v>
      </c>
      <c r="B109" s="7">
        <v>117.61</v>
      </c>
      <c r="C109" s="7">
        <v>115.58</v>
      </c>
      <c r="D109" s="7">
        <v>117.79</v>
      </c>
      <c r="E109" s="7">
        <v>115.39</v>
      </c>
      <c r="G109" s="8">
        <v>0.0173</v>
      </c>
    </row>
    <row r="110" spans="1:7">
      <c r="A110" s="6">
        <v>44712</v>
      </c>
      <c r="B110" s="7">
        <v>111.91</v>
      </c>
      <c r="C110" s="7">
        <v>112.1</v>
      </c>
      <c r="D110" s="7">
        <v>117.07</v>
      </c>
      <c r="E110" s="7">
        <v>111.5</v>
      </c>
      <c r="F110" s="7" t="s">
        <v>132</v>
      </c>
      <c r="G110" s="8">
        <v>-0.0485</v>
      </c>
    </row>
    <row r="111" spans="1:7">
      <c r="A111" s="6">
        <v>44713</v>
      </c>
      <c r="B111" s="7">
        <v>112.72</v>
      </c>
      <c r="C111" s="7">
        <v>112.74</v>
      </c>
      <c r="D111" s="7">
        <v>115</v>
      </c>
      <c r="E111" s="7">
        <v>111.86</v>
      </c>
      <c r="F111" s="7" t="s">
        <v>133</v>
      </c>
      <c r="G111" s="8">
        <v>0.0072</v>
      </c>
    </row>
    <row r="112" spans="1:7">
      <c r="A112" s="6">
        <v>44714</v>
      </c>
      <c r="B112" s="7">
        <v>114.3</v>
      </c>
      <c r="C112" s="7">
        <v>112.27</v>
      </c>
      <c r="D112" s="7">
        <v>115.1</v>
      </c>
      <c r="E112" s="7">
        <v>108.94</v>
      </c>
      <c r="F112" s="7" t="s">
        <v>134</v>
      </c>
      <c r="G112" s="8">
        <v>0.014</v>
      </c>
    </row>
    <row r="113" spans="1:7">
      <c r="A113" s="6">
        <v>44715</v>
      </c>
      <c r="B113" s="7">
        <v>116.23</v>
      </c>
      <c r="C113" s="7">
        <v>114.9</v>
      </c>
      <c r="D113" s="7">
        <v>117.77</v>
      </c>
      <c r="E113" s="7">
        <v>112.73</v>
      </c>
      <c r="F113" s="7" t="s">
        <v>135</v>
      </c>
      <c r="G113" s="8">
        <v>0.0169</v>
      </c>
    </row>
    <row r="114" spans="1:7">
      <c r="A114" s="6">
        <v>44718</v>
      </c>
      <c r="B114" s="7">
        <v>116.06</v>
      </c>
      <c r="C114" s="7">
        <v>118.17</v>
      </c>
      <c r="D114" s="7">
        <v>118.28</v>
      </c>
      <c r="E114" s="7">
        <v>115.15</v>
      </c>
      <c r="F114" s="7" t="s">
        <v>136</v>
      </c>
      <c r="G114" s="8">
        <v>-0.0015</v>
      </c>
    </row>
    <row r="115" spans="1:7">
      <c r="A115" s="6">
        <v>44719</v>
      </c>
      <c r="B115" s="7">
        <v>117.1</v>
      </c>
      <c r="C115" s="7">
        <v>116.66</v>
      </c>
      <c r="D115" s="7">
        <v>118</v>
      </c>
      <c r="E115" s="7">
        <v>115.04</v>
      </c>
      <c r="F115" s="7" t="s">
        <v>137</v>
      </c>
      <c r="G115" s="8">
        <v>0.009</v>
      </c>
    </row>
    <row r="116" spans="1:7">
      <c r="A116" s="6">
        <v>44720</v>
      </c>
      <c r="B116" s="7">
        <v>119.78</v>
      </c>
      <c r="C116" s="7">
        <v>117.7</v>
      </c>
      <c r="D116" s="7">
        <v>120.75</v>
      </c>
      <c r="E116" s="7">
        <v>117.02</v>
      </c>
      <c r="F116" s="7" t="s">
        <v>138</v>
      </c>
      <c r="G116" s="8">
        <v>0.0229</v>
      </c>
    </row>
    <row r="117" spans="1:7">
      <c r="A117" s="6">
        <v>44721</v>
      </c>
      <c r="B117" s="7">
        <v>119.09</v>
      </c>
      <c r="C117" s="7">
        <v>120.11</v>
      </c>
      <c r="D117" s="7">
        <v>120.4</v>
      </c>
      <c r="E117" s="7">
        <v>118.52</v>
      </c>
      <c r="F117" s="7" t="s">
        <v>139</v>
      </c>
      <c r="G117" s="8">
        <v>-0.0058</v>
      </c>
    </row>
    <row r="118" spans="1:7">
      <c r="A118" s="6">
        <v>44722</v>
      </c>
      <c r="B118" s="7">
        <v>118.12</v>
      </c>
      <c r="C118" s="7">
        <v>119.07</v>
      </c>
      <c r="D118" s="7">
        <v>120.15</v>
      </c>
      <c r="E118" s="7">
        <v>115.84</v>
      </c>
      <c r="F118" s="7" t="s">
        <v>140</v>
      </c>
      <c r="G118" s="8">
        <v>-0.0081</v>
      </c>
    </row>
    <row r="119" spans="1:7">
      <c r="A119" s="6">
        <v>44725</v>
      </c>
      <c r="B119" s="7">
        <v>118.25</v>
      </c>
      <c r="C119" s="7">
        <v>117.71</v>
      </c>
      <c r="D119" s="7">
        <v>119.57</v>
      </c>
      <c r="E119" s="7">
        <v>114.9</v>
      </c>
      <c r="F119" s="7" t="s">
        <v>141</v>
      </c>
      <c r="G119" s="8">
        <v>0.0011</v>
      </c>
    </row>
    <row r="120" spans="1:7">
      <c r="A120" s="6">
        <v>44726</v>
      </c>
      <c r="B120" s="7">
        <v>116.26</v>
      </c>
      <c r="C120" s="7">
        <v>118.45</v>
      </c>
      <c r="D120" s="7">
        <v>120.88</v>
      </c>
      <c r="E120" s="7">
        <v>114.2</v>
      </c>
      <c r="F120" s="7" t="s">
        <v>142</v>
      </c>
      <c r="G120" s="8">
        <v>-0.0168</v>
      </c>
    </row>
    <row r="121" spans="1:7">
      <c r="A121" s="6">
        <v>44727</v>
      </c>
      <c r="B121" s="7">
        <v>113.09</v>
      </c>
      <c r="C121" s="7">
        <v>116.41</v>
      </c>
      <c r="D121" s="7">
        <v>116.93</v>
      </c>
      <c r="E121" s="7">
        <v>112.37</v>
      </c>
      <c r="F121" s="7" t="s">
        <v>143</v>
      </c>
      <c r="G121" s="8">
        <v>-0.0273</v>
      </c>
    </row>
    <row r="122" spans="1:7">
      <c r="A122" s="6">
        <v>44728</v>
      </c>
      <c r="B122" s="7">
        <v>115.25</v>
      </c>
      <c r="C122" s="7">
        <v>114.09</v>
      </c>
      <c r="D122" s="7">
        <v>115.73</v>
      </c>
      <c r="E122" s="7">
        <v>110.43</v>
      </c>
      <c r="F122" s="7" t="s">
        <v>144</v>
      </c>
      <c r="G122" s="8">
        <v>0.0191</v>
      </c>
    </row>
    <row r="123" spans="1:7">
      <c r="A123" s="6">
        <v>44729</v>
      </c>
      <c r="B123" s="7">
        <v>107.99</v>
      </c>
      <c r="C123" s="7">
        <v>114.74</v>
      </c>
      <c r="D123" s="7">
        <v>116.58</v>
      </c>
      <c r="E123" s="7">
        <v>106.4</v>
      </c>
      <c r="F123" s="7" t="s">
        <v>145</v>
      </c>
      <c r="G123" s="8">
        <v>-0.063</v>
      </c>
    </row>
    <row r="124" spans="1:7">
      <c r="A124" s="6">
        <v>44731</v>
      </c>
      <c r="B124" s="7">
        <v>108.94</v>
      </c>
      <c r="C124" s="7">
        <v>108.97</v>
      </c>
      <c r="D124" s="7">
        <v>109.34</v>
      </c>
      <c r="E124" s="7">
        <v>108.78</v>
      </c>
      <c r="G124" s="8">
        <v>0.0088</v>
      </c>
    </row>
    <row r="125" spans="1:7">
      <c r="A125" s="6">
        <v>44732</v>
      </c>
      <c r="B125" s="7">
        <v>108.84</v>
      </c>
      <c r="C125" s="7">
        <v>108.97</v>
      </c>
      <c r="D125" s="7">
        <v>109.17</v>
      </c>
      <c r="E125" s="7">
        <v>106.84</v>
      </c>
      <c r="G125" s="8">
        <v>-0.0009</v>
      </c>
    </row>
    <row r="126" spans="1:7">
      <c r="A126" s="6">
        <v>44733</v>
      </c>
      <c r="B126" s="7">
        <v>109.52</v>
      </c>
      <c r="C126" s="7">
        <v>108.75</v>
      </c>
      <c r="D126" s="7">
        <v>111.16</v>
      </c>
      <c r="E126" s="7">
        <v>106.82</v>
      </c>
      <c r="F126" s="7" t="s">
        <v>146</v>
      </c>
      <c r="G126" s="8">
        <v>0.0062</v>
      </c>
    </row>
    <row r="127" spans="1:7">
      <c r="A127" s="6">
        <v>44734</v>
      </c>
      <c r="B127" s="7">
        <v>103.99</v>
      </c>
      <c r="C127" s="7">
        <v>107.33</v>
      </c>
      <c r="D127" s="7">
        <v>107.56</v>
      </c>
      <c r="E127" s="7">
        <v>99.66</v>
      </c>
      <c r="F127" s="7" t="s">
        <v>147</v>
      </c>
      <c r="G127" s="8">
        <v>-0.0505</v>
      </c>
    </row>
    <row r="128" spans="1:7">
      <c r="A128" s="6">
        <v>44735</v>
      </c>
      <c r="B128" s="7">
        <v>101.58</v>
      </c>
      <c r="C128" s="7">
        <v>102.53</v>
      </c>
      <c r="D128" s="7">
        <v>104.62</v>
      </c>
      <c r="E128" s="7">
        <v>100.24</v>
      </c>
      <c r="F128" s="7" t="s">
        <v>148</v>
      </c>
      <c r="G128" s="8">
        <v>-0.0232</v>
      </c>
    </row>
    <row r="129" spans="1:7">
      <c r="A129" s="6">
        <v>44736</v>
      </c>
      <c r="B129" s="7">
        <v>104.45</v>
      </c>
      <c r="C129" s="7">
        <v>101.31</v>
      </c>
      <c r="D129" s="7">
        <v>105.44</v>
      </c>
      <c r="E129" s="7">
        <v>100.84</v>
      </c>
      <c r="F129" s="7" t="s">
        <v>149</v>
      </c>
      <c r="G129" s="8">
        <v>0.0283</v>
      </c>
    </row>
    <row r="130" spans="1:7">
      <c r="A130" s="6">
        <v>44739</v>
      </c>
      <c r="B130" s="7">
        <v>106.38</v>
      </c>
      <c r="C130" s="7">
        <v>104.37</v>
      </c>
      <c r="D130" s="7">
        <v>107.28</v>
      </c>
      <c r="E130" s="7">
        <v>102.48</v>
      </c>
      <c r="F130" s="7" t="s">
        <v>150</v>
      </c>
      <c r="G130" s="8">
        <v>0.0185</v>
      </c>
    </row>
    <row r="131" spans="1:7">
      <c r="A131" s="6">
        <v>44740</v>
      </c>
      <c r="B131" s="7">
        <v>108.89</v>
      </c>
      <c r="C131" s="7">
        <v>107</v>
      </c>
      <c r="D131" s="7">
        <v>109.31</v>
      </c>
      <c r="E131" s="7">
        <v>106.59</v>
      </c>
      <c r="F131" s="7" t="s">
        <v>151</v>
      </c>
      <c r="G131" s="8">
        <v>0.0236</v>
      </c>
    </row>
    <row r="132" spans="1:7">
      <c r="A132" s="6">
        <v>44741</v>
      </c>
      <c r="B132" s="7">
        <v>107.01</v>
      </c>
      <c r="C132" s="7">
        <v>109</v>
      </c>
      <c r="D132" s="7">
        <v>111.14</v>
      </c>
      <c r="E132" s="7">
        <v>106.45</v>
      </c>
      <c r="F132" s="7" t="s">
        <v>152</v>
      </c>
      <c r="G132" s="8">
        <v>-0.0173</v>
      </c>
    </row>
    <row r="133" spans="1:7">
      <c r="A133" s="6">
        <v>44742</v>
      </c>
      <c r="B133" s="7">
        <v>103.1</v>
      </c>
      <c r="C133" s="7">
        <v>106.67</v>
      </c>
      <c r="D133" s="7">
        <v>107.76</v>
      </c>
      <c r="E133" s="7">
        <v>102.68</v>
      </c>
      <c r="F133" s="7" t="s">
        <v>153</v>
      </c>
      <c r="G133" s="8">
        <v>-0.0365</v>
      </c>
    </row>
    <row r="134" spans="1:7">
      <c r="A134" s="6">
        <v>44743</v>
      </c>
      <c r="B134" s="7">
        <v>105.39</v>
      </c>
      <c r="C134" s="7">
        <v>103.33</v>
      </c>
      <c r="D134" s="7">
        <v>106.26</v>
      </c>
      <c r="E134" s="7">
        <v>101.94</v>
      </c>
      <c r="F134" s="7" t="s">
        <v>154</v>
      </c>
      <c r="G134" s="8">
        <v>0.0222</v>
      </c>
    </row>
    <row r="135" spans="1:7">
      <c r="A135" s="6">
        <v>44745</v>
      </c>
      <c r="B135" s="7">
        <v>108.19</v>
      </c>
      <c r="C135" s="7">
        <v>108.67</v>
      </c>
      <c r="D135" s="7">
        <v>108.81</v>
      </c>
      <c r="E135" s="7">
        <v>108.14</v>
      </c>
      <c r="G135" s="8">
        <v>0.0266</v>
      </c>
    </row>
    <row r="136" spans="1:7">
      <c r="A136" s="6">
        <v>44746</v>
      </c>
      <c r="B136" s="7">
        <v>110.4</v>
      </c>
      <c r="C136" s="7">
        <v>108.17</v>
      </c>
      <c r="D136" s="7">
        <v>110.77</v>
      </c>
      <c r="E136" s="7">
        <v>107.25</v>
      </c>
      <c r="G136" s="8">
        <v>0.0204</v>
      </c>
    </row>
    <row r="137" spans="1:7">
      <c r="A137" s="6">
        <v>44747</v>
      </c>
      <c r="B137" s="7">
        <v>96.52</v>
      </c>
      <c r="C137" s="7">
        <v>105.6</v>
      </c>
      <c r="D137" s="7">
        <v>108.28</v>
      </c>
      <c r="E137" s="7">
        <v>94.62</v>
      </c>
      <c r="F137" s="7" t="s">
        <v>155</v>
      </c>
      <c r="G137" s="8">
        <v>-0.1257</v>
      </c>
    </row>
    <row r="138" spans="1:7">
      <c r="A138" s="6">
        <v>44748</v>
      </c>
      <c r="B138" s="7">
        <v>94.98</v>
      </c>
      <c r="C138" s="7">
        <v>97.44</v>
      </c>
      <c r="D138" s="7">
        <v>99.11</v>
      </c>
      <c r="E138" s="7">
        <v>92.18</v>
      </c>
      <c r="F138" s="7" t="s">
        <v>156</v>
      </c>
      <c r="G138" s="8">
        <v>-0.016</v>
      </c>
    </row>
    <row r="139" spans="1:7">
      <c r="A139" s="6">
        <v>44749</v>
      </c>
      <c r="B139" s="7">
        <v>99.25</v>
      </c>
      <c r="C139" s="7">
        <v>94.62</v>
      </c>
      <c r="D139" s="7">
        <v>100.78</v>
      </c>
      <c r="E139" s="7">
        <v>93</v>
      </c>
      <c r="F139" s="7" t="s">
        <v>157</v>
      </c>
      <c r="G139" s="8">
        <v>0.045</v>
      </c>
    </row>
    <row r="140" spans="1:7">
      <c r="A140" s="6">
        <v>44750</v>
      </c>
      <c r="B140" s="7">
        <v>101.53</v>
      </c>
      <c r="C140" s="7">
        <v>98.92</v>
      </c>
      <c r="D140" s="7">
        <v>101.97</v>
      </c>
      <c r="E140" s="7">
        <v>98.4</v>
      </c>
      <c r="F140" s="7" t="s">
        <v>158</v>
      </c>
      <c r="G140" s="8">
        <v>0.023</v>
      </c>
    </row>
    <row r="141" spans="1:7">
      <c r="A141" s="6">
        <v>44753</v>
      </c>
      <c r="B141" s="7">
        <v>101.21</v>
      </c>
      <c r="C141" s="7">
        <v>101.33</v>
      </c>
      <c r="D141" s="7">
        <v>102</v>
      </c>
      <c r="E141" s="7">
        <v>97.94</v>
      </c>
      <c r="F141" s="7" t="s">
        <v>159</v>
      </c>
      <c r="G141" s="8">
        <v>-0.0032</v>
      </c>
    </row>
    <row r="142" spans="1:7">
      <c r="A142" s="6">
        <v>44754</v>
      </c>
      <c r="B142" s="7">
        <v>93.31</v>
      </c>
      <c r="C142" s="7">
        <v>100.57</v>
      </c>
      <c r="D142" s="7">
        <v>100.57</v>
      </c>
      <c r="E142" s="7">
        <v>92.83</v>
      </c>
      <c r="F142" s="7" t="s">
        <v>160</v>
      </c>
      <c r="G142" s="8">
        <v>-0.0781</v>
      </c>
    </row>
    <row r="143" spans="1:7">
      <c r="A143" s="6">
        <v>44755</v>
      </c>
      <c r="B143" s="7">
        <v>93.83</v>
      </c>
      <c r="C143" s="7">
        <v>93.3</v>
      </c>
      <c r="D143" s="7">
        <v>95.34</v>
      </c>
      <c r="E143" s="7">
        <v>91.14</v>
      </c>
      <c r="F143" s="7" t="s">
        <v>161</v>
      </c>
      <c r="G143" s="8">
        <v>0.0056</v>
      </c>
    </row>
    <row r="144" spans="1:7">
      <c r="A144" s="6">
        <v>44756</v>
      </c>
      <c r="B144" s="7">
        <v>92.83</v>
      </c>
      <c r="C144" s="7">
        <v>94.14</v>
      </c>
      <c r="D144" s="7">
        <v>94.49</v>
      </c>
      <c r="E144" s="7">
        <v>88.23</v>
      </c>
      <c r="F144" s="7" t="s">
        <v>162</v>
      </c>
      <c r="G144" s="8">
        <v>-0.0107</v>
      </c>
    </row>
    <row r="145" spans="1:7">
      <c r="A145" s="6">
        <v>44757</v>
      </c>
      <c r="B145" s="7">
        <v>94.57</v>
      </c>
      <c r="C145" s="7">
        <v>93.51</v>
      </c>
      <c r="D145" s="7">
        <v>96.05</v>
      </c>
      <c r="E145" s="7">
        <v>91.64</v>
      </c>
      <c r="F145" s="7" t="s">
        <v>163</v>
      </c>
      <c r="G145" s="8">
        <v>0.0187</v>
      </c>
    </row>
    <row r="146" spans="1:7">
      <c r="A146" s="6">
        <v>44760</v>
      </c>
      <c r="B146" s="7">
        <v>99.42</v>
      </c>
      <c r="C146" s="7">
        <v>94.34</v>
      </c>
      <c r="D146" s="7">
        <v>99.62</v>
      </c>
      <c r="E146" s="7">
        <v>92.88</v>
      </c>
      <c r="F146" s="7" t="s">
        <v>164</v>
      </c>
      <c r="G146" s="8">
        <v>0.0513</v>
      </c>
    </row>
    <row r="147" spans="1:7">
      <c r="A147" s="6">
        <v>44761</v>
      </c>
      <c r="B147" s="7">
        <v>100.74</v>
      </c>
      <c r="C147" s="7">
        <v>98.86</v>
      </c>
      <c r="D147" s="7">
        <v>100.99</v>
      </c>
      <c r="E147" s="7">
        <v>96.52</v>
      </c>
      <c r="F147" s="7" t="s">
        <v>165</v>
      </c>
      <c r="G147" s="8">
        <v>0.0133</v>
      </c>
    </row>
    <row r="148" spans="1:7">
      <c r="A148" s="6">
        <v>44762</v>
      </c>
      <c r="B148" s="7">
        <v>99.88</v>
      </c>
      <c r="C148" s="7">
        <v>100.34</v>
      </c>
      <c r="D148" s="7">
        <v>100.72</v>
      </c>
      <c r="E148" s="7">
        <v>98.16</v>
      </c>
      <c r="F148" s="7" t="s">
        <v>166</v>
      </c>
      <c r="G148" s="8">
        <v>-0.0085</v>
      </c>
    </row>
    <row r="149" spans="1:7">
      <c r="A149" s="6">
        <v>44763</v>
      </c>
      <c r="B149" s="7">
        <v>93.78</v>
      </c>
      <c r="C149" s="7">
        <v>96.88</v>
      </c>
      <c r="D149" s="7">
        <v>96.93</v>
      </c>
      <c r="E149" s="7">
        <v>91.84</v>
      </c>
      <c r="F149" s="7" t="s">
        <v>167</v>
      </c>
      <c r="G149" s="8">
        <v>-0.0611</v>
      </c>
    </row>
    <row r="150" spans="1:7">
      <c r="A150" s="6">
        <v>44764</v>
      </c>
      <c r="B150" s="7">
        <v>92.43</v>
      </c>
      <c r="C150" s="7">
        <v>93.78</v>
      </c>
      <c r="D150" s="7">
        <v>95.24</v>
      </c>
      <c r="E150" s="7">
        <v>91.77</v>
      </c>
      <c r="F150" s="7" t="s">
        <v>168</v>
      </c>
      <c r="G150" s="8">
        <v>-0.0144</v>
      </c>
    </row>
    <row r="151" spans="1:7">
      <c r="A151" s="6">
        <v>44767</v>
      </c>
      <c r="B151" s="7">
        <v>94.42</v>
      </c>
      <c r="C151" s="7">
        <v>92.83</v>
      </c>
      <c r="D151" s="7">
        <v>94.62</v>
      </c>
      <c r="E151" s="7">
        <v>90.79</v>
      </c>
      <c r="F151" s="7" t="s">
        <v>169</v>
      </c>
      <c r="G151" s="8">
        <v>0.0215</v>
      </c>
    </row>
    <row r="152" spans="1:7">
      <c r="A152" s="6">
        <v>44768</v>
      </c>
      <c r="B152" s="7">
        <v>92.88</v>
      </c>
      <c r="C152" s="7">
        <v>93.95</v>
      </c>
      <c r="D152" s="7">
        <v>96.6</v>
      </c>
      <c r="E152" s="7">
        <v>92.64</v>
      </c>
      <c r="F152" s="7" t="s">
        <v>170</v>
      </c>
      <c r="G152" s="8">
        <v>-0.0163</v>
      </c>
    </row>
    <row r="153" spans="1:7">
      <c r="A153" s="6">
        <v>44769</v>
      </c>
      <c r="B153" s="7">
        <v>95.29</v>
      </c>
      <c r="C153" s="7">
        <v>93.51</v>
      </c>
      <c r="D153" s="7">
        <v>96.53</v>
      </c>
      <c r="E153" s="7">
        <v>92.3</v>
      </c>
      <c r="F153" s="7" t="s">
        <v>171</v>
      </c>
      <c r="G153" s="8">
        <v>0.0259</v>
      </c>
    </row>
    <row r="154" spans="1:7">
      <c r="A154" s="6">
        <v>44770</v>
      </c>
      <c r="B154" s="7">
        <v>94.65</v>
      </c>
      <c r="C154" s="7">
        <v>96.09</v>
      </c>
      <c r="D154" s="7">
        <v>97.82</v>
      </c>
      <c r="E154" s="7">
        <v>94.28</v>
      </c>
      <c r="F154" s="7" t="s">
        <v>172</v>
      </c>
      <c r="G154" s="8">
        <v>-0.0067</v>
      </c>
    </row>
    <row r="155" spans="1:7">
      <c r="A155" s="6">
        <v>44771</v>
      </c>
      <c r="B155" s="7">
        <v>96.75</v>
      </c>
      <c r="C155" s="7">
        <v>95.42</v>
      </c>
      <c r="D155" s="7">
        <v>99.75</v>
      </c>
      <c r="E155" s="7">
        <v>94.59</v>
      </c>
      <c r="F155" s="7" t="s">
        <v>173</v>
      </c>
      <c r="G155" s="8">
        <v>0.0222</v>
      </c>
    </row>
    <row r="156" spans="1:7">
      <c r="A156" s="6">
        <v>44774</v>
      </c>
      <c r="B156" s="7">
        <v>92.39</v>
      </c>
      <c r="C156" s="7">
        <v>96.44</v>
      </c>
      <c r="D156" s="7">
        <v>96.68</v>
      </c>
      <c r="E156" s="7">
        <v>90.96</v>
      </c>
      <c r="F156" s="7" t="s">
        <v>174</v>
      </c>
      <c r="G156" s="8">
        <v>-0.0451</v>
      </c>
    </row>
    <row r="157" spans="1:7">
      <c r="A157" s="6">
        <v>44775</v>
      </c>
      <c r="B157" s="7">
        <v>93.22</v>
      </c>
      <c r="C157" s="7">
        <v>92.2</v>
      </c>
      <c r="D157" s="7">
        <v>95.09</v>
      </c>
      <c r="E157" s="7">
        <v>91.11</v>
      </c>
      <c r="F157" s="7" t="s">
        <v>175</v>
      </c>
      <c r="G157" s="8">
        <v>0.009</v>
      </c>
    </row>
    <row r="158" spans="1:7">
      <c r="A158" s="6">
        <v>44776</v>
      </c>
      <c r="B158" s="7">
        <v>89.74</v>
      </c>
      <c r="C158" s="7">
        <v>92.69</v>
      </c>
      <c r="D158" s="7">
        <v>95.33</v>
      </c>
      <c r="E158" s="7">
        <v>89.47</v>
      </c>
      <c r="F158" s="7" t="s">
        <v>176</v>
      </c>
      <c r="G158" s="8">
        <v>-0.0373</v>
      </c>
    </row>
    <row r="159" spans="1:7">
      <c r="A159" s="6">
        <v>44777</v>
      </c>
      <c r="B159" s="7">
        <v>87.56</v>
      </c>
      <c r="C159" s="7">
        <v>89.99</v>
      </c>
      <c r="D159" s="7">
        <v>90.88</v>
      </c>
      <c r="E159" s="7">
        <v>86.62</v>
      </c>
      <c r="F159" s="7" t="s">
        <v>177</v>
      </c>
      <c r="G159" s="8">
        <v>-0.0243</v>
      </c>
    </row>
    <row r="160" spans="1:7">
      <c r="A160" s="6">
        <v>44778</v>
      </c>
      <c r="B160" s="7">
        <v>88.08</v>
      </c>
      <c r="C160" s="7">
        <v>87.04</v>
      </c>
      <c r="D160" s="7">
        <v>89.72</v>
      </c>
      <c r="E160" s="7">
        <v>86.06</v>
      </c>
      <c r="F160" s="7" t="s">
        <v>178</v>
      </c>
      <c r="G160" s="8">
        <v>0.0059</v>
      </c>
    </row>
    <row r="161" spans="1:7">
      <c r="A161" s="6">
        <v>44781</v>
      </c>
      <c r="B161" s="7">
        <v>89.93</v>
      </c>
      <c r="C161" s="7">
        <v>87.52</v>
      </c>
      <c r="D161" s="7">
        <v>90.06</v>
      </c>
      <c r="E161" s="7">
        <v>86.33</v>
      </c>
      <c r="F161" s="7" t="s">
        <v>179</v>
      </c>
      <c r="G161" s="8">
        <v>0.021</v>
      </c>
    </row>
    <row r="162" spans="1:7">
      <c r="A162" s="6">
        <v>44782</v>
      </c>
      <c r="B162" s="7">
        <v>89.67</v>
      </c>
      <c r="C162" s="7">
        <v>89.87</v>
      </c>
      <c r="D162" s="7">
        <v>91.8</v>
      </c>
      <c r="E162" s="7">
        <v>88.29</v>
      </c>
      <c r="F162" s="7" t="s">
        <v>180</v>
      </c>
      <c r="G162" s="8">
        <v>-0.0029</v>
      </c>
    </row>
    <row r="163" spans="1:7">
      <c r="A163" s="6">
        <v>44783</v>
      </c>
      <c r="B163" s="7">
        <v>91.2</v>
      </c>
      <c r="C163" s="7">
        <v>89.71</v>
      </c>
      <c r="D163" s="7">
        <v>91.63</v>
      </c>
      <c r="E163" s="7">
        <v>87.04</v>
      </c>
      <c r="F163" s="7" t="s">
        <v>181</v>
      </c>
      <c r="G163" s="8">
        <v>0.0171</v>
      </c>
    </row>
    <row r="164" spans="1:7">
      <c r="A164" s="6">
        <v>44784</v>
      </c>
      <c r="B164" s="7">
        <v>93.53</v>
      </c>
      <c r="C164" s="7">
        <v>90.82</v>
      </c>
      <c r="D164" s="7">
        <v>94.17</v>
      </c>
      <c r="E164" s="7">
        <v>90.57</v>
      </c>
      <c r="F164" s="7" t="s">
        <v>182</v>
      </c>
      <c r="G164" s="8">
        <v>0.0255</v>
      </c>
    </row>
    <row r="165" spans="1:7">
      <c r="A165" s="6">
        <v>44785</v>
      </c>
      <c r="B165" s="7">
        <v>91.46</v>
      </c>
      <c r="C165" s="7">
        <v>93.33</v>
      </c>
      <c r="D165" s="7">
        <v>94.02</v>
      </c>
      <c r="E165" s="7">
        <v>90.53</v>
      </c>
      <c r="F165" s="7" t="s">
        <v>183</v>
      </c>
      <c r="G165" s="8">
        <v>-0.0221</v>
      </c>
    </row>
    <row r="166" spans="1:7">
      <c r="A166" s="6">
        <v>44788</v>
      </c>
      <c r="B166" s="7">
        <v>88.85</v>
      </c>
      <c r="C166" s="7">
        <v>91.3</v>
      </c>
      <c r="D166" s="7">
        <v>91.47</v>
      </c>
      <c r="E166" s="7">
        <v>86.29</v>
      </c>
      <c r="F166" s="7" t="s">
        <v>184</v>
      </c>
      <c r="G166" s="8">
        <v>-0.0285</v>
      </c>
    </row>
    <row r="167" spans="1:7">
      <c r="A167" s="6">
        <v>44789</v>
      </c>
      <c r="B167" s="7">
        <v>86.16</v>
      </c>
      <c r="C167" s="7">
        <v>87.39</v>
      </c>
      <c r="D167" s="7">
        <v>90.07</v>
      </c>
      <c r="E167" s="7">
        <v>85.37</v>
      </c>
      <c r="F167" s="7" t="s">
        <v>185</v>
      </c>
      <c r="G167" s="8">
        <v>-0.0303</v>
      </c>
    </row>
    <row r="168" spans="1:7">
      <c r="A168" s="6">
        <v>44790</v>
      </c>
      <c r="B168" s="7">
        <v>87.69</v>
      </c>
      <c r="C168" s="7">
        <v>86.71</v>
      </c>
      <c r="D168" s="7">
        <v>88.66</v>
      </c>
      <c r="E168" s="7">
        <v>85.48</v>
      </c>
      <c r="F168" s="7" t="s">
        <v>186</v>
      </c>
      <c r="G168" s="8">
        <v>0.0178</v>
      </c>
    </row>
    <row r="169" spans="1:7">
      <c r="A169" s="6">
        <v>44791</v>
      </c>
      <c r="B169" s="7">
        <v>90.11</v>
      </c>
      <c r="C169" s="7">
        <v>87.1</v>
      </c>
      <c r="D169" s="7">
        <v>91.03</v>
      </c>
      <c r="E169" s="7">
        <v>86.92</v>
      </c>
      <c r="F169" s="7" t="s">
        <v>187</v>
      </c>
      <c r="G169" s="8">
        <v>0.0276</v>
      </c>
    </row>
    <row r="170" spans="1:7">
      <c r="A170" s="6">
        <v>44792</v>
      </c>
      <c r="B170" s="7">
        <v>90.44</v>
      </c>
      <c r="C170" s="7">
        <v>90</v>
      </c>
      <c r="D170" s="7">
        <v>91.69</v>
      </c>
      <c r="E170" s="7">
        <v>87.95</v>
      </c>
      <c r="F170" s="7" t="s">
        <v>188</v>
      </c>
      <c r="G170" s="8">
        <v>0.0037</v>
      </c>
    </row>
    <row r="171" spans="1:7">
      <c r="A171" s="6">
        <v>44795</v>
      </c>
      <c r="B171" s="7">
        <v>90.36</v>
      </c>
      <c r="C171" s="7">
        <v>89.63</v>
      </c>
      <c r="D171" s="7">
        <v>91.03</v>
      </c>
      <c r="E171" s="7">
        <v>86.28</v>
      </c>
      <c r="F171" s="7" t="s">
        <v>189</v>
      </c>
      <c r="G171" s="8">
        <v>-0.0009</v>
      </c>
    </row>
    <row r="172" spans="1:7">
      <c r="A172" s="6">
        <v>44796</v>
      </c>
      <c r="B172" s="7">
        <v>93.25</v>
      </c>
      <c r="C172" s="7">
        <v>90.1</v>
      </c>
      <c r="D172" s="7">
        <v>93.65</v>
      </c>
      <c r="E172" s="7">
        <v>90.1</v>
      </c>
      <c r="F172" s="7" t="s">
        <v>190</v>
      </c>
      <c r="G172" s="8">
        <v>0.032</v>
      </c>
    </row>
    <row r="173" spans="1:7">
      <c r="A173" s="6">
        <v>44797</v>
      </c>
      <c r="B173" s="7">
        <v>94.4</v>
      </c>
      <c r="C173" s="7">
        <v>93.23</v>
      </c>
      <c r="D173" s="7">
        <v>94.92</v>
      </c>
      <c r="E173" s="7">
        <v>92.36</v>
      </c>
      <c r="F173" s="7" t="s">
        <v>191</v>
      </c>
      <c r="G173" s="8">
        <v>0.0123</v>
      </c>
    </row>
    <row r="174" spans="1:7">
      <c r="A174" s="6">
        <v>44798</v>
      </c>
      <c r="B174" s="7">
        <v>92.19</v>
      </c>
      <c r="C174" s="7">
        <v>94.82</v>
      </c>
      <c r="D174" s="7">
        <v>95.3</v>
      </c>
      <c r="E174" s="7">
        <v>91.95</v>
      </c>
      <c r="F174" s="7" t="s">
        <v>192</v>
      </c>
      <c r="G174" s="8">
        <v>-0.0234</v>
      </c>
    </row>
    <row r="175" spans="1:7">
      <c r="A175" s="6">
        <v>44799</v>
      </c>
      <c r="B175" s="7">
        <v>92.39</v>
      </c>
      <c r="C175" s="7">
        <v>92.68</v>
      </c>
      <c r="D175" s="7">
        <v>93.62</v>
      </c>
      <c r="E175" s="7">
        <v>90.69</v>
      </c>
      <c r="F175" s="7" t="s">
        <v>193</v>
      </c>
      <c r="G175" s="8">
        <v>0.0022</v>
      </c>
    </row>
    <row r="176" spans="1:7">
      <c r="A176" s="6">
        <v>44802</v>
      </c>
      <c r="B176" s="7">
        <v>96.19</v>
      </c>
      <c r="C176" s="7">
        <v>92.28</v>
      </c>
      <c r="D176" s="7">
        <v>96.46</v>
      </c>
      <c r="E176" s="7">
        <v>91.66</v>
      </c>
      <c r="F176" s="7" t="s">
        <v>194</v>
      </c>
      <c r="G176" s="8">
        <v>0.0411</v>
      </c>
    </row>
    <row r="177" spans="1:7">
      <c r="A177" s="6">
        <v>44803</v>
      </c>
      <c r="B177" s="7">
        <v>91.17</v>
      </c>
      <c r="C177" s="7">
        <v>95.8</v>
      </c>
      <c r="D177" s="7">
        <v>96.82</v>
      </c>
      <c r="E177" s="7">
        <v>90.06</v>
      </c>
      <c r="F177" s="7" t="s">
        <v>195</v>
      </c>
      <c r="G177" s="8">
        <v>-0.0522</v>
      </c>
    </row>
    <row r="178" spans="1:7">
      <c r="A178" s="6">
        <v>44804</v>
      </c>
      <c r="B178" s="7">
        <v>89.03</v>
      </c>
      <c r="C178" s="7">
        <v>91.85</v>
      </c>
      <c r="D178" s="7">
        <v>92.26</v>
      </c>
      <c r="E178" s="7">
        <v>87.92</v>
      </c>
      <c r="F178" s="7" t="s">
        <v>196</v>
      </c>
      <c r="G178" s="8">
        <v>-0.0235</v>
      </c>
    </row>
    <row r="179" spans="1:7">
      <c r="A179" s="6">
        <v>44805</v>
      </c>
      <c r="B179" s="7">
        <v>86.22</v>
      </c>
      <c r="C179" s="7">
        <v>88.31</v>
      </c>
      <c r="D179" s="7">
        <v>89.1</v>
      </c>
      <c r="E179" s="7">
        <v>85.62</v>
      </c>
      <c r="F179" s="7" t="s">
        <v>197</v>
      </c>
      <c r="G179" s="8">
        <v>-0.0316</v>
      </c>
    </row>
    <row r="180" spans="1:7">
      <c r="A180" s="6">
        <v>44806</v>
      </c>
      <c r="B180" s="7">
        <v>86.48</v>
      </c>
      <c r="C180" s="7">
        <v>85.99</v>
      </c>
      <c r="D180" s="7">
        <v>89.15</v>
      </c>
      <c r="E180" s="7">
        <v>85.93</v>
      </c>
      <c r="F180" s="7" t="s">
        <v>198</v>
      </c>
      <c r="G180" s="8">
        <v>0.003</v>
      </c>
    </row>
    <row r="181" spans="1:7">
      <c r="A181" s="6">
        <v>44808</v>
      </c>
      <c r="B181" s="7">
        <v>88.25</v>
      </c>
      <c r="C181" s="7">
        <v>86.91</v>
      </c>
      <c r="D181" s="7">
        <v>88.28</v>
      </c>
      <c r="E181" s="7">
        <v>86.91</v>
      </c>
      <c r="G181" s="8">
        <v>0.0205</v>
      </c>
    </row>
    <row r="182" spans="1:7">
      <c r="A182" s="6">
        <v>44809</v>
      </c>
      <c r="B182" s="7">
        <v>88.96</v>
      </c>
      <c r="C182" s="7">
        <v>88.27</v>
      </c>
      <c r="D182" s="7">
        <v>90.37</v>
      </c>
      <c r="E182" s="7">
        <v>87.98</v>
      </c>
      <c r="G182" s="8">
        <v>0.008</v>
      </c>
    </row>
    <row r="183" spans="1:7">
      <c r="A183" s="6">
        <v>44810</v>
      </c>
      <c r="B183" s="7">
        <v>86.51</v>
      </c>
      <c r="C183" s="7">
        <v>86.49</v>
      </c>
      <c r="D183" s="7">
        <v>89.99</v>
      </c>
      <c r="E183" s="7">
        <v>85.88</v>
      </c>
      <c r="F183" s="7" t="s">
        <v>199</v>
      </c>
      <c r="G183" s="8">
        <v>-0.0275</v>
      </c>
    </row>
    <row r="184" spans="1:7">
      <c r="A184" s="6">
        <v>44811</v>
      </c>
      <c r="B184" s="7">
        <v>81.63</v>
      </c>
      <c r="C184" s="7">
        <v>86.53</v>
      </c>
      <c r="D184" s="7">
        <v>87.33</v>
      </c>
      <c r="E184" s="7">
        <v>81.18</v>
      </c>
      <c r="F184" s="7" t="s">
        <v>200</v>
      </c>
      <c r="G184" s="8">
        <v>-0.0564</v>
      </c>
    </row>
    <row r="185" spans="1:7">
      <c r="A185" s="6">
        <v>44812</v>
      </c>
      <c r="B185" s="7">
        <v>83.07</v>
      </c>
      <c r="C185" s="7">
        <v>81.57</v>
      </c>
      <c r="D185" s="7">
        <v>83.72</v>
      </c>
      <c r="E185" s="7">
        <v>80.89</v>
      </c>
      <c r="F185" s="7" t="s">
        <v>201</v>
      </c>
      <c r="G185" s="8">
        <v>0.0176</v>
      </c>
    </row>
    <row r="186" spans="1:7">
      <c r="A186" s="6">
        <v>44813</v>
      </c>
      <c r="B186" s="7">
        <v>86.36</v>
      </c>
      <c r="C186" s="7">
        <v>82.3</v>
      </c>
      <c r="D186" s="7">
        <v>86.68</v>
      </c>
      <c r="E186" s="7">
        <v>82.23</v>
      </c>
      <c r="F186" s="7" t="s">
        <v>202</v>
      </c>
      <c r="G186" s="8">
        <v>0.0396</v>
      </c>
    </row>
    <row r="187" spans="1:7">
      <c r="A187" s="6">
        <v>44816</v>
      </c>
      <c r="B187" s="7">
        <v>87.41</v>
      </c>
      <c r="C187" s="7">
        <v>85.84</v>
      </c>
      <c r="D187" s="7">
        <v>88.64</v>
      </c>
      <c r="E187" s="7">
        <v>84.78</v>
      </c>
      <c r="F187" s="7" t="s">
        <v>203</v>
      </c>
      <c r="G187" s="8">
        <v>0.0122</v>
      </c>
    </row>
    <row r="188" spans="1:7">
      <c r="A188" s="6">
        <v>44817</v>
      </c>
      <c r="B188" s="7">
        <v>86.89</v>
      </c>
      <c r="C188" s="7">
        <v>87.82</v>
      </c>
      <c r="D188" s="7">
        <v>88.9</v>
      </c>
      <c r="E188" s="7">
        <v>84.66</v>
      </c>
      <c r="F188" s="7" t="s">
        <v>204</v>
      </c>
      <c r="G188" s="8">
        <v>-0.0059</v>
      </c>
    </row>
    <row r="189" spans="1:7">
      <c r="A189" s="6">
        <v>44818</v>
      </c>
      <c r="B189" s="7">
        <v>88.05</v>
      </c>
      <c r="C189" s="7">
        <v>87.24</v>
      </c>
      <c r="D189" s="7">
        <v>89.63</v>
      </c>
      <c r="E189" s="7">
        <v>85.75</v>
      </c>
      <c r="F189" s="7" t="s">
        <v>205</v>
      </c>
      <c r="G189" s="8">
        <v>0.0134</v>
      </c>
    </row>
    <row r="190" spans="1:7">
      <c r="A190" s="6">
        <v>44819</v>
      </c>
      <c r="B190" s="7">
        <v>84.65</v>
      </c>
      <c r="C190" s="7">
        <v>88.7</v>
      </c>
      <c r="D190" s="7">
        <v>88.7</v>
      </c>
      <c r="E190" s="7">
        <v>84.09</v>
      </c>
      <c r="F190" s="7" t="s">
        <v>206</v>
      </c>
      <c r="G190" s="8">
        <v>-0.0386</v>
      </c>
    </row>
    <row r="191" spans="1:7">
      <c r="A191" s="6">
        <v>44820</v>
      </c>
      <c r="B191" s="7">
        <v>84.76</v>
      </c>
      <c r="C191" s="7">
        <v>84.66</v>
      </c>
      <c r="D191" s="7">
        <v>86.18</v>
      </c>
      <c r="E191" s="7">
        <v>83.86</v>
      </c>
      <c r="F191" s="7" t="s">
        <v>207</v>
      </c>
      <c r="G191" s="8">
        <v>0.0013</v>
      </c>
    </row>
    <row r="192" spans="1:7">
      <c r="A192" s="6">
        <v>44823</v>
      </c>
      <c r="B192" s="7">
        <v>85.36</v>
      </c>
      <c r="C192" s="7">
        <v>84.81</v>
      </c>
      <c r="D192" s="7">
        <v>85.88</v>
      </c>
      <c r="E192" s="7">
        <v>81.73</v>
      </c>
      <c r="F192" s="7" t="s">
        <v>208</v>
      </c>
      <c r="G192" s="8">
        <v>0.0071</v>
      </c>
    </row>
    <row r="193" spans="1:7">
      <c r="A193" s="6">
        <v>44824</v>
      </c>
      <c r="B193" s="7">
        <v>83.94</v>
      </c>
      <c r="C193" s="7">
        <v>85.02</v>
      </c>
      <c r="D193" s="7">
        <v>86.12</v>
      </c>
      <c r="E193" s="7">
        <v>83.01</v>
      </c>
      <c r="F193" s="7" t="s">
        <v>209</v>
      </c>
      <c r="G193" s="8">
        <v>-0.0166</v>
      </c>
    </row>
    <row r="194" spans="1:7">
      <c r="A194" s="6">
        <v>44825</v>
      </c>
      <c r="B194" s="7">
        <v>82.43</v>
      </c>
      <c r="C194" s="7">
        <v>83.6</v>
      </c>
      <c r="D194" s="7">
        <v>85.99</v>
      </c>
      <c r="E194" s="7">
        <v>82</v>
      </c>
      <c r="F194" s="7" t="s">
        <v>210</v>
      </c>
      <c r="G194" s="8">
        <v>-0.018</v>
      </c>
    </row>
    <row r="195" spans="1:7">
      <c r="A195" s="6">
        <v>44826</v>
      </c>
      <c r="B195" s="7">
        <v>83.03</v>
      </c>
      <c r="C195" s="7">
        <v>82.54</v>
      </c>
      <c r="D195" s="7">
        <v>85.44</v>
      </c>
      <c r="E195" s="7">
        <v>81.89</v>
      </c>
      <c r="F195" s="7" t="s">
        <v>211</v>
      </c>
      <c r="G195" s="8">
        <v>0.0073</v>
      </c>
    </row>
    <row r="196" spans="1:7">
      <c r="A196" s="6">
        <v>44827</v>
      </c>
      <c r="B196" s="7">
        <v>78.25</v>
      </c>
      <c r="C196" s="7">
        <v>83.15</v>
      </c>
      <c r="D196" s="7">
        <v>83.45</v>
      </c>
      <c r="E196" s="7">
        <v>77.64</v>
      </c>
      <c r="F196" s="7" t="s">
        <v>212</v>
      </c>
      <c r="G196" s="8">
        <v>-0.0576</v>
      </c>
    </row>
    <row r="197" spans="1:7">
      <c r="A197" s="6">
        <v>44830</v>
      </c>
      <c r="B197" s="7">
        <v>76.18</v>
      </c>
      <c r="C197" s="7">
        <v>78.75</v>
      </c>
      <c r="D197" s="7">
        <v>79.76</v>
      </c>
      <c r="E197" s="7">
        <v>75.7</v>
      </c>
      <c r="F197" s="7" t="s">
        <v>213</v>
      </c>
      <c r="G197" s="8">
        <v>-0.0265</v>
      </c>
    </row>
    <row r="198" spans="1:7">
      <c r="A198" s="6">
        <v>44831</v>
      </c>
      <c r="B198" s="7">
        <v>77.81</v>
      </c>
      <c r="C198" s="7">
        <v>75.9</v>
      </c>
      <c r="D198" s="7">
        <v>78.92</v>
      </c>
      <c r="E198" s="7">
        <v>75.88</v>
      </c>
      <c r="F198" s="7" t="s">
        <v>214</v>
      </c>
      <c r="G198" s="8">
        <v>0.0214</v>
      </c>
    </row>
    <row r="199" spans="1:7">
      <c r="A199" s="6">
        <v>44832</v>
      </c>
      <c r="B199" s="7">
        <v>81.24</v>
      </c>
      <c r="C199" s="7">
        <v>77.38</v>
      </c>
      <c r="D199" s="7">
        <v>81.4</v>
      </c>
      <c r="E199" s="7">
        <v>75.84</v>
      </c>
      <c r="F199" s="7" t="s">
        <v>215</v>
      </c>
      <c r="G199" s="8">
        <v>0.0441</v>
      </c>
    </row>
    <row r="200" spans="1:7">
      <c r="A200" s="6">
        <v>44833</v>
      </c>
      <c r="B200" s="7">
        <v>80.42</v>
      </c>
      <c r="C200" s="7">
        <v>81</v>
      </c>
      <c r="D200" s="7">
        <v>81.99</v>
      </c>
      <c r="E200" s="7">
        <v>79.45</v>
      </c>
      <c r="F200" s="7" t="s">
        <v>216</v>
      </c>
      <c r="G200" s="8">
        <v>-0.0101</v>
      </c>
    </row>
    <row r="201" spans="1:7">
      <c r="A201" s="6">
        <v>44834</v>
      </c>
      <c r="B201" s="7">
        <v>78.72</v>
      </c>
      <c r="C201" s="7">
        <v>80.86</v>
      </c>
      <c r="D201" s="7">
        <v>81.72</v>
      </c>
      <c r="E201" s="7">
        <v>78.36</v>
      </c>
      <c r="F201" s="7" t="s">
        <v>217</v>
      </c>
      <c r="G201" s="8">
        <v>-0.0211</v>
      </c>
    </row>
    <row r="202" spans="1:7">
      <c r="A202" s="6">
        <v>44837</v>
      </c>
      <c r="B202" s="7">
        <v>82.7</v>
      </c>
      <c r="C202" s="7">
        <v>80.29</v>
      </c>
      <c r="D202" s="7">
        <v>83.61</v>
      </c>
      <c r="E202" s="7">
        <v>80.19</v>
      </c>
      <c r="F202" s="7" t="s">
        <v>218</v>
      </c>
      <c r="G202" s="8">
        <v>0.0506</v>
      </c>
    </row>
    <row r="203" spans="1:7">
      <c r="A203" s="6">
        <v>44838</v>
      </c>
      <c r="B203" s="7">
        <v>85.5</v>
      </c>
      <c r="C203" s="7">
        <v>82.57</v>
      </c>
      <c r="D203" s="7">
        <v>85.98</v>
      </c>
      <c r="E203" s="7">
        <v>82.33</v>
      </c>
      <c r="F203" s="7" t="s">
        <v>219</v>
      </c>
      <c r="G203" s="8">
        <v>0.0339</v>
      </c>
    </row>
    <row r="204" spans="1:7">
      <c r="A204" s="6">
        <v>44839</v>
      </c>
      <c r="B204" s="7">
        <v>86.84</v>
      </c>
      <c r="C204" s="7">
        <v>85.3</v>
      </c>
      <c r="D204" s="7">
        <v>87.42</v>
      </c>
      <c r="E204" s="7">
        <v>84.53</v>
      </c>
      <c r="F204" s="7" t="s">
        <v>220</v>
      </c>
      <c r="G204" s="8">
        <v>0.0157</v>
      </c>
    </row>
    <row r="205" spans="1:7">
      <c r="A205" s="6">
        <v>44840</v>
      </c>
      <c r="B205" s="7">
        <v>87.59</v>
      </c>
      <c r="C205" s="7">
        <v>87.12</v>
      </c>
      <c r="D205" s="7">
        <v>88.2</v>
      </c>
      <c r="E205" s="7">
        <v>86.15</v>
      </c>
      <c r="F205" s="7" t="s">
        <v>221</v>
      </c>
      <c r="G205" s="8">
        <v>0.0086</v>
      </c>
    </row>
    <row r="206" spans="1:7">
      <c r="A206" s="6">
        <v>44841</v>
      </c>
      <c r="B206" s="7">
        <v>91.35</v>
      </c>
      <c r="C206" s="7">
        <v>88.12</v>
      </c>
      <c r="D206" s="7">
        <v>92</v>
      </c>
      <c r="E206" s="7">
        <v>87.15</v>
      </c>
      <c r="F206" s="7" t="s">
        <v>222</v>
      </c>
      <c r="G206" s="8">
        <v>0.0429</v>
      </c>
    </row>
    <row r="207" spans="1:7">
      <c r="A207" s="6">
        <v>44844</v>
      </c>
      <c r="B207" s="7">
        <v>89.84</v>
      </c>
      <c r="C207" s="7">
        <v>92.23</v>
      </c>
      <c r="D207" s="7">
        <v>92.34</v>
      </c>
      <c r="E207" s="7">
        <v>89.29</v>
      </c>
      <c r="F207" s="7" t="s">
        <v>223</v>
      </c>
      <c r="G207" s="8">
        <v>-0.0165</v>
      </c>
    </row>
    <row r="208" spans="1:7">
      <c r="A208" s="6">
        <v>44845</v>
      </c>
      <c r="B208" s="7">
        <v>87.97</v>
      </c>
      <c r="C208" s="7">
        <v>89.75</v>
      </c>
      <c r="D208" s="7">
        <v>90.15</v>
      </c>
      <c r="E208" s="7">
        <v>86.59</v>
      </c>
      <c r="F208" s="7" t="s">
        <v>224</v>
      </c>
      <c r="G208" s="8">
        <v>-0.0208</v>
      </c>
    </row>
    <row r="209" spans="1:7">
      <c r="A209" s="6">
        <v>44846</v>
      </c>
      <c r="B209" s="7">
        <v>86.06</v>
      </c>
      <c r="C209" s="7">
        <v>87.25</v>
      </c>
      <c r="D209" s="7">
        <v>88.66</v>
      </c>
      <c r="E209" s="7">
        <v>85.05</v>
      </c>
      <c r="F209" s="7" t="s">
        <v>225</v>
      </c>
      <c r="G209" s="8">
        <v>-0.0217</v>
      </c>
    </row>
    <row r="210" spans="1:7">
      <c r="A210" s="6">
        <v>44847</v>
      </c>
      <c r="B210" s="7">
        <v>87.95</v>
      </c>
      <c r="C210" s="7">
        <v>86.01</v>
      </c>
      <c r="D210" s="7">
        <v>88.38</v>
      </c>
      <c r="E210" s="7">
        <v>84.43</v>
      </c>
      <c r="F210" s="7" t="s">
        <v>226</v>
      </c>
      <c r="G210" s="8">
        <v>0.022</v>
      </c>
    </row>
    <row r="211" spans="1:7">
      <c r="A211" s="6">
        <v>44848</v>
      </c>
      <c r="B211" s="7">
        <v>84.65</v>
      </c>
      <c r="C211" s="7">
        <v>88.15</v>
      </c>
      <c r="D211" s="7">
        <v>88.52</v>
      </c>
      <c r="E211" s="7">
        <v>84.22</v>
      </c>
      <c r="F211" s="7" t="s">
        <v>227</v>
      </c>
      <c r="G211" s="8">
        <v>-0.0375</v>
      </c>
    </row>
    <row r="212" spans="1:7">
      <c r="A212" s="6">
        <v>44851</v>
      </c>
      <c r="B212" s="7">
        <v>84.53</v>
      </c>
      <c r="C212" s="7">
        <v>84.63</v>
      </c>
      <c r="D212" s="7">
        <v>86.18</v>
      </c>
      <c r="E212" s="7">
        <v>83.7</v>
      </c>
      <c r="F212" s="7" t="s">
        <v>228</v>
      </c>
      <c r="G212" s="8">
        <v>-0.0014</v>
      </c>
    </row>
    <row r="213" spans="1:7">
      <c r="A213" s="6">
        <v>44852</v>
      </c>
      <c r="B213" s="7">
        <v>82.07</v>
      </c>
      <c r="C213" s="7">
        <v>84.8</v>
      </c>
      <c r="D213" s="7">
        <v>85.53</v>
      </c>
      <c r="E213" s="7">
        <v>81.3</v>
      </c>
      <c r="F213" s="7" t="s">
        <v>229</v>
      </c>
      <c r="G213" s="8">
        <v>-0.0291</v>
      </c>
    </row>
    <row r="214" spans="1:7">
      <c r="A214" s="6">
        <v>44853</v>
      </c>
      <c r="B214" s="7">
        <v>84.52</v>
      </c>
      <c r="C214" s="7">
        <v>82.91</v>
      </c>
      <c r="D214" s="7">
        <v>85.02</v>
      </c>
      <c r="E214" s="7">
        <v>81.72</v>
      </c>
      <c r="F214" s="7" t="s">
        <v>230</v>
      </c>
      <c r="G214" s="8">
        <v>0.0299</v>
      </c>
    </row>
    <row r="215" spans="1:7">
      <c r="A215" s="6">
        <v>44854</v>
      </c>
      <c r="B215" s="7">
        <v>84.51</v>
      </c>
      <c r="C215" s="7">
        <v>84.91</v>
      </c>
      <c r="D215" s="7">
        <v>87.14</v>
      </c>
      <c r="E215" s="7">
        <v>84.16</v>
      </c>
      <c r="F215" s="7" t="s">
        <v>231</v>
      </c>
      <c r="G215" s="8">
        <v>-0.0001</v>
      </c>
    </row>
    <row r="216" spans="1:7">
      <c r="A216" s="6">
        <v>44855</v>
      </c>
      <c r="B216" s="7">
        <v>83.95</v>
      </c>
      <c r="C216" s="7">
        <v>83.78</v>
      </c>
      <c r="D216" s="7">
        <v>84.64</v>
      </c>
      <c r="E216" s="7">
        <v>82.05</v>
      </c>
      <c r="F216" s="7" t="s">
        <v>232</v>
      </c>
      <c r="G216" s="8">
        <v>-0.0066</v>
      </c>
    </row>
    <row r="217" spans="1:7">
      <c r="A217" s="6">
        <v>44858</v>
      </c>
      <c r="B217" s="7">
        <v>83.59</v>
      </c>
      <c r="C217" s="7">
        <v>84.05</v>
      </c>
      <c r="D217" s="7">
        <v>84.8</v>
      </c>
      <c r="E217" s="7">
        <v>81.61</v>
      </c>
      <c r="F217" s="7" t="s">
        <v>233</v>
      </c>
      <c r="G217" s="8">
        <v>-0.0043</v>
      </c>
    </row>
    <row r="218" spans="1:7">
      <c r="A218" s="6">
        <v>44859</v>
      </c>
      <c r="B218" s="7">
        <v>84.31</v>
      </c>
      <c r="C218" s="7">
        <v>83.93</v>
      </c>
      <c r="D218" s="7">
        <v>85</v>
      </c>
      <c r="E218" s="7">
        <v>82.14</v>
      </c>
      <c r="F218" s="7" t="s">
        <v>234</v>
      </c>
      <c r="G218" s="8">
        <v>0.0086</v>
      </c>
    </row>
    <row r="219" spans="1:7">
      <c r="A219" s="6">
        <v>44860</v>
      </c>
      <c r="B219" s="7">
        <v>86.68</v>
      </c>
      <c r="C219" s="7">
        <v>84.03</v>
      </c>
      <c r="D219" s="7">
        <v>87.17</v>
      </c>
      <c r="E219" s="7">
        <v>83.17</v>
      </c>
      <c r="F219" s="7" t="s">
        <v>235</v>
      </c>
      <c r="G219" s="8">
        <v>0.0281</v>
      </c>
    </row>
    <row r="220" spans="1:7">
      <c r="A220" s="6">
        <v>44861</v>
      </c>
      <c r="B220" s="7">
        <v>87.83</v>
      </c>
      <c r="C220" s="7">
        <v>87.06</v>
      </c>
      <c r="D220" s="7">
        <v>88.45</v>
      </c>
      <c r="E220" s="7">
        <v>86.12</v>
      </c>
      <c r="F220" s="7" t="s">
        <v>236</v>
      </c>
      <c r="G220" s="8">
        <v>0.0133</v>
      </c>
    </row>
    <row r="221" spans="1:7">
      <c r="A221" s="6">
        <v>44862</v>
      </c>
      <c r="B221" s="7">
        <v>86.61</v>
      </c>
      <c r="C221" s="7">
        <v>87.41</v>
      </c>
      <c r="D221" s="7">
        <v>87.51</v>
      </c>
      <c r="E221" s="7">
        <v>85.86</v>
      </c>
      <c r="F221" s="7" t="s">
        <v>237</v>
      </c>
      <c r="G221" s="8">
        <v>-0.0139</v>
      </c>
    </row>
    <row r="222" spans="1:7">
      <c r="A222" s="6">
        <v>44865</v>
      </c>
      <c r="B222" s="7">
        <v>85.4</v>
      </c>
      <c r="C222" s="7">
        <v>87.06</v>
      </c>
      <c r="D222" s="7">
        <v>87.36</v>
      </c>
      <c r="E222" s="7">
        <v>84.16</v>
      </c>
      <c r="F222" s="7" t="s">
        <v>238</v>
      </c>
      <c r="G222" s="8">
        <v>-0.014</v>
      </c>
    </row>
    <row r="223" spans="1:7">
      <c r="A223" s="6">
        <v>44866</v>
      </c>
      <c r="B223" s="7">
        <v>87.19</v>
      </c>
      <c r="C223" s="7">
        <v>85.2</v>
      </c>
      <c r="D223" s="7">
        <v>88.27</v>
      </c>
      <c r="E223" s="7">
        <v>84.85</v>
      </c>
      <c r="F223" s="7" t="s">
        <v>239</v>
      </c>
      <c r="G223" s="8">
        <v>0.021</v>
      </c>
    </row>
    <row r="224" spans="1:7">
      <c r="A224" s="6">
        <v>44867</v>
      </c>
      <c r="B224" s="7">
        <v>88.86</v>
      </c>
      <c r="C224" s="7">
        <v>87.42</v>
      </c>
      <c r="D224" s="7">
        <v>89.14</v>
      </c>
      <c r="E224" s="7">
        <v>86.6</v>
      </c>
      <c r="F224" s="7" t="s">
        <v>240</v>
      </c>
      <c r="G224" s="8">
        <v>0.0192</v>
      </c>
    </row>
    <row r="225" spans="1:7">
      <c r="A225" s="6">
        <v>44868</v>
      </c>
      <c r="B225" s="7">
        <v>87.18</v>
      </c>
      <c r="C225" s="7">
        <v>88.32</v>
      </c>
      <c r="D225" s="7">
        <v>88.53</v>
      </c>
      <c r="E225" s="7">
        <v>86.55</v>
      </c>
      <c r="F225" s="7" t="s">
        <v>241</v>
      </c>
      <c r="G225" s="8">
        <v>-0.0189</v>
      </c>
    </row>
    <row r="226" spans="1:7">
      <c r="A226" s="6">
        <v>44869</v>
      </c>
      <c r="B226" s="7">
        <v>91.45</v>
      </c>
      <c r="C226" s="7">
        <v>86.92</v>
      </c>
      <c r="D226" s="7">
        <v>91.67</v>
      </c>
      <c r="E226" s="7">
        <v>86.84</v>
      </c>
      <c r="F226" s="7" t="s">
        <v>242</v>
      </c>
      <c r="G226" s="8">
        <v>0.049</v>
      </c>
    </row>
    <row r="227" spans="1:7">
      <c r="A227" s="6">
        <v>44872</v>
      </c>
      <c r="B227" s="7">
        <v>90.73</v>
      </c>
      <c r="C227" s="7">
        <v>90.5</v>
      </c>
      <c r="D227" s="7">
        <v>92.53</v>
      </c>
      <c r="E227" s="7">
        <v>89.31</v>
      </c>
      <c r="F227" s="7" t="s">
        <v>243</v>
      </c>
      <c r="G227" s="8">
        <v>-0.0079</v>
      </c>
    </row>
    <row r="228" spans="1:7">
      <c r="A228" s="6">
        <v>44873</v>
      </c>
      <c r="B228" s="7">
        <v>88</v>
      </c>
      <c r="C228" s="7">
        <v>90.82</v>
      </c>
      <c r="D228" s="7">
        <v>91.1</v>
      </c>
      <c r="E228" s="7">
        <v>87.63</v>
      </c>
      <c r="F228" s="7" t="s">
        <v>244</v>
      </c>
      <c r="G228" s="8">
        <v>-0.0301</v>
      </c>
    </row>
    <row r="229" spans="1:7">
      <c r="A229" s="6">
        <v>44874</v>
      </c>
      <c r="B229" s="7">
        <v>85</v>
      </c>
      <c r="C229" s="7">
        <v>87.73</v>
      </c>
      <c r="D229" s="7">
        <v>88.26</v>
      </c>
      <c r="E229" s="7">
        <v>84.69</v>
      </c>
      <c r="F229" s="7" t="s">
        <v>245</v>
      </c>
      <c r="G229" s="8">
        <v>-0.0341</v>
      </c>
    </row>
    <row r="230" spans="1:7">
      <c r="A230" s="6">
        <v>44875</v>
      </c>
      <c r="B230" s="7">
        <v>85.66</v>
      </c>
      <c r="C230" s="7">
        <v>84.96</v>
      </c>
      <c r="D230" s="7">
        <v>86.49</v>
      </c>
      <c r="E230" s="7">
        <v>83.9</v>
      </c>
      <c r="F230" s="7" t="s">
        <v>246</v>
      </c>
      <c r="G230" s="8">
        <v>0.0078</v>
      </c>
    </row>
    <row r="231" spans="1:7">
      <c r="A231" s="6">
        <v>44876</v>
      </c>
      <c r="B231" s="7">
        <v>88.16</v>
      </c>
      <c r="C231" s="7">
        <v>85.4</v>
      </c>
      <c r="D231" s="7">
        <v>89.2</v>
      </c>
      <c r="E231" s="7">
        <v>85.36</v>
      </c>
      <c r="F231" s="7" t="s">
        <v>247</v>
      </c>
      <c r="G231" s="8">
        <v>0.0292</v>
      </c>
    </row>
    <row r="232" spans="1:7">
      <c r="A232" s="6">
        <v>44879</v>
      </c>
      <c r="B232" s="7">
        <v>85.16</v>
      </c>
      <c r="C232" s="7">
        <v>88.24</v>
      </c>
      <c r="D232" s="7">
        <v>89.03</v>
      </c>
      <c r="E232" s="7">
        <v>84.51</v>
      </c>
      <c r="F232" s="7" t="s">
        <v>248</v>
      </c>
      <c r="G232" s="8">
        <v>-0.034</v>
      </c>
    </row>
    <row r="233" spans="1:7">
      <c r="A233" s="6">
        <v>44880</v>
      </c>
      <c r="B233" s="7">
        <v>86.25</v>
      </c>
      <c r="C233" s="7">
        <v>84.62</v>
      </c>
      <c r="D233" s="7">
        <v>88.05</v>
      </c>
      <c r="E233" s="7">
        <v>83.54</v>
      </c>
      <c r="F233" s="7" t="s">
        <v>249</v>
      </c>
      <c r="G233" s="8">
        <v>0.0128</v>
      </c>
    </row>
    <row r="234" spans="1:7">
      <c r="A234" s="6">
        <v>44881</v>
      </c>
      <c r="B234" s="7">
        <v>85</v>
      </c>
      <c r="C234" s="7">
        <v>86.23</v>
      </c>
      <c r="D234" s="7">
        <v>86.9</v>
      </c>
      <c r="E234" s="7">
        <v>83.67</v>
      </c>
      <c r="F234" s="7" t="s">
        <v>250</v>
      </c>
      <c r="G234" s="8">
        <v>-0.0145</v>
      </c>
    </row>
    <row r="235" spans="1:7">
      <c r="A235" s="6">
        <v>44882</v>
      </c>
      <c r="B235" s="7">
        <v>81.4</v>
      </c>
      <c r="C235" s="7">
        <v>84.98</v>
      </c>
      <c r="D235" s="7">
        <v>84.98</v>
      </c>
      <c r="E235" s="7">
        <v>81.19</v>
      </c>
      <c r="F235" s="7" t="s">
        <v>251</v>
      </c>
      <c r="G235" s="8">
        <v>-0.0424</v>
      </c>
    </row>
    <row r="236" spans="1:7">
      <c r="A236" s="6">
        <v>44883</v>
      </c>
      <c r="B236" s="7">
        <v>80.11</v>
      </c>
      <c r="C236" s="7">
        <v>81.86</v>
      </c>
      <c r="D236" s="7">
        <v>82.43</v>
      </c>
      <c r="E236" s="7">
        <v>77.59</v>
      </c>
      <c r="F236" s="7" t="s">
        <v>252</v>
      </c>
      <c r="G236" s="8">
        <v>-0.0158</v>
      </c>
    </row>
    <row r="237" spans="1:7">
      <c r="A237" s="6">
        <v>44886</v>
      </c>
      <c r="B237" s="7">
        <v>80.04</v>
      </c>
      <c r="C237" s="7">
        <v>80.26</v>
      </c>
      <c r="D237" s="7">
        <v>80.5</v>
      </c>
      <c r="E237" s="7">
        <v>75.27</v>
      </c>
      <c r="F237" s="7" t="s">
        <v>253</v>
      </c>
      <c r="G237" s="8">
        <v>-0.0009</v>
      </c>
    </row>
    <row r="238" spans="1:7">
      <c r="A238" s="6">
        <v>44887</v>
      </c>
      <c r="B238" s="7">
        <v>80.73</v>
      </c>
      <c r="C238" s="7">
        <v>80.14</v>
      </c>
      <c r="D238" s="7">
        <v>82.03</v>
      </c>
      <c r="E238" s="7">
        <v>79.74</v>
      </c>
      <c r="F238" s="7" t="s">
        <v>254</v>
      </c>
      <c r="G238" s="8">
        <v>0.0086</v>
      </c>
    </row>
    <row r="239" spans="1:7">
      <c r="A239" s="6">
        <v>44888</v>
      </c>
      <c r="B239" s="7">
        <v>78.07</v>
      </c>
      <c r="C239" s="7">
        <v>80.86</v>
      </c>
      <c r="D239" s="7">
        <v>81.7</v>
      </c>
      <c r="E239" s="7">
        <v>76.95</v>
      </c>
      <c r="F239" s="7" t="s">
        <v>255</v>
      </c>
      <c r="G239" s="8">
        <v>-0.0329</v>
      </c>
    </row>
    <row r="240" spans="1:7">
      <c r="A240" s="6">
        <v>44889</v>
      </c>
      <c r="B240" s="7">
        <v>77.95</v>
      </c>
      <c r="C240" s="7">
        <v>77.53</v>
      </c>
      <c r="D240" s="7">
        <v>78.19</v>
      </c>
      <c r="E240" s="7">
        <v>76.92</v>
      </c>
      <c r="G240" s="8">
        <v>-0.0015</v>
      </c>
    </row>
    <row r="241" spans="1:7">
      <c r="A241" s="6">
        <v>44890</v>
      </c>
      <c r="B241" s="7">
        <v>76.43</v>
      </c>
      <c r="C241" s="7">
        <v>77.57</v>
      </c>
      <c r="D241" s="7">
        <v>79.92</v>
      </c>
      <c r="E241" s="7">
        <v>76.37</v>
      </c>
      <c r="F241" s="7" t="s">
        <v>256</v>
      </c>
      <c r="G241" s="8">
        <v>-0.0195</v>
      </c>
    </row>
    <row r="242" spans="1:7">
      <c r="A242" s="6">
        <v>44893</v>
      </c>
      <c r="B242" s="7">
        <v>77.33</v>
      </c>
      <c r="C242" s="7">
        <v>76.19</v>
      </c>
      <c r="D242" s="7">
        <v>77.89</v>
      </c>
      <c r="E242" s="7">
        <v>73.77</v>
      </c>
      <c r="F242" s="7" t="s">
        <v>257</v>
      </c>
      <c r="G242" s="8">
        <v>0.0118</v>
      </c>
    </row>
    <row r="243" spans="1:7">
      <c r="A243" s="6">
        <v>44894</v>
      </c>
      <c r="B243" s="7">
        <v>78.28</v>
      </c>
      <c r="C243" s="7">
        <v>76.66</v>
      </c>
      <c r="D243" s="7">
        <v>79.73</v>
      </c>
      <c r="E243" s="7">
        <v>76.4</v>
      </c>
      <c r="F243" s="7" t="s">
        <v>258</v>
      </c>
      <c r="G243" s="8">
        <v>0.0123</v>
      </c>
    </row>
    <row r="244" spans="1:7">
      <c r="A244" s="6">
        <v>44895</v>
      </c>
      <c r="B244" s="7">
        <v>80.66</v>
      </c>
      <c r="C244" s="7">
        <v>78.98</v>
      </c>
      <c r="D244" s="7">
        <v>81.41</v>
      </c>
      <c r="E244" s="7">
        <v>78.48</v>
      </c>
      <c r="F244" s="7" t="s">
        <v>259</v>
      </c>
      <c r="G244" s="8">
        <v>0.0304</v>
      </c>
    </row>
    <row r="245" spans="1:7">
      <c r="A245" s="6">
        <v>44896</v>
      </c>
      <c r="B245" s="7">
        <v>81.14</v>
      </c>
      <c r="C245" s="7">
        <v>80.61</v>
      </c>
      <c r="D245" s="7">
        <v>83.27</v>
      </c>
      <c r="E245" s="7">
        <v>80.07</v>
      </c>
      <c r="F245" s="7" t="s">
        <v>260</v>
      </c>
      <c r="G245" s="8">
        <v>0.006</v>
      </c>
    </row>
    <row r="246" spans="1:7">
      <c r="A246" s="6">
        <v>44897</v>
      </c>
      <c r="B246" s="7">
        <v>80.05</v>
      </c>
      <c r="C246" s="7">
        <v>81.35</v>
      </c>
      <c r="D246" s="7">
        <v>82.12</v>
      </c>
      <c r="E246" s="7">
        <v>79.73</v>
      </c>
      <c r="F246" s="7" t="s">
        <v>261</v>
      </c>
      <c r="G246" s="8">
        <v>-0.0134</v>
      </c>
    </row>
    <row r="247" spans="1:7">
      <c r="A247" s="6">
        <v>44900</v>
      </c>
      <c r="B247" s="7">
        <v>77.08</v>
      </c>
      <c r="C247" s="7">
        <v>80.03</v>
      </c>
      <c r="D247" s="7">
        <v>82.75</v>
      </c>
      <c r="E247" s="7">
        <v>76.92</v>
      </c>
      <c r="F247" s="7" t="s">
        <v>262</v>
      </c>
      <c r="G247" s="8">
        <v>-0.0371</v>
      </c>
    </row>
    <row r="248" spans="1:7">
      <c r="A248" s="6">
        <v>44901</v>
      </c>
      <c r="B248" s="7">
        <v>74.46</v>
      </c>
      <c r="C248" s="7">
        <v>77.46</v>
      </c>
      <c r="D248" s="7">
        <v>78.05</v>
      </c>
      <c r="E248" s="7">
        <v>73.62</v>
      </c>
      <c r="F248" s="7" t="s">
        <v>263</v>
      </c>
      <c r="G248" s="8">
        <v>-0.034</v>
      </c>
    </row>
    <row r="249" spans="1:7">
      <c r="A249" s="6">
        <v>44902</v>
      </c>
      <c r="B249" s="7">
        <v>72.28</v>
      </c>
      <c r="C249" s="7">
        <v>74.73</v>
      </c>
      <c r="D249" s="7">
        <v>75.53</v>
      </c>
      <c r="E249" s="7">
        <v>72.06</v>
      </c>
      <c r="F249" s="7" t="s">
        <v>264</v>
      </c>
      <c r="G249" s="8">
        <v>-0.0293</v>
      </c>
    </row>
    <row r="250" spans="1:7">
      <c r="A250" s="6">
        <v>44903</v>
      </c>
      <c r="B250" s="7">
        <v>71.58</v>
      </c>
      <c r="C250" s="7">
        <v>72.65</v>
      </c>
      <c r="D250" s="7">
        <v>75.19</v>
      </c>
      <c r="E250" s="7">
        <v>71.27</v>
      </c>
      <c r="F250" s="7" t="s">
        <v>265</v>
      </c>
      <c r="G250" s="8">
        <v>-0.0097</v>
      </c>
    </row>
    <row r="251" spans="1:7">
      <c r="A251" s="6">
        <v>44904</v>
      </c>
      <c r="B251" s="7">
        <v>71.21</v>
      </c>
      <c r="C251" s="7">
        <v>71.92</v>
      </c>
      <c r="D251" s="7">
        <v>73</v>
      </c>
      <c r="E251" s="7">
        <v>70.31</v>
      </c>
      <c r="F251" s="7" t="s">
        <v>266</v>
      </c>
      <c r="G251" s="8">
        <v>-0.0052</v>
      </c>
    </row>
    <row r="252" spans="1:7">
      <c r="A252" s="6">
        <v>44907</v>
      </c>
      <c r="B252" s="7">
        <v>73.28</v>
      </c>
      <c r="C252" s="7">
        <v>72.02</v>
      </c>
      <c r="D252" s="7">
        <v>74</v>
      </c>
      <c r="E252" s="7">
        <v>70.48</v>
      </c>
      <c r="F252" s="7" t="s">
        <v>267</v>
      </c>
      <c r="G252" s="8">
        <v>0.0291</v>
      </c>
    </row>
    <row r="253" spans="1:7">
      <c r="A253" s="6">
        <v>44908</v>
      </c>
      <c r="B253" s="7">
        <v>75.44</v>
      </c>
      <c r="C253" s="7">
        <v>73.43</v>
      </c>
      <c r="D253" s="7">
        <v>76.3</v>
      </c>
      <c r="E253" s="7">
        <v>73.33</v>
      </c>
      <c r="F253" s="7" t="s">
        <v>268</v>
      </c>
      <c r="G253" s="8">
        <v>0.0295</v>
      </c>
    </row>
    <row r="254" spans="1:7">
      <c r="A254" s="6">
        <v>44909</v>
      </c>
      <c r="B254" s="7">
        <v>77.31</v>
      </c>
      <c r="C254" s="7">
        <v>75.22</v>
      </c>
      <c r="D254" s="7">
        <v>77.76</v>
      </c>
      <c r="E254" s="7">
        <v>74.96</v>
      </c>
      <c r="F254" s="7" t="s">
        <v>269</v>
      </c>
      <c r="G254" s="8">
        <v>0.0248</v>
      </c>
    </row>
    <row r="255" spans="1:7">
      <c r="A255" s="6">
        <v>44910</v>
      </c>
      <c r="B255" s="7">
        <v>76.15</v>
      </c>
      <c r="C255" s="7">
        <v>77.4</v>
      </c>
      <c r="D255" s="7">
        <v>77.83</v>
      </c>
      <c r="E255" s="7">
        <v>75.41</v>
      </c>
      <c r="F255" s="7" t="s">
        <v>270</v>
      </c>
      <c r="G255" s="8">
        <v>-0.015</v>
      </c>
    </row>
    <row r="256" spans="1:7">
      <c r="A256" s="6">
        <v>44911</v>
      </c>
      <c r="B256" s="7">
        <v>74.46</v>
      </c>
      <c r="C256" s="7">
        <v>76.33</v>
      </c>
      <c r="D256" s="7">
        <v>76.58</v>
      </c>
      <c r="E256" s="7">
        <v>73.4</v>
      </c>
      <c r="F256" s="7" t="s">
        <v>271</v>
      </c>
      <c r="G256" s="8">
        <v>-0.0222</v>
      </c>
    </row>
    <row r="257" spans="1:7">
      <c r="A257" s="6">
        <v>44914</v>
      </c>
      <c r="B257" s="7">
        <v>75.38</v>
      </c>
      <c r="C257" s="7">
        <v>74.62</v>
      </c>
      <c r="D257" s="7">
        <v>76.64</v>
      </c>
      <c r="E257" s="7">
        <v>74.03</v>
      </c>
      <c r="F257" s="7" t="s">
        <v>272</v>
      </c>
      <c r="G257" s="8">
        <v>0.0124</v>
      </c>
    </row>
    <row r="258" spans="1:7">
      <c r="A258" s="6">
        <v>44915</v>
      </c>
      <c r="B258" s="7">
        <v>76.23</v>
      </c>
      <c r="C258" s="7">
        <v>75.77</v>
      </c>
      <c r="D258" s="7">
        <v>76.96</v>
      </c>
      <c r="E258" s="7">
        <v>74.46</v>
      </c>
      <c r="F258" s="7" t="s">
        <v>273</v>
      </c>
      <c r="G258" s="8">
        <v>0.0113</v>
      </c>
    </row>
    <row r="259" spans="1:7">
      <c r="A259" s="6">
        <v>44916</v>
      </c>
      <c r="B259" s="7">
        <v>78.24</v>
      </c>
      <c r="C259" s="7">
        <v>76</v>
      </c>
      <c r="D259" s="7">
        <v>78.56</v>
      </c>
      <c r="E259" s="7">
        <v>75.81</v>
      </c>
      <c r="F259" s="7" t="s">
        <v>274</v>
      </c>
      <c r="G259" s="8">
        <v>0.0264</v>
      </c>
    </row>
    <row r="260" spans="1:7">
      <c r="A260" s="6">
        <v>44917</v>
      </c>
      <c r="B260" s="7">
        <v>77.42</v>
      </c>
      <c r="C260" s="7">
        <v>78.28</v>
      </c>
      <c r="D260" s="7">
        <v>79.77</v>
      </c>
      <c r="E260" s="7">
        <v>77.01</v>
      </c>
      <c r="F260" s="7" t="s">
        <v>275</v>
      </c>
      <c r="G260" s="8">
        <v>-0.0105</v>
      </c>
    </row>
    <row r="261" spans="1:7">
      <c r="A261" s="6">
        <v>44918</v>
      </c>
      <c r="B261" s="7">
        <v>79.64</v>
      </c>
      <c r="C261" s="7">
        <v>78.14</v>
      </c>
      <c r="D261" s="7">
        <v>80.19</v>
      </c>
      <c r="E261" s="7">
        <v>77.87</v>
      </c>
      <c r="F261" s="7" t="s">
        <v>276</v>
      </c>
      <c r="G261" s="8">
        <v>0.0287</v>
      </c>
    </row>
    <row r="262" spans="1:7">
      <c r="A262" s="6">
        <v>44921</v>
      </c>
      <c r="B262" s="7">
        <v>80.97</v>
      </c>
      <c r="C262" s="7">
        <v>79.92</v>
      </c>
      <c r="D262" s="7">
        <v>81.06</v>
      </c>
      <c r="E262" s="7">
        <v>79.92</v>
      </c>
      <c r="G262" s="8">
        <v>0.0167</v>
      </c>
    </row>
    <row r="263" spans="1:7">
      <c r="A263" s="6">
        <v>44922</v>
      </c>
      <c r="B263" s="7">
        <v>79.64</v>
      </c>
      <c r="C263" s="7">
        <v>79.99</v>
      </c>
      <c r="D263" s="7">
        <v>81.21</v>
      </c>
      <c r="E263" s="7">
        <v>79.28</v>
      </c>
      <c r="F263" s="7" t="s">
        <v>277</v>
      </c>
      <c r="G263" s="8">
        <v>-0.0164</v>
      </c>
    </row>
    <row r="264" spans="1:7">
      <c r="A264" s="6">
        <v>44923</v>
      </c>
      <c r="B264" s="7">
        <v>79.08</v>
      </c>
      <c r="C264" s="7">
        <v>80.02</v>
      </c>
      <c r="D264" s="7">
        <v>80.02</v>
      </c>
      <c r="E264" s="7">
        <v>77.45</v>
      </c>
      <c r="F264" s="7" t="s">
        <v>278</v>
      </c>
      <c r="G264" s="8">
        <v>-0.007</v>
      </c>
    </row>
    <row r="265" spans="1:7">
      <c r="A265" s="6">
        <v>44924</v>
      </c>
      <c r="B265" s="7">
        <v>78.5</v>
      </c>
      <c r="C265" s="7">
        <v>79.01</v>
      </c>
      <c r="D265" s="7">
        <v>79.01</v>
      </c>
      <c r="E265" s="7">
        <v>76.94</v>
      </c>
      <c r="F265" s="7" t="s">
        <v>279</v>
      </c>
      <c r="G265" s="8">
        <v>-0.0073</v>
      </c>
    </row>
    <row r="266" spans="1:7">
      <c r="A266" s="6">
        <v>44925</v>
      </c>
      <c r="B266" s="7">
        <v>80.45</v>
      </c>
      <c r="C266" s="7">
        <v>78.75</v>
      </c>
      <c r="D266" s="7">
        <v>80.81</v>
      </c>
      <c r="E266" s="7">
        <v>77.85</v>
      </c>
      <c r="F266" s="7" t="s">
        <v>280</v>
      </c>
      <c r="G266" s="8">
        <v>0.0248</v>
      </c>
    </row>
    <row r="267" spans="1:7">
      <c r="A267" s="6">
        <v>44928</v>
      </c>
      <c r="B267" s="7">
        <v>80.47</v>
      </c>
      <c r="C267" s="7">
        <v>80.57</v>
      </c>
      <c r="D267" s="7">
        <v>80.61</v>
      </c>
      <c r="E267" s="7">
        <v>80.18</v>
      </c>
      <c r="G267" s="8">
        <v>0.0002</v>
      </c>
    </row>
    <row r="268" spans="1:7">
      <c r="A268" s="6">
        <v>44929</v>
      </c>
      <c r="B268" s="7">
        <v>77.12</v>
      </c>
      <c r="C268" s="7">
        <v>80.66</v>
      </c>
      <c r="D268" s="7">
        <v>81.62</v>
      </c>
      <c r="E268" s="7">
        <v>76.81</v>
      </c>
      <c r="F268" s="7" t="s">
        <v>281</v>
      </c>
      <c r="G268" s="8">
        <v>-0.0416</v>
      </c>
    </row>
    <row r="269" spans="1:7">
      <c r="A269" s="6">
        <v>44930</v>
      </c>
      <c r="B269" s="7">
        <v>73.1</v>
      </c>
      <c r="C269" s="7">
        <v>77.41</v>
      </c>
      <c r="D269" s="7">
        <v>77.62</v>
      </c>
      <c r="E269" s="7">
        <v>73.01</v>
      </c>
      <c r="F269" s="7" t="s">
        <v>282</v>
      </c>
      <c r="G269" s="8">
        <v>-0.0521</v>
      </c>
    </row>
    <row r="270" spans="1:7">
      <c r="A270" s="6">
        <v>44931</v>
      </c>
      <c r="B270" s="7">
        <v>73.92</v>
      </c>
      <c r="C270" s="7">
        <v>73.51</v>
      </c>
      <c r="D270" s="7">
        <v>75.15</v>
      </c>
      <c r="E270" s="7">
        <v>72.74</v>
      </c>
      <c r="F270" s="7" t="s">
        <v>283</v>
      </c>
      <c r="G270" s="8">
        <v>0.0112</v>
      </c>
    </row>
    <row r="271" spans="1:7">
      <c r="A271" s="6">
        <v>44932</v>
      </c>
      <c r="B271" s="7">
        <v>74.04</v>
      </c>
      <c r="C271" s="7">
        <v>74.18</v>
      </c>
      <c r="D271" s="7">
        <v>75.71</v>
      </c>
      <c r="E271" s="7">
        <v>73.52</v>
      </c>
      <c r="F271" s="7" t="s">
        <v>284</v>
      </c>
      <c r="G271" s="8">
        <v>0.0016</v>
      </c>
    </row>
    <row r="272" spans="1:7">
      <c r="A272" s="6">
        <v>44935</v>
      </c>
      <c r="B272" s="7">
        <v>74.92</v>
      </c>
      <c r="C272" s="7">
        <v>73.87</v>
      </c>
      <c r="D272" s="7">
        <v>76.97</v>
      </c>
      <c r="E272" s="7">
        <v>73.79</v>
      </c>
      <c r="F272" s="7" t="s">
        <v>285</v>
      </c>
      <c r="G272" s="8">
        <v>0.0119</v>
      </c>
    </row>
    <row r="273" spans="1:7">
      <c r="A273" s="6">
        <v>44936</v>
      </c>
      <c r="B273" s="7">
        <v>75.37</v>
      </c>
      <c r="C273" s="7">
        <v>75.16</v>
      </c>
      <c r="D273" s="7">
        <v>76.16</v>
      </c>
      <c r="E273" s="7">
        <v>74.16</v>
      </c>
      <c r="F273" s="7" t="s">
        <v>286</v>
      </c>
      <c r="G273" s="8">
        <v>0.006</v>
      </c>
    </row>
    <row r="274" spans="1:7">
      <c r="A274" s="6">
        <v>44937</v>
      </c>
      <c r="B274" s="7">
        <v>77.68</v>
      </c>
      <c r="C274" s="7">
        <v>75.06</v>
      </c>
      <c r="D274" s="7">
        <v>78.06</v>
      </c>
      <c r="E274" s="7">
        <v>74.56</v>
      </c>
      <c r="F274" s="7" t="s">
        <v>287</v>
      </c>
      <c r="G274" s="8">
        <v>0.0306</v>
      </c>
    </row>
    <row r="275" spans="1:7">
      <c r="A275" s="6">
        <v>44938</v>
      </c>
      <c r="B275" s="7">
        <v>78.65</v>
      </c>
      <c r="C275" s="7">
        <v>77.9</v>
      </c>
      <c r="D275" s="7">
        <v>79.37</v>
      </c>
      <c r="E275" s="7">
        <v>77.35</v>
      </c>
      <c r="F275" s="7" t="s">
        <v>288</v>
      </c>
      <c r="G275" s="8">
        <v>0.0125</v>
      </c>
    </row>
    <row r="276" spans="1:7">
      <c r="A276" s="6">
        <v>44939</v>
      </c>
      <c r="B276" s="7">
        <v>80.11</v>
      </c>
      <c r="C276" s="7">
        <v>78.58</v>
      </c>
      <c r="D276" s="7">
        <v>80.37</v>
      </c>
      <c r="E276" s="7">
        <v>78.23</v>
      </c>
      <c r="F276" s="7" t="s">
        <v>289</v>
      </c>
      <c r="G276" s="8">
        <v>0.0186</v>
      </c>
    </row>
    <row r="277" spans="1:7">
      <c r="A277" s="6">
        <v>44941</v>
      </c>
      <c r="B277" s="7">
        <v>79.78</v>
      </c>
      <c r="C277" s="7">
        <v>80.17</v>
      </c>
      <c r="D277" s="7">
        <v>80.19</v>
      </c>
      <c r="E277" s="7">
        <v>79.78</v>
      </c>
      <c r="G277" s="8">
        <v>-0.0041</v>
      </c>
    </row>
    <row r="278" spans="1:7">
      <c r="A278" s="6">
        <v>44942</v>
      </c>
      <c r="B278" s="7">
        <v>79.04</v>
      </c>
      <c r="C278" s="7">
        <v>79.78</v>
      </c>
      <c r="D278" s="7">
        <v>79.92</v>
      </c>
      <c r="E278" s="7">
        <v>78.8</v>
      </c>
      <c r="G278" s="8">
        <v>-0.0093</v>
      </c>
    </row>
    <row r="279" spans="1:7">
      <c r="A279" s="6">
        <v>44943</v>
      </c>
      <c r="B279" s="7">
        <v>80.45</v>
      </c>
      <c r="C279" s="7">
        <v>80.34</v>
      </c>
      <c r="D279" s="7">
        <v>81.51</v>
      </c>
      <c r="E279" s="7">
        <v>78.8</v>
      </c>
      <c r="F279" s="7" t="s">
        <v>290</v>
      </c>
      <c r="G279" s="8">
        <v>0.0178</v>
      </c>
    </row>
    <row r="280" spans="1:7">
      <c r="A280" s="6">
        <v>44944</v>
      </c>
      <c r="B280" s="7">
        <v>79.8</v>
      </c>
      <c r="C280" s="7">
        <v>81.34</v>
      </c>
      <c r="D280" s="7">
        <v>82.66</v>
      </c>
      <c r="E280" s="7">
        <v>79.21</v>
      </c>
      <c r="F280" s="7" t="s">
        <v>291</v>
      </c>
      <c r="G280" s="8">
        <v>-0.0081</v>
      </c>
    </row>
    <row r="281" spans="1:7">
      <c r="A281" s="6">
        <v>44945</v>
      </c>
      <c r="B281" s="7">
        <v>80.61</v>
      </c>
      <c r="C281" s="7">
        <v>79.43</v>
      </c>
      <c r="D281" s="7">
        <v>81.49</v>
      </c>
      <c r="E281" s="7">
        <v>78.45</v>
      </c>
      <c r="F281" s="7" t="s">
        <v>292</v>
      </c>
      <c r="G281" s="8">
        <v>0.0102</v>
      </c>
    </row>
    <row r="282" spans="1:7">
      <c r="A282" s="6">
        <v>44946</v>
      </c>
      <c r="B282" s="7">
        <v>81.64</v>
      </c>
      <c r="C282" s="7">
        <v>80.84</v>
      </c>
      <c r="D282" s="7">
        <v>81.91</v>
      </c>
      <c r="E282" s="7">
        <v>79.91</v>
      </c>
      <c r="F282" s="7" t="s">
        <v>293</v>
      </c>
      <c r="G282" s="8">
        <v>0.0128</v>
      </c>
    </row>
    <row r="283" spans="1:7">
      <c r="A283" s="6">
        <v>44949</v>
      </c>
      <c r="B283" s="7">
        <v>81.93</v>
      </c>
      <c r="C283" s="7">
        <v>82.12</v>
      </c>
      <c r="D283" s="7">
        <v>82.89</v>
      </c>
      <c r="E283" s="7">
        <v>81.32</v>
      </c>
      <c r="F283" s="7" t="s">
        <v>294</v>
      </c>
      <c r="G283" s="8">
        <v>0.0036</v>
      </c>
    </row>
    <row r="284" spans="1:7">
      <c r="A284" s="6">
        <v>44950</v>
      </c>
      <c r="B284" s="7">
        <v>80.44</v>
      </c>
      <c r="C284" s="7">
        <v>81.94</v>
      </c>
      <c r="D284" s="7">
        <v>82.51</v>
      </c>
      <c r="E284" s="7">
        <v>79.98</v>
      </c>
      <c r="F284" s="7" t="s">
        <v>295</v>
      </c>
      <c r="G284" s="8">
        <v>-0.0182</v>
      </c>
    </row>
    <row r="285" spans="1:7">
      <c r="A285" s="6">
        <v>44951</v>
      </c>
      <c r="B285" s="7">
        <v>80.44</v>
      </c>
      <c r="C285" s="7">
        <v>80.44</v>
      </c>
      <c r="D285" s="7">
        <v>81.5</v>
      </c>
      <c r="E285" s="7">
        <v>79.77</v>
      </c>
      <c r="F285" s="7" t="s">
        <v>296</v>
      </c>
      <c r="G285" s="8">
        <v>0</v>
      </c>
    </row>
    <row r="286" spans="1:7">
      <c r="A286" s="6">
        <v>44952</v>
      </c>
      <c r="B286" s="7">
        <v>81.28</v>
      </c>
      <c r="C286" s="7">
        <v>80.44</v>
      </c>
      <c r="D286" s="7">
        <v>82.38</v>
      </c>
      <c r="E286" s="7">
        <v>80.21</v>
      </c>
      <c r="F286" s="7" t="s">
        <v>297</v>
      </c>
      <c r="G286" s="8">
        <v>0.0104</v>
      </c>
    </row>
    <row r="287" spans="1:7">
      <c r="A287" s="6">
        <v>44953</v>
      </c>
      <c r="B287" s="7">
        <v>79.96</v>
      </c>
      <c r="C287" s="7">
        <v>81.44</v>
      </c>
      <c r="D287" s="7">
        <v>82.69</v>
      </c>
      <c r="E287" s="7">
        <v>79.32</v>
      </c>
      <c r="F287" s="7" t="s">
        <v>298</v>
      </c>
      <c r="G287" s="8">
        <v>-0.0162</v>
      </c>
    </row>
    <row r="288" spans="1:7">
      <c r="A288" s="6">
        <v>44956</v>
      </c>
      <c r="B288" s="7">
        <v>78.18</v>
      </c>
      <c r="C288" s="7">
        <v>80.12</v>
      </c>
      <c r="D288" s="7">
        <v>80.78</v>
      </c>
      <c r="E288" s="7">
        <v>77.96</v>
      </c>
      <c r="F288" s="7" t="s">
        <v>299</v>
      </c>
      <c r="G288" s="8">
        <v>-0.0223</v>
      </c>
    </row>
    <row r="289" spans="1:7">
      <c r="A289" s="6">
        <v>44957</v>
      </c>
      <c r="B289" s="7">
        <v>79.17</v>
      </c>
      <c r="C289" s="7">
        <v>78.19</v>
      </c>
      <c r="D289" s="7">
        <v>79.53</v>
      </c>
      <c r="E289" s="7">
        <v>76.85</v>
      </c>
      <c r="F289" s="7" t="s">
        <v>300</v>
      </c>
      <c r="G289" s="8">
        <v>0.0127</v>
      </c>
    </row>
    <row r="290" spans="1:7">
      <c r="A290" s="6">
        <v>44958</v>
      </c>
      <c r="B290" s="7">
        <v>76.73</v>
      </c>
      <c r="C290" s="7">
        <v>79.35</v>
      </c>
      <c r="D290" s="7">
        <v>80.01</v>
      </c>
      <c r="E290" s="7">
        <v>76.37</v>
      </c>
      <c r="F290" s="7" t="s">
        <v>301</v>
      </c>
      <c r="G290" s="8">
        <v>-0.0308</v>
      </c>
    </row>
    <row r="291" spans="1:7">
      <c r="A291" s="6">
        <v>44959</v>
      </c>
      <c r="B291" s="7">
        <v>76.2</v>
      </c>
      <c r="C291" s="7">
        <v>77.06</v>
      </c>
      <c r="D291" s="7">
        <v>77.54</v>
      </c>
      <c r="E291" s="7">
        <v>75.3</v>
      </c>
      <c r="F291" s="7" t="s">
        <v>302</v>
      </c>
      <c r="G291" s="8">
        <v>-0.0069</v>
      </c>
    </row>
    <row r="292" spans="1:7">
      <c r="A292" s="6">
        <v>44960</v>
      </c>
      <c r="B292" s="7">
        <v>73.74</v>
      </c>
      <c r="C292" s="7">
        <v>76.25</v>
      </c>
      <c r="D292" s="7">
        <v>78.28</v>
      </c>
      <c r="E292" s="7">
        <v>73.47</v>
      </c>
      <c r="F292" s="7" t="s">
        <v>303</v>
      </c>
      <c r="G292" s="8">
        <v>-0.0323</v>
      </c>
    </row>
    <row r="293" spans="1:7">
      <c r="A293" s="6">
        <v>44963</v>
      </c>
      <c r="B293" s="7">
        <v>74.47</v>
      </c>
      <c r="C293" s="7">
        <v>73.64</v>
      </c>
      <c r="D293" s="7">
        <v>74.87</v>
      </c>
      <c r="E293" s="7">
        <v>72.64</v>
      </c>
      <c r="F293" s="7" t="s">
        <v>304</v>
      </c>
      <c r="G293" s="8">
        <v>0.0099</v>
      </c>
    </row>
    <row r="294" spans="1:7">
      <c r="A294" s="6">
        <v>44964</v>
      </c>
      <c r="B294" s="7">
        <v>77.39</v>
      </c>
      <c r="C294" s="7">
        <v>74.83</v>
      </c>
      <c r="D294" s="7">
        <v>77.82</v>
      </c>
      <c r="E294" s="7">
        <v>74.71</v>
      </c>
      <c r="F294" s="7" t="s">
        <v>305</v>
      </c>
      <c r="G294" s="8">
        <v>0.0392</v>
      </c>
    </row>
    <row r="295" spans="1:7">
      <c r="A295" s="6">
        <v>44965</v>
      </c>
      <c r="B295" s="7">
        <v>78.69</v>
      </c>
      <c r="C295" s="7">
        <v>77.7</v>
      </c>
      <c r="D295" s="7">
        <v>78.78</v>
      </c>
      <c r="E295" s="7">
        <v>77.32</v>
      </c>
      <c r="F295" s="7" t="s">
        <v>306</v>
      </c>
      <c r="G295" s="8">
        <v>0.0168</v>
      </c>
    </row>
    <row r="296" spans="1:7">
      <c r="A296" s="6">
        <v>44966</v>
      </c>
      <c r="B296" s="7">
        <v>78.27</v>
      </c>
      <c r="C296" s="7">
        <v>78.69</v>
      </c>
      <c r="D296" s="7">
        <v>79.04</v>
      </c>
      <c r="E296" s="7">
        <v>76.76</v>
      </c>
      <c r="F296" s="7" t="s">
        <v>307</v>
      </c>
      <c r="G296" s="8">
        <v>-0.0053</v>
      </c>
    </row>
    <row r="297" spans="1:7">
      <c r="A297" s="6">
        <v>44967</v>
      </c>
      <c r="B297" s="7">
        <v>79.92</v>
      </c>
      <c r="C297" s="7">
        <v>77.81</v>
      </c>
      <c r="D297" s="7">
        <v>80.5</v>
      </c>
      <c r="E297" s="7">
        <v>77.68</v>
      </c>
      <c r="F297" s="7" t="s">
        <v>308</v>
      </c>
      <c r="G297" s="8">
        <v>0.0211</v>
      </c>
    </row>
    <row r="298" spans="1:7">
      <c r="A298" s="6">
        <v>44970</v>
      </c>
      <c r="B298" s="7">
        <v>80.33</v>
      </c>
      <c r="C298" s="7">
        <v>80.05</v>
      </c>
      <c r="D298" s="7">
        <v>80.78</v>
      </c>
      <c r="E298" s="7">
        <v>78.67</v>
      </c>
      <c r="F298" s="7" t="s">
        <v>309</v>
      </c>
      <c r="G298" s="8">
        <v>0.0051</v>
      </c>
    </row>
    <row r="299" spans="1:7">
      <c r="A299" s="6">
        <v>44971</v>
      </c>
      <c r="B299" s="7">
        <v>79.24</v>
      </c>
      <c r="C299" s="7">
        <v>79.5</v>
      </c>
      <c r="D299" s="7">
        <v>79.84</v>
      </c>
      <c r="E299" s="7">
        <v>77.71</v>
      </c>
      <c r="F299" s="7" t="s">
        <v>310</v>
      </c>
      <c r="G299" s="8">
        <v>-0.0136</v>
      </c>
    </row>
    <row r="300" spans="1:7">
      <c r="A300" s="6">
        <v>44972</v>
      </c>
      <c r="B300" s="7">
        <v>78.83</v>
      </c>
      <c r="C300" s="7">
        <v>79.04</v>
      </c>
      <c r="D300" s="7">
        <v>79.37</v>
      </c>
      <c r="E300" s="7">
        <v>77.47</v>
      </c>
      <c r="F300" s="7" t="s">
        <v>311</v>
      </c>
      <c r="G300" s="8">
        <v>-0.0052</v>
      </c>
    </row>
    <row r="301" spans="1:7">
      <c r="A301" s="6">
        <v>44973</v>
      </c>
      <c r="B301" s="7">
        <v>78.74</v>
      </c>
      <c r="C301" s="7">
        <v>78.68</v>
      </c>
      <c r="D301" s="7">
        <v>79.76</v>
      </c>
      <c r="E301" s="7">
        <v>78.18</v>
      </c>
      <c r="F301" s="7" t="s">
        <v>312</v>
      </c>
      <c r="G301" s="8">
        <v>-0.0011</v>
      </c>
    </row>
    <row r="302" spans="1:7">
      <c r="A302" s="6">
        <v>44974</v>
      </c>
      <c r="B302" s="7">
        <v>76.55</v>
      </c>
      <c r="C302" s="7">
        <v>78.35</v>
      </c>
      <c r="D302" s="7">
        <v>78.5</v>
      </c>
      <c r="E302" s="7">
        <v>75.32</v>
      </c>
      <c r="F302" s="7" t="s">
        <v>313</v>
      </c>
      <c r="G302" s="8">
        <v>-0.0278</v>
      </c>
    </row>
    <row r="303" spans="1:7">
      <c r="A303" s="6">
        <v>44976</v>
      </c>
      <c r="B303" s="7">
        <v>76.67</v>
      </c>
      <c r="C303" s="7">
        <v>76.69</v>
      </c>
      <c r="D303" s="7">
        <v>76.82</v>
      </c>
      <c r="E303" s="7">
        <v>76.53</v>
      </c>
      <c r="G303" s="8">
        <v>0.0016</v>
      </c>
    </row>
    <row r="304" spans="1:7">
      <c r="A304" s="6">
        <v>44977</v>
      </c>
      <c r="B304" s="7">
        <v>77.3</v>
      </c>
      <c r="C304" s="7">
        <v>76.69</v>
      </c>
      <c r="D304" s="7">
        <v>77.74</v>
      </c>
      <c r="E304" s="7">
        <v>76.33</v>
      </c>
      <c r="G304" s="8">
        <v>0.0082</v>
      </c>
    </row>
    <row r="305" spans="1:7">
      <c r="A305" s="6">
        <v>44978</v>
      </c>
      <c r="B305" s="7">
        <v>76.36</v>
      </c>
      <c r="C305" s="7">
        <v>76.64</v>
      </c>
      <c r="D305" s="7">
        <v>77.74</v>
      </c>
      <c r="E305" s="7">
        <v>75.9</v>
      </c>
      <c r="F305" s="7" t="s">
        <v>314</v>
      </c>
      <c r="G305" s="8">
        <v>-0.0122</v>
      </c>
    </row>
    <row r="306" spans="1:7">
      <c r="A306" s="6">
        <v>44979</v>
      </c>
      <c r="B306" s="7">
        <v>74.19</v>
      </c>
      <c r="C306" s="7">
        <v>76.29</v>
      </c>
      <c r="D306" s="7">
        <v>76.72</v>
      </c>
      <c r="E306" s="7">
        <v>74.05</v>
      </c>
      <c r="F306" s="7" t="s">
        <v>315</v>
      </c>
      <c r="G306" s="8">
        <v>-0.0284</v>
      </c>
    </row>
    <row r="307" spans="1:7">
      <c r="A307" s="6">
        <v>44980</v>
      </c>
      <c r="B307" s="7">
        <v>75.6</v>
      </c>
      <c r="C307" s="7">
        <v>74.19</v>
      </c>
      <c r="D307" s="7">
        <v>76.17</v>
      </c>
      <c r="E307" s="7">
        <v>74.07</v>
      </c>
      <c r="F307" s="7" t="s">
        <v>316</v>
      </c>
      <c r="G307" s="8">
        <v>0.019</v>
      </c>
    </row>
    <row r="308" spans="1:7">
      <c r="A308" s="6">
        <v>44981</v>
      </c>
      <c r="B308" s="7">
        <v>76.47</v>
      </c>
      <c r="C308" s="7">
        <v>75.85</v>
      </c>
      <c r="D308" s="7">
        <v>76.75</v>
      </c>
      <c r="E308" s="7">
        <v>74.3</v>
      </c>
      <c r="F308" s="7" t="s">
        <v>317</v>
      </c>
      <c r="G308" s="8">
        <v>0.0115</v>
      </c>
    </row>
    <row r="309" spans="1:7">
      <c r="A309" s="6">
        <v>44984</v>
      </c>
      <c r="B309" s="7">
        <v>75.81</v>
      </c>
      <c r="C309" s="7">
        <v>76.61</v>
      </c>
      <c r="D309" s="7">
        <v>76.95</v>
      </c>
      <c r="E309" s="7">
        <v>75.14</v>
      </c>
      <c r="F309" s="7" t="s">
        <v>318</v>
      </c>
      <c r="G309" s="8">
        <v>-0.0086</v>
      </c>
    </row>
    <row r="310" spans="1:7">
      <c r="A310" s="6">
        <v>44985</v>
      </c>
      <c r="B310" s="7">
        <v>77.19</v>
      </c>
      <c r="C310" s="7">
        <v>75.87</v>
      </c>
      <c r="D310" s="7">
        <v>77.93</v>
      </c>
      <c r="E310" s="7">
        <v>75.68</v>
      </c>
      <c r="F310" s="7" t="s">
        <v>319</v>
      </c>
      <c r="G310" s="8">
        <v>0.0182</v>
      </c>
    </row>
    <row r="311" spans="1:7">
      <c r="A311" s="6">
        <v>44986</v>
      </c>
      <c r="B311" s="7">
        <v>77.83</v>
      </c>
      <c r="C311" s="7">
        <v>76.93</v>
      </c>
      <c r="D311" s="7">
        <v>78</v>
      </c>
      <c r="E311" s="7">
        <v>76.3</v>
      </c>
      <c r="F311" s="7" t="s">
        <v>320</v>
      </c>
      <c r="G311" s="8">
        <v>0.0083</v>
      </c>
    </row>
    <row r="312" spans="1:7">
      <c r="A312" s="6">
        <v>44987</v>
      </c>
      <c r="B312" s="7">
        <v>78.31</v>
      </c>
      <c r="C312" s="7">
        <v>77.9</v>
      </c>
      <c r="D312" s="7">
        <v>78.72</v>
      </c>
      <c r="E312" s="7">
        <v>77.39</v>
      </c>
      <c r="F312" s="7" t="s">
        <v>321</v>
      </c>
      <c r="G312" s="8">
        <v>0.0062</v>
      </c>
    </row>
    <row r="313" spans="1:7">
      <c r="A313" s="6">
        <v>44988</v>
      </c>
      <c r="B313" s="7">
        <v>79.79</v>
      </c>
      <c r="C313" s="7">
        <v>78.02</v>
      </c>
      <c r="D313" s="7">
        <v>80</v>
      </c>
      <c r="E313" s="7">
        <v>76</v>
      </c>
      <c r="F313" s="7" t="s">
        <v>322</v>
      </c>
      <c r="G313" s="8">
        <v>0.0189</v>
      </c>
    </row>
    <row r="314" spans="1:7">
      <c r="A314" s="6">
        <v>44991</v>
      </c>
      <c r="B314" s="7">
        <v>80.56</v>
      </c>
      <c r="C314" s="7">
        <v>80.04</v>
      </c>
      <c r="D314" s="7">
        <v>80.72</v>
      </c>
      <c r="E314" s="7">
        <v>78.44</v>
      </c>
      <c r="F314" s="7" t="s">
        <v>323</v>
      </c>
      <c r="G314" s="8">
        <v>0.0097</v>
      </c>
    </row>
    <row r="315" spans="1:7">
      <c r="A315" s="6">
        <v>44992</v>
      </c>
      <c r="B315" s="7">
        <v>77.72</v>
      </c>
      <c r="C315" s="7">
        <v>80.59</v>
      </c>
      <c r="D315" s="7">
        <v>81.04</v>
      </c>
      <c r="E315" s="7">
        <v>77.18</v>
      </c>
      <c r="F315" s="7" t="s">
        <v>324</v>
      </c>
      <c r="G315" s="8">
        <v>-0.0353</v>
      </c>
    </row>
    <row r="316" spans="1:7">
      <c r="A316" s="6">
        <v>44993</v>
      </c>
      <c r="B316" s="7">
        <v>76.81</v>
      </c>
      <c r="C316" s="7">
        <v>77.36</v>
      </c>
      <c r="D316" s="7">
        <v>77.88</v>
      </c>
      <c r="E316" s="7">
        <v>76.26</v>
      </c>
      <c r="F316" s="7" t="s">
        <v>325</v>
      </c>
      <c r="G316" s="8">
        <v>-0.0117</v>
      </c>
    </row>
    <row r="317" spans="1:7">
      <c r="A317" s="6">
        <v>44994</v>
      </c>
      <c r="B317" s="7">
        <v>75.84</v>
      </c>
      <c r="C317" s="7">
        <v>76.65</v>
      </c>
      <c r="D317" s="7">
        <v>78.17</v>
      </c>
      <c r="E317" s="7">
        <v>75.57</v>
      </c>
      <c r="F317" s="7" t="s">
        <v>326</v>
      </c>
      <c r="G317" s="8">
        <v>-0.0126</v>
      </c>
    </row>
    <row r="318" spans="1:7">
      <c r="A318" s="6">
        <v>44995</v>
      </c>
      <c r="B318" s="7">
        <v>76.78</v>
      </c>
      <c r="C318" s="7">
        <v>75.78</v>
      </c>
      <c r="D318" s="7">
        <v>77.2</v>
      </c>
      <c r="E318" s="7">
        <v>74.92</v>
      </c>
      <c r="F318" s="7" t="s">
        <v>327</v>
      </c>
      <c r="G318" s="8">
        <v>0.0124</v>
      </c>
    </row>
    <row r="319" spans="1:7">
      <c r="A319" s="6">
        <v>44998</v>
      </c>
      <c r="B319" s="7">
        <v>74.91</v>
      </c>
      <c r="C319" s="7">
        <v>76.77</v>
      </c>
      <c r="D319" s="7">
        <v>77.56</v>
      </c>
      <c r="E319" s="7">
        <v>72.44</v>
      </c>
      <c r="F319" s="7" t="s">
        <v>328</v>
      </c>
      <c r="G319" s="8">
        <v>-0.0244</v>
      </c>
    </row>
    <row r="320" spans="1:7">
      <c r="A320" s="6">
        <v>44999</v>
      </c>
      <c r="B320" s="7">
        <v>71.49</v>
      </c>
      <c r="C320" s="7">
        <v>74.77</v>
      </c>
      <c r="D320" s="7">
        <v>75.02</v>
      </c>
      <c r="E320" s="7">
        <v>70.94</v>
      </c>
      <c r="F320" s="7" t="s">
        <v>329</v>
      </c>
      <c r="G320" s="8">
        <v>-0.0457</v>
      </c>
    </row>
    <row r="321" spans="1:7">
      <c r="A321" s="6">
        <v>45000</v>
      </c>
      <c r="B321" s="7">
        <v>67.74</v>
      </c>
      <c r="C321" s="7">
        <v>71.69</v>
      </c>
      <c r="D321" s="7">
        <v>72.71</v>
      </c>
      <c r="E321" s="7">
        <v>65.79</v>
      </c>
      <c r="F321" s="7" t="s">
        <v>330</v>
      </c>
      <c r="G321" s="8">
        <v>-0.0525</v>
      </c>
    </row>
    <row r="322" spans="1:7">
      <c r="A322" s="6">
        <v>45001</v>
      </c>
      <c r="B322" s="7">
        <v>68.52</v>
      </c>
      <c r="C322" s="7">
        <v>68.38</v>
      </c>
      <c r="D322" s="7">
        <v>69.53</v>
      </c>
      <c r="E322" s="7">
        <v>65.89</v>
      </c>
      <c r="F322" s="7" t="s">
        <v>331</v>
      </c>
      <c r="G322" s="8">
        <v>0.0115</v>
      </c>
    </row>
    <row r="323" spans="1:7">
      <c r="A323" s="6">
        <v>45002</v>
      </c>
      <c r="B323" s="7">
        <v>66.93</v>
      </c>
      <c r="C323" s="7">
        <v>68.47</v>
      </c>
      <c r="D323" s="7">
        <v>69.83</v>
      </c>
      <c r="E323" s="7">
        <v>65.38</v>
      </c>
      <c r="F323" s="7" t="s">
        <v>332</v>
      </c>
      <c r="G323" s="8">
        <v>-0.0232</v>
      </c>
    </row>
    <row r="324" spans="1:7">
      <c r="A324" s="6">
        <v>45005</v>
      </c>
      <c r="B324" s="7">
        <v>67.82</v>
      </c>
      <c r="C324" s="7">
        <v>66.9</v>
      </c>
      <c r="D324" s="7">
        <v>67.9</v>
      </c>
      <c r="E324" s="7">
        <v>64.36</v>
      </c>
      <c r="F324" s="7" t="s">
        <v>333</v>
      </c>
      <c r="G324" s="8">
        <v>0.0133</v>
      </c>
    </row>
    <row r="325" spans="1:7">
      <c r="A325" s="6">
        <v>45006</v>
      </c>
      <c r="B325" s="7">
        <v>69.67</v>
      </c>
      <c r="C325" s="7">
        <v>67.83</v>
      </c>
      <c r="D325" s="7">
        <v>69.77</v>
      </c>
      <c r="E325" s="7">
        <v>66.9</v>
      </c>
      <c r="F325" s="7" t="s">
        <v>334</v>
      </c>
      <c r="G325" s="8">
        <v>0.0273</v>
      </c>
    </row>
    <row r="326" spans="1:7">
      <c r="A326" s="6">
        <v>45007</v>
      </c>
      <c r="B326" s="7">
        <v>71.02</v>
      </c>
      <c r="C326" s="7">
        <v>69.57</v>
      </c>
      <c r="D326" s="7">
        <v>71.43</v>
      </c>
      <c r="E326" s="7">
        <v>69.03</v>
      </c>
      <c r="F326" s="7" t="s">
        <v>335</v>
      </c>
      <c r="G326" s="8">
        <v>0.0194</v>
      </c>
    </row>
    <row r="327" spans="1:7">
      <c r="A327" s="6">
        <v>45008</v>
      </c>
      <c r="B327" s="7">
        <v>70.12</v>
      </c>
      <c r="C327" s="7">
        <v>70.07</v>
      </c>
      <c r="D327" s="7">
        <v>71.79</v>
      </c>
      <c r="E327" s="7">
        <v>69.3</v>
      </c>
      <c r="F327" s="7" t="s">
        <v>336</v>
      </c>
      <c r="G327" s="8">
        <v>-0.0127</v>
      </c>
    </row>
    <row r="328" spans="1:7">
      <c r="A328" s="6">
        <v>45009</v>
      </c>
      <c r="B328" s="7">
        <v>69.41</v>
      </c>
      <c r="C328" s="7">
        <v>69.67</v>
      </c>
      <c r="D328" s="7">
        <v>70.53</v>
      </c>
      <c r="E328" s="7">
        <v>67.02</v>
      </c>
      <c r="F328" s="7" t="s">
        <v>337</v>
      </c>
      <c r="G328" s="8">
        <v>-0.0101</v>
      </c>
    </row>
    <row r="329" spans="1:7">
      <c r="A329" s="6">
        <v>45012</v>
      </c>
      <c r="B329" s="7">
        <v>72.93</v>
      </c>
      <c r="C329" s="7">
        <v>69.75</v>
      </c>
      <c r="D329" s="7">
        <v>73.2</v>
      </c>
      <c r="E329" s="7">
        <v>69.27</v>
      </c>
      <c r="F329" s="7" t="s">
        <v>338</v>
      </c>
      <c r="G329" s="8">
        <v>0.0507</v>
      </c>
    </row>
    <row r="330" spans="1:7">
      <c r="A330" s="6">
        <v>45013</v>
      </c>
      <c r="B330" s="7">
        <v>73.34</v>
      </c>
      <c r="C330" s="7">
        <v>72.93</v>
      </c>
      <c r="D330" s="7">
        <v>74.04</v>
      </c>
      <c r="E330" s="7">
        <v>72.33</v>
      </c>
      <c r="F330" s="7" t="s">
        <v>339</v>
      </c>
      <c r="G330" s="8">
        <v>0.0056</v>
      </c>
    </row>
    <row r="331" spans="1:7">
      <c r="A331" s="6">
        <v>45014</v>
      </c>
      <c r="B331" s="7">
        <v>73.12</v>
      </c>
      <c r="C331" s="7">
        <v>73.74</v>
      </c>
      <c r="D331" s="7">
        <v>74.48</v>
      </c>
      <c r="E331" s="7">
        <v>72.92</v>
      </c>
      <c r="F331" s="7" t="s">
        <v>340</v>
      </c>
      <c r="G331" s="8">
        <v>-0.003</v>
      </c>
    </row>
    <row r="332" spans="1:7">
      <c r="A332" s="6">
        <v>45015</v>
      </c>
      <c r="B332" s="7">
        <v>74.49</v>
      </c>
      <c r="C332" s="7">
        <v>73.07</v>
      </c>
      <c r="D332" s="7">
        <v>74.72</v>
      </c>
      <c r="E332" s="7">
        <v>72.76</v>
      </c>
      <c r="F332" s="7" t="s">
        <v>341</v>
      </c>
      <c r="G332" s="8">
        <v>0.0187</v>
      </c>
    </row>
    <row r="333" spans="1:7">
      <c r="A333" s="6">
        <v>45016</v>
      </c>
      <c r="B333" s="7">
        <v>75.8</v>
      </c>
      <c r="C333" s="7">
        <v>74.44</v>
      </c>
      <c r="D333" s="7">
        <v>75.83</v>
      </c>
      <c r="E333" s="7">
        <v>73.89</v>
      </c>
      <c r="F333" s="7" t="s">
        <v>342</v>
      </c>
      <c r="G333" s="8">
        <v>0.0176</v>
      </c>
    </row>
    <row r="334" spans="1:7">
      <c r="A334" s="6">
        <v>45019</v>
      </c>
      <c r="B334" s="7">
        <v>80.44</v>
      </c>
      <c r="C334" s="7">
        <v>80.6</v>
      </c>
      <c r="D334" s="7">
        <v>81.77</v>
      </c>
      <c r="E334" s="7">
        <v>79.04</v>
      </c>
      <c r="F334" s="7" t="s">
        <v>343</v>
      </c>
      <c r="G334" s="8">
        <v>0.0612</v>
      </c>
    </row>
    <row r="335" spans="1:7">
      <c r="A335" s="6">
        <v>45020</v>
      </c>
      <c r="B335" s="7">
        <v>80.72</v>
      </c>
      <c r="C335" s="7">
        <v>80.49</v>
      </c>
      <c r="D335" s="7">
        <v>81.81</v>
      </c>
      <c r="E335" s="7">
        <v>79.64</v>
      </c>
      <c r="F335" s="7" t="s">
        <v>344</v>
      </c>
      <c r="G335" s="8">
        <v>0.0035</v>
      </c>
    </row>
    <row r="336" spans="1:7">
      <c r="A336" s="6">
        <v>45021</v>
      </c>
      <c r="B336" s="7">
        <v>80.63</v>
      </c>
      <c r="C336" s="7">
        <v>81.01</v>
      </c>
      <c r="D336" s="7">
        <v>81.25</v>
      </c>
      <c r="E336" s="7">
        <v>79.75</v>
      </c>
      <c r="F336" s="7" t="s">
        <v>345</v>
      </c>
      <c r="G336" s="8">
        <v>-0.0011</v>
      </c>
    </row>
    <row r="337" spans="1:7">
      <c r="A337" s="6">
        <v>45022</v>
      </c>
      <c r="B337" s="7">
        <v>80.68</v>
      </c>
      <c r="C337" s="7">
        <v>80.45</v>
      </c>
      <c r="D337" s="7">
        <v>80.97</v>
      </c>
      <c r="E337" s="7">
        <v>79.69</v>
      </c>
      <c r="F337" s="7" t="s">
        <v>346</v>
      </c>
      <c r="G337" s="8">
        <v>0.0006</v>
      </c>
    </row>
    <row r="338" spans="1:7">
      <c r="A338" s="6">
        <v>45026</v>
      </c>
      <c r="B338" s="7">
        <v>79.77</v>
      </c>
      <c r="C338" s="7">
        <v>80.5</v>
      </c>
      <c r="D338" s="7">
        <v>81.19</v>
      </c>
      <c r="E338" s="7">
        <v>79.65</v>
      </c>
      <c r="F338" s="7" t="s">
        <v>347</v>
      </c>
      <c r="G338" s="8">
        <v>-0.0113</v>
      </c>
    </row>
    <row r="339" spans="1:7">
      <c r="A339" s="6">
        <v>45027</v>
      </c>
      <c r="B339" s="7">
        <v>81.49</v>
      </c>
      <c r="C339" s="7">
        <v>79.87</v>
      </c>
      <c r="D339" s="7">
        <v>81.55</v>
      </c>
      <c r="E339" s="7">
        <v>79.4</v>
      </c>
      <c r="F339" s="7" t="s">
        <v>348</v>
      </c>
      <c r="G339" s="8">
        <v>0.0216</v>
      </c>
    </row>
    <row r="340" spans="1:7">
      <c r="A340" s="6">
        <v>45028</v>
      </c>
      <c r="B340" s="7">
        <v>83.09</v>
      </c>
      <c r="C340" s="7">
        <v>81.38</v>
      </c>
      <c r="D340" s="7">
        <v>83.38</v>
      </c>
      <c r="E340" s="7">
        <v>81.21</v>
      </c>
      <c r="F340" s="7" t="s">
        <v>349</v>
      </c>
      <c r="G340" s="8">
        <v>0.0196</v>
      </c>
    </row>
    <row r="341" spans="1:7">
      <c r="A341" s="6">
        <v>45029</v>
      </c>
      <c r="B341" s="7">
        <v>82.04</v>
      </c>
      <c r="C341" s="7">
        <v>83.07</v>
      </c>
      <c r="D341" s="7">
        <v>83.27</v>
      </c>
      <c r="E341" s="7">
        <v>82</v>
      </c>
      <c r="F341" s="7" t="s">
        <v>350</v>
      </c>
      <c r="G341" s="8">
        <v>-0.0126</v>
      </c>
    </row>
    <row r="342" spans="1:7">
      <c r="A342" s="6">
        <v>45030</v>
      </c>
      <c r="B342" s="7">
        <v>82.43</v>
      </c>
      <c r="C342" s="7">
        <v>82.3</v>
      </c>
      <c r="D342" s="7">
        <v>82.99</v>
      </c>
      <c r="E342" s="7">
        <v>81.64</v>
      </c>
      <c r="F342" s="7" t="s">
        <v>351</v>
      </c>
      <c r="G342" s="8">
        <v>0.0048</v>
      </c>
    </row>
    <row r="343" spans="1:7">
      <c r="A343" s="6">
        <v>45033</v>
      </c>
      <c r="B343" s="7">
        <v>80.83</v>
      </c>
      <c r="C343" s="7">
        <v>82.42</v>
      </c>
      <c r="D343" s="7">
        <v>82.62</v>
      </c>
      <c r="E343" s="7">
        <v>80.46</v>
      </c>
      <c r="F343" s="7" t="s">
        <v>352</v>
      </c>
      <c r="G343" s="8">
        <v>-0.0194</v>
      </c>
    </row>
    <row r="344" spans="1:7">
      <c r="A344" s="6">
        <v>45034</v>
      </c>
      <c r="B344" s="7">
        <v>80.9</v>
      </c>
      <c r="C344" s="7">
        <v>81</v>
      </c>
      <c r="D344" s="7">
        <v>81.52</v>
      </c>
      <c r="E344" s="7">
        <v>79.91</v>
      </c>
      <c r="F344" s="7" t="s">
        <v>353</v>
      </c>
      <c r="G344" s="8">
        <v>0.0009</v>
      </c>
    </row>
    <row r="345" spans="1:7">
      <c r="A345" s="6">
        <v>45035</v>
      </c>
      <c r="B345" s="7">
        <v>79.24</v>
      </c>
      <c r="C345" s="7">
        <v>80.96</v>
      </c>
      <c r="D345" s="7">
        <v>81.24</v>
      </c>
      <c r="E345" s="7">
        <v>78.53</v>
      </c>
      <c r="F345" s="7" t="s">
        <v>354</v>
      </c>
      <c r="G345" s="8">
        <v>-0.0205</v>
      </c>
    </row>
    <row r="346" spans="1:7">
      <c r="A346" s="6">
        <v>45036</v>
      </c>
      <c r="B346" s="7">
        <v>77.37</v>
      </c>
      <c r="C346" s="7">
        <v>79.03</v>
      </c>
      <c r="D346" s="7">
        <v>79.07</v>
      </c>
      <c r="E346" s="7">
        <v>76.97</v>
      </c>
      <c r="F346" s="7" t="s">
        <v>355</v>
      </c>
      <c r="G346" s="8">
        <v>-0.0236</v>
      </c>
    </row>
    <row r="347" spans="1:7">
      <c r="A347" s="6">
        <v>45037</v>
      </c>
      <c r="B347" s="7">
        <v>77.71</v>
      </c>
      <c r="C347" s="7">
        <v>76.85</v>
      </c>
      <c r="D347" s="7">
        <v>78.14</v>
      </c>
      <c r="E347" s="7">
        <v>76.49</v>
      </c>
      <c r="F347" s="7" t="s">
        <v>356</v>
      </c>
      <c r="G347" s="8">
        <v>0.0044</v>
      </c>
    </row>
    <row r="348" spans="1:7">
      <c r="A348" s="6">
        <v>45040</v>
      </c>
      <c r="B348" s="7">
        <v>78.6</v>
      </c>
      <c r="C348" s="7">
        <v>77.82</v>
      </c>
      <c r="D348" s="7">
        <v>79</v>
      </c>
      <c r="E348" s="7">
        <v>76.57</v>
      </c>
      <c r="F348" s="7" t="s">
        <v>357</v>
      </c>
      <c r="G348" s="8">
        <v>0.0115</v>
      </c>
    </row>
    <row r="349" spans="1:7">
      <c r="A349" s="6">
        <v>45041</v>
      </c>
      <c r="B349" s="7">
        <v>76.87</v>
      </c>
      <c r="C349" s="7">
        <v>78.55</v>
      </c>
      <c r="D349" s="7">
        <v>78.9</v>
      </c>
      <c r="E349" s="7">
        <v>76.33</v>
      </c>
      <c r="F349" s="7" t="s">
        <v>358</v>
      </c>
      <c r="G349" s="8">
        <v>-0.022</v>
      </c>
    </row>
    <row r="350" spans="1:7">
      <c r="A350" s="6">
        <v>45042</v>
      </c>
      <c r="B350" s="7">
        <v>74.19</v>
      </c>
      <c r="C350" s="7">
        <v>76.93</v>
      </c>
      <c r="D350" s="7">
        <v>77.7</v>
      </c>
      <c r="E350" s="7">
        <v>73.94</v>
      </c>
      <c r="F350" s="7" t="s">
        <v>359</v>
      </c>
      <c r="G350" s="8">
        <v>-0.0349</v>
      </c>
    </row>
    <row r="351" spans="1:7">
      <c r="A351" s="6">
        <v>45043</v>
      </c>
      <c r="B351" s="7">
        <v>74.58</v>
      </c>
      <c r="C351" s="7">
        <v>74.3</v>
      </c>
      <c r="D351" s="7">
        <v>75.12</v>
      </c>
      <c r="E351" s="7">
        <v>73.88</v>
      </c>
      <c r="F351" s="7" t="s">
        <v>360</v>
      </c>
      <c r="G351" s="8">
        <v>0.0053</v>
      </c>
    </row>
    <row r="352" spans="1:7">
      <c r="A352" s="6">
        <v>45044</v>
      </c>
      <c r="B352" s="7">
        <v>76.61</v>
      </c>
      <c r="C352" s="7">
        <v>74.71</v>
      </c>
      <c r="D352" s="7">
        <v>76.74</v>
      </c>
      <c r="E352" s="7">
        <v>73.8</v>
      </c>
      <c r="F352" s="7" t="s">
        <v>361</v>
      </c>
      <c r="G352" s="8">
        <v>0.0272</v>
      </c>
    </row>
    <row r="353" spans="1:7">
      <c r="A353" s="6">
        <v>45047</v>
      </c>
      <c r="B353" s="7">
        <v>75.51</v>
      </c>
      <c r="C353" s="7">
        <v>76.47</v>
      </c>
      <c r="D353" s="7">
        <v>76.49</v>
      </c>
      <c r="E353" s="7">
        <v>74.4</v>
      </c>
      <c r="F353" s="7" t="s">
        <v>362</v>
      </c>
      <c r="G353" s="8">
        <v>-0.0144</v>
      </c>
    </row>
    <row r="354" spans="1:7">
      <c r="A354" s="6">
        <v>45048</v>
      </c>
      <c r="B354" s="7">
        <v>71.55</v>
      </c>
      <c r="C354" s="7">
        <v>75.55</v>
      </c>
      <c r="D354" s="7">
        <v>75.96</v>
      </c>
      <c r="E354" s="7">
        <v>71.32</v>
      </c>
      <c r="F354" s="7" t="s">
        <v>363</v>
      </c>
      <c r="G354" s="8">
        <v>-0.0524</v>
      </c>
    </row>
    <row r="355" spans="1:7">
      <c r="A355" s="6">
        <v>45049</v>
      </c>
      <c r="B355" s="7">
        <v>68.55</v>
      </c>
      <c r="C355" s="7">
        <v>71.43</v>
      </c>
      <c r="D355" s="7">
        <v>71.67</v>
      </c>
      <c r="E355" s="7">
        <v>67.9</v>
      </c>
      <c r="F355" s="7" t="s">
        <v>364</v>
      </c>
      <c r="G355" s="8">
        <v>-0.0419</v>
      </c>
    </row>
    <row r="356" spans="1:7">
      <c r="A356" s="6">
        <v>45050</v>
      </c>
      <c r="B356" s="7">
        <v>68.51</v>
      </c>
      <c r="C356" s="7">
        <v>68.27</v>
      </c>
      <c r="D356" s="7">
        <v>69.76</v>
      </c>
      <c r="E356" s="7">
        <v>63.9</v>
      </c>
      <c r="F356" s="7" t="s">
        <v>365</v>
      </c>
      <c r="G356" s="8">
        <v>-0.0006</v>
      </c>
    </row>
    <row r="357" spans="1:7">
      <c r="A357" s="6">
        <v>45051</v>
      </c>
      <c r="B357" s="7">
        <v>71.27</v>
      </c>
      <c r="C357" s="7">
        <v>68.63</v>
      </c>
      <c r="D357" s="7">
        <v>71.72</v>
      </c>
      <c r="E357" s="7">
        <v>68.46</v>
      </c>
      <c r="F357" s="7" t="s">
        <v>366</v>
      </c>
      <c r="G357" s="8">
        <v>0.0403</v>
      </c>
    </row>
    <row r="358" spans="1:7">
      <c r="A358" s="6">
        <v>45054</v>
      </c>
      <c r="B358" s="7">
        <v>73.07</v>
      </c>
      <c r="C358" s="7">
        <v>71.27</v>
      </c>
      <c r="D358" s="7">
        <v>73.56</v>
      </c>
      <c r="E358" s="7">
        <v>70.96</v>
      </c>
      <c r="F358" s="7" t="s">
        <v>367</v>
      </c>
      <c r="G358" s="8">
        <v>0.0253</v>
      </c>
    </row>
    <row r="359" spans="1:7">
      <c r="A359" s="6">
        <v>45055</v>
      </c>
      <c r="B359" s="7">
        <v>73.62</v>
      </c>
      <c r="C359" s="7">
        <v>72.72</v>
      </c>
      <c r="D359" s="7">
        <v>73.69</v>
      </c>
      <c r="E359" s="7">
        <v>71.28</v>
      </c>
      <c r="F359" s="7" t="s">
        <v>368</v>
      </c>
      <c r="G359" s="8">
        <v>0.0075</v>
      </c>
    </row>
    <row r="360" spans="1:7">
      <c r="A360" s="6">
        <v>45056</v>
      </c>
      <c r="B360" s="7">
        <v>72.52</v>
      </c>
      <c r="C360" s="7">
        <v>73.48</v>
      </c>
      <c r="D360" s="7">
        <v>73.81</v>
      </c>
      <c r="E360" s="7">
        <v>71.78</v>
      </c>
      <c r="F360" s="7" t="s">
        <v>369</v>
      </c>
      <c r="G360" s="8">
        <v>-0.0149</v>
      </c>
    </row>
    <row r="361" spans="1:7">
      <c r="A361" s="6">
        <v>45057</v>
      </c>
      <c r="B361" s="7">
        <v>70.88</v>
      </c>
      <c r="C361" s="7">
        <v>72.54</v>
      </c>
      <c r="D361" s="7">
        <v>73.47</v>
      </c>
      <c r="E361" s="7">
        <v>70.65</v>
      </c>
      <c r="F361" s="7" t="s">
        <v>370</v>
      </c>
      <c r="G361" s="8">
        <v>-0.0226</v>
      </c>
    </row>
    <row r="362" spans="1:7">
      <c r="A362" s="6">
        <v>45058</v>
      </c>
      <c r="B362" s="7">
        <v>70.02</v>
      </c>
      <c r="C362" s="7">
        <v>71.47</v>
      </c>
      <c r="D362" s="7">
        <v>71.74</v>
      </c>
      <c r="E362" s="7">
        <v>69.93</v>
      </c>
      <c r="F362" s="7" t="s">
        <v>371</v>
      </c>
      <c r="G362" s="8">
        <v>-0.0121</v>
      </c>
    </row>
    <row r="363" spans="1:7">
      <c r="A363" s="6">
        <v>45061</v>
      </c>
      <c r="B363" s="7">
        <v>71.09</v>
      </c>
      <c r="C363" s="7">
        <v>70.02</v>
      </c>
      <c r="D363" s="7">
        <v>71.67</v>
      </c>
      <c r="E363" s="7">
        <v>69.39</v>
      </c>
      <c r="F363" s="7" t="s">
        <v>372</v>
      </c>
      <c r="G363" s="8">
        <v>0.0153</v>
      </c>
    </row>
    <row r="364" spans="1:7">
      <c r="A364" s="6">
        <v>45062</v>
      </c>
      <c r="B364" s="7">
        <v>70.84</v>
      </c>
      <c r="C364" s="7">
        <v>71.28</v>
      </c>
      <c r="D364" s="7">
        <v>71.76</v>
      </c>
      <c r="E364" s="7">
        <v>70.44</v>
      </c>
      <c r="F364" s="7" t="s">
        <v>373</v>
      </c>
      <c r="G364" s="8">
        <v>-0.0035</v>
      </c>
    </row>
    <row r="365" spans="1:7">
      <c r="A365" s="6">
        <v>45063</v>
      </c>
      <c r="B365" s="7">
        <v>72.89</v>
      </c>
      <c r="C365" s="7">
        <v>70.6</v>
      </c>
      <c r="D365" s="7">
        <v>73.3</v>
      </c>
      <c r="E365" s="7">
        <v>70.05</v>
      </c>
      <c r="F365" s="7" t="s">
        <v>374</v>
      </c>
      <c r="G365" s="8">
        <v>0.0289</v>
      </c>
    </row>
    <row r="366" spans="1:7">
      <c r="A366" s="6">
        <v>45064</v>
      </c>
      <c r="B366" s="7">
        <v>71.94</v>
      </c>
      <c r="C366" s="7">
        <v>72.82</v>
      </c>
      <c r="D366" s="7">
        <v>72.97</v>
      </c>
      <c r="E366" s="7">
        <v>71.52</v>
      </c>
      <c r="F366" s="7" t="s">
        <v>375</v>
      </c>
      <c r="G366" s="8">
        <v>-0.013</v>
      </c>
    </row>
    <row r="367" spans="1:7">
      <c r="A367" s="6">
        <v>45065</v>
      </c>
      <c r="B367" s="7">
        <v>71.69</v>
      </c>
      <c r="C367" s="7">
        <v>72.06</v>
      </c>
      <c r="D367" s="7">
        <v>73.58</v>
      </c>
      <c r="E367" s="7">
        <v>71.18</v>
      </c>
      <c r="F367" s="7" t="s">
        <v>376</v>
      </c>
      <c r="G367" s="8">
        <v>-0.0035</v>
      </c>
    </row>
    <row r="368" spans="1:7">
      <c r="A368" s="6">
        <v>45068</v>
      </c>
      <c r="B368" s="7">
        <v>72.05</v>
      </c>
      <c r="C368" s="7">
        <v>71.87</v>
      </c>
      <c r="D368" s="7">
        <v>72.53</v>
      </c>
      <c r="E368" s="7">
        <v>70.67</v>
      </c>
      <c r="F368" s="7" t="s">
        <v>377</v>
      </c>
      <c r="G368" s="8">
        <v>0.005</v>
      </c>
    </row>
    <row r="369" spans="1:7">
      <c r="A369" s="6">
        <v>45069</v>
      </c>
      <c r="B369" s="7">
        <v>72.85</v>
      </c>
      <c r="C369" s="7">
        <v>72</v>
      </c>
      <c r="D369" s="7">
        <v>73.72</v>
      </c>
      <c r="E369" s="7">
        <v>71.63</v>
      </c>
      <c r="F369" s="7" t="s">
        <v>378</v>
      </c>
      <c r="G369" s="8">
        <v>0.0111</v>
      </c>
    </row>
    <row r="370" spans="1:7">
      <c r="A370" s="6">
        <v>45070</v>
      </c>
      <c r="B370" s="7">
        <v>74.29</v>
      </c>
      <c r="C370" s="7">
        <v>73.68</v>
      </c>
      <c r="D370" s="7">
        <v>74.65</v>
      </c>
      <c r="E370" s="7">
        <v>73.09</v>
      </c>
      <c r="F370" s="7" t="s">
        <v>379</v>
      </c>
      <c r="G370" s="8">
        <v>0.0198</v>
      </c>
    </row>
    <row r="371" spans="1:7">
      <c r="A371" s="6">
        <v>45071</v>
      </c>
      <c r="B371" s="7">
        <v>71.93</v>
      </c>
      <c r="C371" s="7">
        <v>74.18</v>
      </c>
      <c r="D371" s="7">
        <v>74.34</v>
      </c>
      <c r="E371" s="7">
        <v>71.03</v>
      </c>
      <c r="F371" s="7" t="s">
        <v>380</v>
      </c>
      <c r="G371" s="8">
        <v>-0.0318</v>
      </c>
    </row>
    <row r="372" spans="1:7">
      <c r="A372" s="6">
        <v>45072</v>
      </c>
      <c r="B372" s="7">
        <v>72.76</v>
      </c>
      <c r="C372" s="7">
        <v>71.99</v>
      </c>
      <c r="D372" s="7">
        <v>73.12</v>
      </c>
      <c r="E372" s="7">
        <v>71.59</v>
      </c>
      <c r="F372" s="7" t="s">
        <v>381</v>
      </c>
      <c r="G372" s="8">
        <v>0.0115</v>
      </c>
    </row>
    <row r="373" spans="1:7">
      <c r="A373" s="6">
        <v>45074</v>
      </c>
      <c r="B373" s="7">
        <v>73.22</v>
      </c>
      <c r="C373" s="7">
        <v>73.11</v>
      </c>
      <c r="D373" s="7">
        <v>73.45</v>
      </c>
      <c r="E373" s="7">
        <v>73.06</v>
      </c>
      <c r="G373" s="8">
        <v>0.0063</v>
      </c>
    </row>
    <row r="374" spans="1:7">
      <c r="A374" s="6">
        <v>45075</v>
      </c>
      <c r="B374" s="7">
        <v>72.87</v>
      </c>
      <c r="C374" s="7">
        <v>73.22</v>
      </c>
      <c r="D374" s="7">
        <v>73.55</v>
      </c>
      <c r="E374" s="7">
        <v>72.05</v>
      </c>
      <c r="G374" s="8">
        <v>-0.0048</v>
      </c>
    </row>
    <row r="375" spans="1:7">
      <c r="A375" s="6">
        <v>45076</v>
      </c>
      <c r="B375" s="7">
        <v>69.6</v>
      </c>
      <c r="C375" s="7">
        <v>73.22</v>
      </c>
      <c r="D375" s="7">
        <v>73.62</v>
      </c>
      <c r="E375" s="7">
        <v>69.16</v>
      </c>
      <c r="F375" s="7" t="s">
        <v>382</v>
      </c>
      <c r="G375" s="8">
        <v>-0.0449</v>
      </c>
    </row>
    <row r="376" spans="1:7">
      <c r="A376" s="6">
        <v>45077</v>
      </c>
      <c r="B376" s="7">
        <v>68.24</v>
      </c>
      <c r="C376" s="7">
        <v>69.67</v>
      </c>
      <c r="D376" s="7">
        <v>69.81</v>
      </c>
      <c r="E376" s="7">
        <v>67.21</v>
      </c>
      <c r="F376" s="7" t="s">
        <v>383</v>
      </c>
      <c r="G376" s="8">
        <v>-0.0195</v>
      </c>
    </row>
    <row r="377" spans="1:7">
      <c r="A377" s="6">
        <v>45078</v>
      </c>
      <c r="B377" s="7">
        <v>70.2</v>
      </c>
      <c r="C377" s="7">
        <v>67.81</v>
      </c>
      <c r="D377" s="7">
        <v>71.14</v>
      </c>
      <c r="E377" s="7">
        <v>67.67</v>
      </c>
      <c r="F377" s="7" t="s">
        <v>384</v>
      </c>
      <c r="G377" s="8">
        <v>0.0287</v>
      </c>
    </row>
    <row r="378" spans="1:7">
      <c r="A378" s="6">
        <v>45079</v>
      </c>
      <c r="B378" s="7">
        <v>71.84</v>
      </c>
      <c r="C378" s="7">
        <v>70.25</v>
      </c>
      <c r="D378" s="7">
        <v>72.24</v>
      </c>
      <c r="E378" s="7">
        <v>70.1</v>
      </c>
      <c r="F378" s="7" t="s">
        <v>385</v>
      </c>
      <c r="G378" s="8">
        <v>0.0234</v>
      </c>
    </row>
    <row r="379" spans="1:7">
      <c r="A379" s="6">
        <v>45082</v>
      </c>
      <c r="B379" s="7">
        <v>72.26</v>
      </c>
      <c r="C379" s="7">
        <v>75.1</v>
      </c>
      <c r="D379" s="7">
        <v>75.7</v>
      </c>
      <c r="E379" s="7">
        <v>71.85</v>
      </c>
      <c r="F379" s="7" t="s">
        <v>386</v>
      </c>
      <c r="G379" s="8">
        <v>0.0058</v>
      </c>
    </row>
    <row r="380" spans="1:7">
      <c r="A380" s="6">
        <v>45083</v>
      </c>
      <c r="B380" s="7">
        <v>71.85</v>
      </c>
      <c r="C380" s="7">
        <v>72.09</v>
      </c>
      <c r="D380" s="7">
        <v>72.42</v>
      </c>
      <c r="E380" s="7">
        <v>70.29</v>
      </c>
      <c r="F380" s="7" t="s">
        <v>387</v>
      </c>
      <c r="G380" s="8">
        <v>-0.0057</v>
      </c>
    </row>
    <row r="381" spans="1:7">
      <c r="A381" s="6">
        <v>45084</v>
      </c>
      <c r="B381" s="7">
        <v>72.64</v>
      </c>
      <c r="C381" s="7">
        <v>71.7</v>
      </c>
      <c r="D381" s="7">
        <v>73.29</v>
      </c>
      <c r="E381" s="7">
        <v>71.14</v>
      </c>
      <c r="F381" s="7" t="s">
        <v>388</v>
      </c>
      <c r="G381" s="8">
        <v>0.011</v>
      </c>
    </row>
    <row r="382" spans="1:7">
      <c r="A382" s="6">
        <v>45085</v>
      </c>
      <c r="B382" s="7">
        <v>71.44</v>
      </c>
      <c r="C382" s="7">
        <v>72.57</v>
      </c>
      <c r="D382" s="7">
        <v>73.37</v>
      </c>
      <c r="E382" s="7">
        <v>69.21</v>
      </c>
      <c r="F382" s="7" t="s">
        <v>389</v>
      </c>
      <c r="G382" s="8">
        <v>-0.0165</v>
      </c>
    </row>
    <row r="383" spans="1:7">
      <c r="A383" s="6">
        <v>45086</v>
      </c>
      <c r="B383" s="7">
        <v>70.33</v>
      </c>
      <c r="C383" s="7">
        <v>71.11</v>
      </c>
      <c r="D383" s="7">
        <v>71.93</v>
      </c>
      <c r="E383" s="7">
        <v>70.26</v>
      </c>
      <c r="F383" s="7" t="s">
        <v>390</v>
      </c>
      <c r="G383" s="8">
        <v>-0.0155</v>
      </c>
    </row>
    <row r="384" spans="1:7">
      <c r="A384" s="6">
        <v>45089</v>
      </c>
      <c r="B384" s="7">
        <v>67.29</v>
      </c>
      <c r="C384" s="7">
        <v>70.42</v>
      </c>
      <c r="D384" s="7">
        <v>70.49</v>
      </c>
      <c r="E384" s="7">
        <v>66.96</v>
      </c>
      <c r="F384" s="7" t="s">
        <v>391</v>
      </c>
      <c r="G384" s="8">
        <v>-0.0432</v>
      </c>
    </row>
    <row r="385" spans="1:7">
      <c r="A385" s="6">
        <v>45090</v>
      </c>
      <c r="B385" s="7">
        <v>69.58</v>
      </c>
      <c r="C385" s="7">
        <v>67.45</v>
      </c>
      <c r="D385" s="7">
        <v>69.97</v>
      </c>
      <c r="E385" s="7">
        <v>67.31</v>
      </c>
      <c r="F385" s="7" t="s">
        <v>392</v>
      </c>
      <c r="G385" s="8">
        <v>0.034</v>
      </c>
    </row>
    <row r="386" spans="1:7">
      <c r="A386" s="6">
        <v>45091</v>
      </c>
      <c r="B386" s="7">
        <v>68.46</v>
      </c>
      <c r="C386" s="7">
        <v>69.51</v>
      </c>
      <c r="D386" s="7">
        <v>70.64</v>
      </c>
      <c r="E386" s="7">
        <v>68.26</v>
      </c>
      <c r="F386" s="7" t="s">
        <v>393</v>
      </c>
      <c r="G386" s="8">
        <v>-0.0161</v>
      </c>
    </row>
    <row r="387" spans="1:7">
      <c r="A387" s="6">
        <v>45092</v>
      </c>
      <c r="B387" s="7">
        <v>70.81</v>
      </c>
      <c r="C387" s="7">
        <v>68.92</v>
      </c>
      <c r="D387" s="7">
        <v>71.15</v>
      </c>
      <c r="E387" s="7">
        <v>68.14</v>
      </c>
      <c r="F387" s="7" t="s">
        <v>394</v>
      </c>
      <c r="G387" s="8">
        <v>0.0343</v>
      </c>
    </row>
    <row r="388" spans="1:7">
      <c r="A388" s="6">
        <v>45093</v>
      </c>
      <c r="B388" s="7">
        <v>71.93</v>
      </c>
      <c r="C388" s="7">
        <v>70.81</v>
      </c>
      <c r="D388" s="7">
        <v>72.03</v>
      </c>
      <c r="E388" s="7">
        <v>70.18</v>
      </c>
      <c r="F388" s="7" t="s">
        <v>395</v>
      </c>
      <c r="G388" s="8">
        <v>0.0158</v>
      </c>
    </row>
    <row r="389" spans="1:7">
      <c r="A389" s="6">
        <v>45095</v>
      </c>
      <c r="B389" s="7">
        <v>71.47</v>
      </c>
      <c r="C389" s="7">
        <v>71.59</v>
      </c>
      <c r="D389" s="7">
        <v>71.67</v>
      </c>
      <c r="E389" s="7">
        <v>71.42</v>
      </c>
      <c r="G389" s="8">
        <v>-0.0064</v>
      </c>
    </row>
    <row r="390" spans="1:7">
      <c r="A390" s="6">
        <v>45096</v>
      </c>
      <c r="B390" s="7">
        <v>71.31</v>
      </c>
      <c r="C390" s="7">
        <v>71.47</v>
      </c>
      <c r="D390" s="7">
        <v>72.25</v>
      </c>
      <c r="E390" s="7">
        <v>70.83</v>
      </c>
      <c r="G390" s="8">
        <v>-0.0022</v>
      </c>
    </row>
    <row r="391" spans="1:7">
      <c r="A391" s="6">
        <v>45097</v>
      </c>
      <c r="B391" s="7">
        <v>71.19</v>
      </c>
      <c r="C391" s="7">
        <v>71.69</v>
      </c>
      <c r="D391" s="7">
        <v>72.38</v>
      </c>
      <c r="E391" s="7">
        <v>69.76</v>
      </c>
      <c r="F391" s="7" t="s">
        <v>396</v>
      </c>
      <c r="G391" s="8">
        <v>-0.0017</v>
      </c>
    </row>
    <row r="392" spans="1:7">
      <c r="A392" s="6">
        <v>45098</v>
      </c>
      <c r="B392" s="7">
        <v>72.52</v>
      </c>
      <c r="C392" s="7">
        <v>70.86</v>
      </c>
      <c r="D392" s="7">
        <v>72.69</v>
      </c>
      <c r="E392" s="7">
        <v>70.8</v>
      </c>
      <c r="F392" s="7" t="s">
        <v>113</v>
      </c>
      <c r="G392" s="8">
        <v>0.0187</v>
      </c>
    </row>
    <row r="393" spans="1:7">
      <c r="A393" s="6">
        <v>45099</v>
      </c>
      <c r="B393" s="7">
        <v>69.63</v>
      </c>
      <c r="C393" s="7">
        <v>72.4</v>
      </c>
      <c r="D393" s="7">
        <v>72.62</v>
      </c>
      <c r="E393" s="7">
        <v>69.07</v>
      </c>
      <c r="F393" s="7" t="s">
        <v>397</v>
      </c>
      <c r="G393" s="8">
        <v>-0.0399</v>
      </c>
    </row>
    <row r="394" spans="1:7">
      <c r="A394" s="6">
        <v>45100</v>
      </c>
      <c r="B394" s="7">
        <v>69.32</v>
      </c>
      <c r="C394" s="7">
        <v>69.66</v>
      </c>
      <c r="D394" s="7">
        <v>69.77</v>
      </c>
      <c r="E394" s="7">
        <v>67.52</v>
      </c>
      <c r="F394" s="7" t="s">
        <v>398</v>
      </c>
      <c r="G394" s="8">
        <v>-0.0045</v>
      </c>
    </row>
    <row r="395" spans="1:7">
      <c r="A395" s="6">
        <v>45103</v>
      </c>
      <c r="B395" s="7">
        <v>69.54</v>
      </c>
      <c r="C395" s="7">
        <v>69.93</v>
      </c>
      <c r="D395" s="7">
        <v>70.24</v>
      </c>
      <c r="E395" s="7">
        <v>68.88</v>
      </c>
      <c r="F395" s="7" t="s">
        <v>399</v>
      </c>
      <c r="G395" s="8">
        <v>0.0032</v>
      </c>
    </row>
    <row r="396" spans="1:7">
      <c r="A396" s="6">
        <v>45104</v>
      </c>
      <c r="B396" s="7">
        <v>67.9</v>
      </c>
      <c r="C396" s="7">
        <v>69.63</v>
      </c>
      <c r="D396" s="7">
        <v>70.29</v>
      </c>
      <c r="E396" s="7">
        <v>67.71</v>
      </c>
      <c r="F396" s="7" t="s">
        <v>400</v>
      </c>
      <c r="G396" s="8">
        <v>-0.0236</v>
      </c>
    </row>
    <row r="397" spans="1:7">
      <c r="A397" s="6">
        <v>45105</v>
      </c>
      <c r="B397" s="7">
        <v>69.73</v>
      </c>
      <c r="C397" s="7">
        <v>68.2</v>
      </c>
      <c r="D397" s="7">
        <v>69.9</v>
      </c>
      <c r="E397" s="7">
        <v>67.27</v>
      </c>
      <c r="F397" s="7" t="s">
        <v>401</v>
      </c>
      <c r="G397" s="8">
        <v>0.027</v>
      </c>
    </row>
    <row r="398" spans="1:7">
      <c r="A398" s="6">
        <v>45106</v>
      </c>
      <c r="B398" s="7">
        <v>70.02</v>
      </c>
      <c r="C398" s="7">
        <v>69.37</v>
      </c>
      <c r="D398" s="7">
        <v>70.73</v>
      </c>
      <c r="E398" s="7">
        <v>69.11</v>
      </c>
      <c r="F398" s="7" t="s">
        <v>402</v>
      </c>
      <c r="G398" s="8">
        <v>0.0042</v>
      </c>
    </row>
    <row r="399" spans="1:7">
      <c r="A399" s="6">
        <v>45107</v>
      </c>
      <c r="B399" s="7">
        <v>70.78</v>
      </c>
      <c r="C399" s="7">
        <v>69.95</v>
      </c>
      <c r="D399" s="7">
        <v>71.17</v>
      </c>
      <c r="E399" s="7">
        <v>69.69</v>
      </c>
      <c r="F399" s="7" t="s">
        <v>403</v>
      </c>
      <c r="G399" s="8">
        <v>0.0109</v>
      </c>
    </row>
    <row r="400" spans="1:7">
      <c r="A400" s="6">
        <v>45110</v>
      </c>
      <c r="B400" s="7">
        <v>69.91</v>
      </c>
      <c r="C400" s="7">
        <v>70.61</v>
      </c>
      <c r="D400" s="7">
        <v>71.88</v>
      </c>
      <c r="E400" s="7">
        <v>69.82</v>
      </c>
      <c r="F400" s="7" t="s">
        <v>404</v>
      </c>
      <c r="G400" s="8">
        <v>-0.0123</v>
      </c>
    </row>
    <row r="401" spans="1:7">
      <c r="A401" s="6">
        <v>45111</v>
      </c>
      <c r="B401" s="7">
        <v>71.06</v>
      </c>
      <c r="C401" s="7">
        <v>70.08</v>
      </c>
      <c r="D401" s="7">
        <v>71.34</v>
      </c>
      <c r="E401" s="7">
        <v>69.91</v>
      </c>
      <c r="G401" s="8">
        <v>0.0164</v>
      </c>
    </row>
    <row r="402" spans="1:7">
      <c r="A402" s="6">
        <v>45112</v>
      </c>
      <c r="B402" s="7">
        <v>71.88</v>
      </c>
      <c r="C402" s="7">
        <v>70.25</v>
      </c>
      <c r="D402" s="7">
        <v>72.25</v>
      </c>
      <c r="E402" s="7">
        <v>70.03</v>
      </c>
      <c r="F402" s="7" t="s">
        <v>405</v>
      </c>
      <c r="G402" s="8">
        <v>0.0115</v>
      </c>
    </row>
    <row r="403" spans="1:7">
      <c r="A403" s="6">
        <v>45113</v>
      </c>
      <c r="B403" s="7">
        <v>71.79</v>
      </c>
      <c r="C403" s="7">
        <v>71.85</v>
      </c>
      <c r="D403" s="7">
        <v>72.37</v>
      </c>
      <c r="E403" s="7">
        <v>70.28</v>
      </c>
      <c r="F403" s="7" t="s">
        <v>406</v>
      </c>
      <c r="G403" s="8">
        <v>-0.0013</v>
      </c>
    </row>
    <row r="404" spans="1:7">
      <c r="A404" s="6">
        <v>45114</v>
      </c>
      <c r="B404" s="7">
        <v>73.77</v>
      </c>
      <c r="C404" s="7">
        <v>71.85</v>
      </c>
      <c r="D404" s="7">
        <v>73.82</v>
      </c>
      <c r="E404" s="7">
        <v>71.22</v>
      </c>
      <c r="F404" s="7" t="s">
        <v>407</v>
      </c>
      <c r="G404" s="8">
        <v>0.0276</v>
      </c>
    </row>
    <row r="405" spans="1:7">
      <c r="A405" s="6">
        <v>45117</v>
      </c>
      <c r="B405" s="7">
        <v>72.95</v>
      </c>
      <c r="C405" s="7">
        <v>73.76</v>
      </c>
      <c r="D405" s="7">
        <v>74.06</v>
      </c>
      <c r="E405" s="7">
        <v>72.63</v>
      </c>
      <c r="F405" s="7" t="s">
        <v>408</v>
      </c>
      <c r="G405" s="8">
        <v>-0.0111</v>
      </c>
    </row>
    <row r="406" spans="1:7">
      <c r="A406" s="6">
        <v>45118</v>
      </c>
      <c r="B406" s="7">
        <v>74.71</v>
      </c>
      <c r="C406" s="7">
        <v>73.13</v>
      </c>
      <c r="D406" s="7">
        <v>74.82</v>
      </c>
      <c r="E406" s="7">
        <v>72.94</v>
      </c>
      <c r="F406" s="7" t="s">
        <v>409</v>
      </c>
      <c r="G406" s="8">
        <v>0.0241</v>
      </c>
    </row>
    <row r="407" spans="1:7">
      <c r="A407" s="6">
        <v>45119</v>
      </c>
      <c r="B407" s="7">
        <v>75.54</v>
      </c>
      <c r="C407" s="7">
        <v>74.7</v>
      </c>
      <c r="D407" s="7">
        <v>75.94</v>
      </c>
      <c r="E407" s="7">
        <v>74.53</v>
      </c>
      <c r="F407" s="7" t="s">
        <v>410</v>
      </c>
      <c r="G407" s="8">
        <v>0.0111</v>
      </c>
    </row>
    <row r="408" spans="1:7">
      <c r="A408" s="6">
        <v>45120</v>
      </c>
      <c r="B408" s="7">
        <v>76.76</v>
      </c>
      <c r="C408" s="7">
        <v>75.64</v>
      </c>
      <c r="D408" s="7">
        <v>77.15</v>
      </c>
      <c r="E408" s="7">
        <v>75.23</v>
      </c>
      <c r="F408" s="7" t="s">
        <v>411</v>
      </c>
      <c r="G408" s="8">
        <v>0.0162</v>
      </c>
    </row>
    <row r="409" spans="1:7">
      <c r="A409" s="6">
        <v>45121</v>
      </c>
      <c r="B409" s="7">
        <v>75.32</v>
      </c>
      <c r="C409" s="7">
        <v>77.02</v>
      </c>
      <c r="D409" s="7">
        <v>77.11</v>
      </c>
      <c r="E409" s="7">
        <v>75.06</v>
      </c>
      <c r="F409" s="7" t="s">
        <v>412</v>
      </c>
      <c r="G409" s="8">
        <v>-0.0188</v>
      </c>
    </row>
    <row r="410" spans="1:7">
      <c r="A410" s="6">
        <v>45124</v>
      </c>
      <c r="B410" s="7">
        <v>74.08</v>
      </c>
      <c r="C410" s="7">
        <v>74.88</v>
      </c>
      <c r="D410" s="7">
        <v>76</v>
      </c>
      <c r="E410" s="7">
        <v>73.78</v>
      </c>
      <c r="F410" s="7" t="s">
        <v>413</v>
      </c>
      <c r="G410" s="8">
        <v>-0.0165</v>
      </c>
    </row>
    <row r="411" spans="1:7">
      <c r="A411" s="6">
        <v>45125</v>
      </c>
      <c r="B411" s="7">
        <v>75.66</v>
      </c>
      <c r="C411" s="7">
        <v>74.08</v>
      </c>
      <c r="D411" s="7">
        <v>75.9</v>
      </c>
      <c r="E411" s="7">
        <v>73.82</v>
      </c>
      <c r="F411" s="7" t="s">
        <v>414</v>
      </c>
      <c r="G411" s="8">
        <v>0.0213</v>
      </c>
    </row>
    <row r="412" spans="1:7">
      <c r="A412" s="6">
        <v>45126</v>
      </c>
      <c r="B412" s="7">
        <v>75.29</v>
      </c>
      <c r="C412" s="7">
        <v>75.75</v>
      </c>
      <c r="D412" s="7">
        <v>76.87</v>
      </c>
      <c r="E412" s="7">
        <v>75.02</v>
      </c>
      <c r="F412" s="7" t="s">
        <v>415</v>
      </c>
      <c r="G412" s="8">
        <v>-0.0049</v>
      </c>
    </row>
    <row r="413" spans="1:7">
      <c r="A413" s="6">
        <v>45127</v>
      </c>
      <c r="B413" s="7">
        <v>75.65</v>
      </c>
      <c r="C413" s="7">
        <v>75.33</v>
      </c>
      <c r="D413" s="7">
        <v>76.15</v>
      </c>
      <c r="E413" s="7">
        <v>74.52</v>
      </c>
      <c r="F413" s="7" t="s">
        <v>416</v>
      </c>
      <c r="G413" s="8">
        <v>0.0048</v>
      </c>
    </row>
    <row r="414" spans="1:7">
      <c r="A414" s="6">
        <v>45128</v>
      </c>
      <c r="B414" s="7">
        <v>76.78</v>
      </c>
      <c r="C414" s="7">
        <v>75.45</v>
      </c>
      <c r="D414" s="7">
        <v>76.98</v>
      </c>
      <c r="E414" s="7">
        <v>75.45</v>
      </c>
      <c r="F414" s="7" t="s">
        <v>417</v>
      </c>
      <c r="G414" s="8">
        <v>0.0149</v>
      </c>
    </row>
    <row r="415" spans="1:7">
      <c r="A415" s="6">
        <v>45131</v>
      </c>
      <c r="B415" s="7">
        <v>78.4</v>
      </c>
      <c r="C415" s="7">
        <v>76.62</v>
      </c>
      <c r="D415" s="7">
        <v>78.89</v>
      </c>
      <c r="E415" s="7">
        <v>76.16</v>
      </c>
      <c r="F415" s="7" t="s">
        <v>418</v>
      </c>
      <c r="G415" s="8">
        <v>0.0211</v>
      </c>
    </row>
    <row r="416" spans="1:7">
      <c r="A416" s="6">
        <v>45132</v>
      </c>
      <c r="B416" s="7">
        <v>79.2</v>
      </c>
      <c r="C416" s="7">
        <v>78.47</v>
      </c>
      <c r="D416" s="7">
        <v>79.46</v>
      </c>
      <c r="E416" s="7">
        <v>77.93</v>
      </c>
      <c r="F416" s="7" t="s">
        <v>419</v>
      </c>
      <c r="G416" s="8">
        <v>0.0102</v>
      </c>
    </row>
    <row r="417" spans="1:7">
      <c r="A417" s="6">
        <v>45133</v>
      </c>
      <c r="B417" s="7">
        <v>78.4</v>
      </c>
      <c r="C417" s="7">
        <v>78.88</v>
      </c>
      <c r="D417" s="7">
        <v>79.31</v>
      </c>
      <c r="E417" s="7">
        <v>78.17</v>
      </c>
      <c r="F417" s="7" t="s">
        <v>420</v>
      </c>
      <c r="G417" s="8">
        <v>-0.0101</v>
      </c>
    </row>
    <row r="418" spans="1:7">
      <c r="A418" s="6">
        <v>45134</v>
      </c>
      <c r="B418" s="7">
        <v>79.63</v>
      </c>
      <c r="C418" s="7">
        <v>78.49</v>
      </c>
      <c r="D418" s="7">
        <v>80.08</v>
      </c>
      <c r="E418" s="7">
        <v>78.47</v>
      </c>
      <c r="F418" s="7" t="s">
        <v>421</v>
      </c>
      <c r="G418" s="8">
        <v>0.0157</v>
      </c>
    </row>
    <row r="419" spans="1:7">
      <c r="A419" s="6">
        <v>45135</v>
      </c>
      <c r="B419" s="7">
        <v>80.18</v>
      </c>
      <c r="C419" s="7">
        <v>79.33</v>
      </c>
      <c r="D419" s="7">
        <v>80.29</v>
      </c>
      <c r="E419" s="7">
        <v>78.67</v>
      </c>
      <c r="F419" s="7" t="s">
        <v>317</v>
      </c>
      <c r="G419" s="8">
        <v>0.0069</v>
      </c>
    </row>
    <row r="420" spans="1:7">
      <c r="A420" s="6">
        <v>45138</v>
      </c>
      <c r="B420" s="7">
        <v>81.32</v>
      </c>
      <c r="C420" s="7">
        <v>80.23</v>
      </c>
      <c r="D420" s="7">
        <v>81.5</v>
      </c>
      <c r="E420" s="7">
        <v>79.72</v>
      </c>
      <c r="F420" s="7" t="s">
        <v>422</v>
      </c>
      <c r="G420" s="8">
        <v>0.0142</v>
      </c>
    </row>
    <row r="421" spans="1:7">
      <c r="A421" s="6">
        <v>45139</v>
      </c>
      <c r="B421" s="7">
        <v>80.92</v>
      </c>
      <c r="C421" s="7">
        <v>81.25</v>
      </c>
      <c r="D421" s="7">
        <v>81.74</v>
      </c>
      <c r="E421" s="7">
        <v>80.17</v>
      </c>
      <c r="F421" s="7" t="s">
        <v>423</v>
      </c>
      <c r="G421" s="8">
        <v>-0.0049</v>
      </c>
    </row>
    <row r="422" spans="1:7">
      <c r="A422" s="6">
        <v>45140</v>
      </c>
      <c r="B422" s="7">
        <v>79.13</v>
      </c>
      <c r="C422" s="7">
        <v>81.54</v>
      </c>
      <c r="D422" s="7">
        <v>81.95</v>
      </c>
      <c r="E422" s="7">
        <v>78.68</v>
      </c>
      <c r="F422" s="7" t="s">
        <v>424</v>
      </c>
      <c r="G422" s="8">
        <v>-0.0221</v>
      </c>
    </row>
    <row r="423" spans="1:7">
      <c r="A423" s="6">
        <v>45141</v>
      </c>
      <c r="B423" s="7">
        <v>81.08</v>
      </c>
      <c r="C423" s="7">
        <v>79.4</v>
      </c>
      <c r="D423" s="7">
        <v>81.4</v>
      </c>
      <c r="E423" s="7">
        <v>78.33</v>
      </c>
      <c r="F423" s="7" t="s">
        <v>425</v>
      </c>
      <c r="G423" s="8">
        <v>0.0246</v>
      </c>
    </row>
    <row r="424" spans="1:7">
      <c r="A424" s="6">
        <v>45142</v>
      </c>
      <c r="B424" s="7">
        <v>82.27</v>
      </c>
      <c r="C424" s="7">
        <v>81.22</v>
      </c>
      <c r="D424" s="7">
        <v>82.66</v>
      </c>
      <c r="E424" s="7">
        <v>81.04</v>
      </c>
      <c r="F424" s="7" t="s">
        <v>426</v>
      </c>
      <c r="G424" s="8">
        <v>0.0147</v>
      </c>
    </row>
    <row r="425" spans="1:7">
      <c r="A425" s="6">
        <v>45145</v>
      </c>
      <c r="B425" s="7">
        <v>81.49</v>
      </c>
      <c r="C425" s="7">
        <v>82.27</v>
      </c>
      <c r="D425" s="7">
        <v>82.73</v>
      </c>
      <c r="E425" s="7">
        <v>81.08</v>
      </c>
      <c r="F425" s="7" t="s">
        <v>427</v>
      </c>
      <c r="G425" s="8">
        <v>-0.0095</v>
      </c>
    </row>
    <row r="426" spans="1:7">
      <c r="A426" s="6">
        <v>45146</v>
      </c>
      <c r="B426" s="7">
        <v>82.36</v>
      </c>
      <c r="C426" s="7">
        <v>82.04</v>
      </c>
      <c r="D426" s="7">
        <v>82.52</v>
      </c>
      <c r="E426" s="7">
        <v>79.52</v>
      </c>
      <c r="F426" s="7" t="s">
        <v>428</v>
      </c>
      <c r="G426" s="8">
        <v>0.0107</v>
      </c>
    </row>
    <row r="427" spans="1:7">
      <c r="A427" s="6">
        <v>45147</v>
      </c>
      <c r="B427" s="7">
        <v>83.69</v>
      </c>
      <c r="C427" s="7">
        <v>82.34</v>
      </c>
      <c r="D427" s="7">
        <v>83.91</v>
      </c>
      <c r="E427" s="7">
        <v>82.11</v>
      </c>
      <c r="F427" s="7" t="s">
        <v>429</v>
      </c>
      <c r="G427" s="8">
        <v>0.0161</v>
      </c>
    </row>
    <row r="428" spans="1:7">
      <c r="A428" s="6">
        <v>45148</v>
      </c>
      <c r="B428" s="7">
        <v>82.29</v>
      </c>
      <c r="C428" s="7">
        <v>83.51</v>
      </c>
      <c r="D428" s="7">
        <v>84.16</v>
      </c>
      <c r="E428" s="7">
        <v>82.04</v>
      </c>
      <c r="F428" s="7" t="s">
        <v>430</v>
      </c>
      <c r="G428" s="8">
        <v>-0.0167</v>
      </c>
    </row>
    <row r="429" spans="1:7">
      <c r="A429" s="6">
        <v>45149</v>
      </c>
      <c r="B429" s="7">
        <v>82.57</v>
      </c>
      <c r="C429" s="7">
        <v>82.33</v>
      </c>
      <c r="D429" s="7">
        <v>83.16</v>
      </c>
      <c r="E429" s="7">
        <v>81.75</v>
      </c>
      <c r="F429" s="7" t="s">
        <v>431</v>
      </c>
      <c r="G429" s="8">
        <v>0.0034</v>
      </c>
    </row>
    <row r="430" spans="1:7">
      <c r="A430" s="6">
        <v>45152</v>
      </c>
      <c r="B430" s="7">
        <v>81.92</v>
      </c>
      <c r="C430" s="7">
        <v>82.46</v>
      </c>
      <c r="D430" s="7">
        <v>82.51</v>
      </c>
      <c r="E430" s="7">
        <v>81.19</v>
      </c>
      <c r="F430" s="7" t="s">
        <v>432</v>
      </c>
      <c r="G430" s="8">
        <v>-0.0079</v>
      </c>
    </row>
    <row r="431" spans="1:7">
      <c r="A431" s="6">
        <v>45153</v>
      </c>
      <c r="B431" s="7">
        <v>80.5</v>
      </c>
      <c r="C431" s="7">
        <v>81.98</v>
      </c>
      <c r="D431" s="7">
        <v>82.33</v>
      </c>
      <c r="E431" s="7">
        <v>79.95</v>
      </c>
      <c r="F431" s="7" t="s">
        <v>433</v>
      </c>
      <c r="G431" s="8">
        <v>-0.0173</v>
      </c>
    </row>
    <row r="432" spans="1:7">
      <c r="A432" s="6">
        <v>45154</v>
      </c>
      <c r="B432" s="7">
        <v>79.02</v>
      </c>
      <c r="C432" s="7">
        <v>80.74</v>
      </c>
      <c r="D432" s="7">
        <v>80.97</v>
      </c>
      <c r="E432" s="7">
        <v>78.68</v>
      </c>
      <c r="F432" s="7" t="s">
        <v>434</v>
      </c>
      <c r="G432" s="8">
        <v>-0.0184</v>
      </c>
    </row>
    <row r="433" spans="1:7">
      <c r="A433" s="6">
        <v>45155</v>
      </c>
      <c r="B433" s="7">
        <v>79.9</v>
      </c>
      <c r="C433" s="7">
        <v>78.91</v>
      </c>
      <c r="D433" s="7">
        <v>80.61</v>
      </c>
      <c r="E433" s="7">
        <v>78.6</v>
      </c>
      <c r="F433" s="7" t="s">
        <v>435</v>
      </c>
      <c r="G433" s="8">
        <v>0.0111</v>
      </c>
    </row>
    <row r="434" spans="1:7">
      <c r="A434" s="6">
        <v>45156</v>
      </c>
      <c r="B434" s="7">
        <v>80.66</v>
      </c>
      <c r="C434" s="7">
        <v>79.58</v>
      </c>
      <c r="D434" s="7">
        <v>80.97</v>
      </c>
      <c r="E434" s="7">
        <v>79.02</v>
      </c>
      <c r="F434" s="7" t="s">
        <v>436</v>
      </c>
      <c r="G434" s="8">
        <v>0.0095</v>
      </c>
    </row>
    <row r="435" spans="1:7">
      <c r="A435" s="6">
        <v>45159</v>
      </c>
      <c r="B435" s="7">
        <v>80.12</v>
      </c>
      <c r="C435" s="7">
        <v>80.76</v>
      </c>
      <c r="D435" s="7">
        <v>81.75</v>
      </c>
      <c r="E435" s="7">
        <v>79.97</v>
      </c>
      <c r="F435" s="7" t="s">
        <v>437</v>
      </c>
      <c r="G435" s="8">
        <v>-0.0067</v>
      </c>
    </row>
    <row r="436" spans="1:7">
      <c r="A436" s="6">
        <v>45160</v>
      </c>
      <c r="B436" s="7">
        <v>79.64</v>
      </c>
      <c r="C436" s="7">
        <v>80.25</v>
      </c>
      <c r="D436" s="7">
        <v>80.37</v>
      </c>
      <c r="E436" s="7">
        <v>79.46</v>
      </c>
      <c r="F436" s="7" t="s">
        <v>438</v>
      </c>
      <c r="G436" s="8">
        <v>-0.006</v>
      </c>
    </row>
    <row r="437" spans="1:7">
      <c r="A437" s="6">
        <v>45161</v>
      </c>
      <c r="B437" s="7">
        <v>78.59</v>
      </c>
      <c r="C437" s="7">
        <v>79.35</v>
      </c>
      <c r="D437" s="7">
        <v>79.6</v>
      </c>
      <c r="E437" s="7">
        <v>77.34</v>
      </c>
      <c r="F437" s="7" t="s">
        <v>439</v>
      </c>
      <c r="G437" s="8">
        <v>-0.0132</v>
      </c>
    </row>
    <row r="438" spans="1:7">
      <c r="A438" s="6">
        <v>45162</v>
      </c>
      <c r="B438" s="7">
        <v>78.66</v>
      </c>
      <c r="C438" s="7">
        <v>78.3</v>
      </c>
      <c r="D438" s="7">
        <v>78.95</v>
      </c>
      <c r="E438" s="7">
        <v>77.32</v>
      </c>
      <c r="F438" s="7" t="s">
        <v>440</v>
      </c>
      <c r="G438" s="8">
        <v>0.0009</v>
      </c>
    </row>
    <row r="439" spans="1:7">
      <c r="A439" s="6">
        <v>45163</v>
      </c>
      <c r="B439" s="7">
        <v>79.49</v>
      </c>
      <c r="C439" s="7">
        <v>78.49</v>
      </c>
      <c r="D439" s="7">
        <v>79.98</v>
      </c>
      <c r="E439" s="7">
        <v>77.82</v>
      </c>
      <c r="F439" s="7" t="s">
        <v>441</v>
      </c>
      <c r="G439" s="8">
        <v>0.0106</v>
      </c>
    </row>
    <row r="440" spans="1:7">
      <c r="A440" s="6">
        <v>45166</v>
      </c>
      <c r="B440" s="7">
        <v>79.67</v>
      </c>
      <c r="C440" s="7">
        <v>79.69</v>
      </c>
      <c r="D440" s="7">
        <v>80.44</v>
      </c>
      <c r="E440" s="7">
        <v>79.25</v>
      </c>
      <c r="F440" s="7" t="s">
        <v>442</v>
      </c>
      <c r="G440" s="8">
        <v>0.0023</v>
      </c>
    </row>
    <row r="441" spans="1:7">
      <c r="A441" s="6">
        <v>45167</v>
      </c>
      <c r="B441" s="7">
        <v>80.68</v>
      </c>
      <c r="C441" s="7">
        <v>79.55</v>
      </c>
      <c r="D441" s="7">
        <v>80.91</v>
      </c>
      <c r="E441" s="7">
        <v>78.94</v>
      </c>
      <c r="F441" s="7" t="s">
        <v>443</v>
      </c>
      <c r="G441" s="8">
        <v>0.0127</v>
      </c>
    </row>
    <row r="442" spans="1:7">
      <c r="A442" s="6">
        <v>45168</v>
      </c>
      <c r="B442" s="7">
        <v>81.12</v>
      </c>
      <c r="C442" s="7">
        <v>80.78</v>
      </c>
      <c r="D442" s="7">
        <v>81.54</v>
      </c>
      <c r="E442" s="7">
        <v>80.43</v>
      </c>
      <c r="F442" s="7" t="s">
        <v>444</v>
      </c>
      <c r="G442" s="8">
        <v>0.0055</v>
      </c>
    </row>
    <row r="443" spans="1:7">
      <c r="A443" s="6">
        <v>45169</v>
      </c>
      <c r="B443" s="7">
        <v>82.96</v>
      </c>
      <c r="C443" s="7">
        <v>81.14</v>
      </c>
      <c r="D443" s="7">
        <v>83.02</v>
      </c>
      <c r="E443" s="7">
        <v>81</v>
      </c>
      <c r="F443" s="7" t="s">
        <v>445</v>
      </c>
      <c r="G443" s="8">
        <v>0.0227</v>
      </c>
    </row>
    <row r="444" spans="1:7">
      <c r="A444" s="6">
        <v>45170</v>
      </c>
      <c r="B444" s="7">
        <v>84.75</v>
      </c>
      <c r="C444" s="7">
        <v>82.9</v>
      </c>
      <c r="D444" s="7">
        <v>85.19</v>
      </c>
      <c r="E444" s="7">
        <v>82.78</v>
      </c>
      <c r="F444" s="7" t="s">
        <v>446</v>
      </c>
      <c r="G444" s="8">
        <v>0.0216</v>
      </c>
    </row>
    <row r="445" spans="1:7">
      <c r="A445" s="6">
        <v>45172</v>
      </c>
      <c r="B445" s="7">
        <v>85.85</v>
      </c>
      <c r="C445" s="7">
        <v>86.06</v>
      </c>
      <c r="D445" s="7">
        <v>86.06</v>
      </c>
      <c r="E445" s="7">
        <v>85.73</v>
      </c>
      <c r="G445" s="8">
        <v>0.013</v>
      </c>
    </row>
    <row r="446" spans="1:7">
      <c r="A446" s="6">
        <v>45173</v>
      </c>
      <c r="B446" s="7">
        <v>85.82</v>
      </c>
      <c r="C446" s="7">
        <v>85.85</v>
      </c>
      <c r="D446" s="7">
        <v>86.14</v>
      </c>
      <c r="E446" s="7">
        <v>85.28</v>
      </c>
      <c r="G446" s="8">
        <v>-0.0003</v>
      </c>
    </row>
    <row r="447" spans="1:7">
      <c r="A447" s="6">
        <v>45174</v>
      </c>
      <c r="B447" s="7">
        <v>86.01</v>
      </c>
      <c r="C447" s="7">
        <v>85.19</v>
      </c>
      <c r="D447" s="7">
        <v>87.25</v>
      </c>
      <c r="E447" s="7">
        <v>84.29</v>
      </c>
      <c r="F447" s="7" t="s">
        <v>447</v>
      </c>
      <c r="G447" s="8">
        <v>0.0022</v>
      </c>
    </row>
    <row r="448" spans="1:7">
      <c r="A448" s="6">
        <v>45175</v>
      </c>
      <c r="B448" s="7">
        <v>86.79</v>
      </c>
      <c r="C448" s="7">
        <v>86.02</v>
      </c>
      <c r="D448" s="7">
        <v>87.27</v>
      </c>
      <c r="E448" s="7">
        <v>85.31</v>
      </c>
      <c r="F448" s="7" t="s">
        <v>97</v>
      </c>
      <c r="G448" s="8">
        <v>0.0091</v>
      </c>
    </row>
    <row r="449" spans="1:7">
      <c r="A449" s="6">
        <v>45176</v>
      </c>
      <c r="B449" s="7">
        <v>86.15</v>
      </c>
      <c r="C449" s="7">
        <v>86.8</v>
      </c>
      <c r="D449" s="7">
        <v>86.99</v>
      </c>
      <c r="E449" s="7">
        <v>85.68</v>
      </c>
      <c r="F449" s="7" t="s">
        <v>448</v>
      </c>
      <c r="G449" s="8">
        <v>-0.0074</v>
      </c>
    </row>
    <row r="450" spans="1:7">
      <c r="A450" s="6">
        <v>45177</v>
      </c>
      <c r="B450" s="7">
        <v>86.81</v>
      </c>
      <c r="C450" s="7">
        <v>86.01</v>
      </c>
      <c r="D450" s="7">
        <v>87.2</v>
      </c>
      <c r="E450" s="7">
        <v>85.49</v>
      </c>
      <c r="F450" s="7" t="s">
        <v>449</v>
      </c>
      <c r="G450" s="8">
        <v>0.0077</v>
      </c>
    </row>
    <row r="451" spans="1:7">
      <c r="A451" s="6">
        <v>45180</v>
      </c>
      <c r="B451" s="7">
        <v>86.66</v>
      </c>
      <c r="C451" s="7">
        <v>86.74</v>
      </c>
      <c r="D451" s="7">
        <v>87.49</v>
      </c>
      <c r="E451" s="7">
        <v>86.12</v>
      </c>
      <c r="F451" s="7" t="s">
        <v>450</v>
      </c>
      <c r="G451" s="8">
        <v>-0.0017</v>
      </c>
    </row>
    <row r="452" spans="1:7">
      <c r="A452" s="6">
        <v>45181</v>
      </c>
      <c r="B452" s="7">
        <v>88.16</v>
      </c>
      <c r="C452" s="7">
        <v>86.62</v>
      </c>
      <c r="D452" s="7">
        <v>88.62</v>
      </c>
      <c r="E452" s="7">
        <v>86.58</v>
      </c>
      <c r="F452" s="7" t="s">
        <v>451</v>
      </c>
      <c r="G452" s="8">
        <v>0.0173</v>
      </c>
    </row>
    <row r="453" spans="1:7">
      <c r="A453" s="6">
        <v>45182</v>
      </c>
      <c r="B453" s="7">
        <v>87.88</v>
      </c>
      <c r="C453" s="7">
        <v>88.07</v>
      </c>
      <c r="D453" s="7">
        <v>88.92</v>
      </c>
      <c r="E453" s="7">
        <v>87.66</v>
      </c>
      <c r="F453" s="7" t="s">
        <v>452</v>
      </c>
      <c r="G453" s="8">
        <v>-0.0032</v>
      </c>
    </row>
    <row r="454" spans="1:7">
      <c r="A454" s="6">
        <v>45183</v>
      </c>
      <c r="B454" s="7">
        <v>89.61</v>
      </c>
      <c r="C454" s="7">
        <v>88.19</v>
      </c>
      <c r="D454" s="7">
        <v>90.2</v>
      </c>
      <c r="E454" s="7">
        <v>88.04</v>
      </c>
      <c r="F454" s="7" t="s">
        <v>453</v>
      </c>
      <c r="G454" s="8">
        <v>0.0197</v>
      </c>
    </row>
    <row r="455" spans="1:7">
      <c r="A455" s="6">
        <v>45184</v>
      </c>
      <c r="B455" s="7">
        <v>90.02</v>
      </c>
      <c r="C455" s="7">
        <v>90.07</v>
      </c>
      <c r="D455" s="7">
        <v>90.56</v>
      </c>
      <c r="E455" s="7">
        <v>88.65</v>
      </c>
      <c r="F455" s="7" t="s">
        <v>454</v>
      </c>
      <c r="G455" s="8">
        <v>0.0046</v>
      </c>
    </row>
    <row r="456" spans="1:7">
      <c r="A456" s="6">
        <v>45187</v>
      </c>
      <c r="B456" s="7">
        <v>90.58</v>
      </c>
      <c r="C456" s="7">
        <v>90.41</v>
      </c>
      <c r="D456" s="7">
        <v>91.36</v>
      </c>
      <c r="E456" s="7">
        <v>89.91</v>
      </c>
      <c r="F456" s="7" t="s">
        <v>455</v>
      </c>
      <c r="G456" s="8">
        <v>0.0062</v>
      </c>
    </row>
    <row r="457" spans="1:7">
      <c r="A457" s="6">
        <v>45188</v>
      </c>
      <c r="B457" s="7">
        <v>90.48</v>
      </c>
      <c r="C457" s="7">
        <v>90.97</v>
      </c>
      <c r="D457" s="7">
        <v>92.43</v>
      </c>
      <c r="E457" s="7">
        <v>90.31</v>
      </c>
      <c r="F457" s="7" t="s">
        <v>456</v>
      </c>
      <c r="G457" s="8">
        <v>-0.0011</v>
      </c>
    </row>
    <row r="458" spans="1:7">
      <c r="A458" s="6">
        <v>45189</v>
      </c>
      <c r="B458" s="7">
        <v>89.66</v>
      </c>
      <c r="C458" s="7">
        <v>90.63</v>
      </c>
      <c r="D458" s="7">
        <v>91.07</v>
      </c>
      <c r="E458" s="7">
        <v>88.97</v>
      </c>
      <c r="F458" s="7" t="s">
        <v>457</v>
      </c>
      <c r="G458" s="8">
        <v>-0.0091</v>
      </c>
    </row>
    <row r="459" spans="1:7">
      <c r="A459" s="6">
        <v>45190</v>
      </c>
      <c r="B459" s="7">
        <v>88.32</v>
      </c>
      <c r="C459" s="7">
        <v>88.07</v>
      </c>
      <c r="D459" s="7">
        <v>89.5</v>
      </c>
      <c r="E459" s="7">
        <v>87.15</v>
      </c>
      <c r="F459" s="7" t="s">
        <v>458</v>
      </c>
      <c r="G459" s="8">
        <v>-0.0149</v>
      </c>
    </row>
    <row r="460" spans="1:7">
      <c r="A460" s="6">
        <v>45191</v>
      </c>
      <c r="B460" s="7">
        <v>88.35</v>
      </c>
      <c r="C460" s="7">
        <v>88.27</v>
      </c>
      <c r="D460" s="7">
        <v>89.65</v>
      </c>
      <c r="E460" s="7">
        <v>87.82</v>
      </c>
      <c r="F460" s="7" t="s">
        <v>459</v>
      </c>
      <c r="G460" s="8">
        <v>0.0003</v>
      </c>
    </row>
    <row r="461" spans="1:7">
      <c r="A461" s="6">
        <v>45194</v>
      </c>
      <c r="B461" s="7">
        <v>88.17</v>
      </c>
      <c r="C461" s="7">
        <v>88.83</v>
      </c>
      <c r="D461" s="7">
        <v>89.07</v>
      </c>
      <c r="E461" s="7">
        <v>87.52</v>
      </c>
      <c r="F461" s="7" t="s">
        <v>460</v>
      </c>
      <c r="G461" s="8">
        <v>-0.002</v>
      </c>
    </row>
    <row r="462" spans="1:7">
      <c r="A462" s="6">
        <v>45195</v>
      </c>
      <c r="B462" s="7">
        <v>88.78</v>
      </c>
      <c r="C462" s="7">
        <v>88.3</v>
      </c>
      <c r="D462" s="7">
        <v>89.09</v>
      </c>
      <c r="E462" s="7">
        <v>86.74</v>
      </c>
      <c r="F462" s="7" t="s">
        <v>461</v>
      </c>
      <c r="G462" s="8">
        <v>0.0069</v>
      </c>
    </row>
    <row r="463" spans="1:7">
      <c r="A463" s="6">
        <v>45196</v>
      </c>
      <c r="B463" s="7">
        <v>91.3</v>
      </c>
      <c r="C463" s="7">
        <v>88.92</v>
      </c>
      <c r="D463" s="7">
        <v>91.73</v>
      </c>
      <c r="E463" s="7">
        <v>88.8</v>
      </c>
      <c r="F463" s="7" t="s">
        <v>462</v>
      </c>
      <c r="G463" s="8">
        <v>0.0284</v>
      </c>
    </row>
    <row r="464" spans="1:7">
      <c r="A464" s="6">
        <v>45197</v>
      </c>
      <c r="B464" s="7">
        <v>89.59</v>
      </c>
      <c r="C464" s="7">
        <v>91.44</v>
      </c>
      <c r="D464" s="7">
        <v>92.48</v>
      </c>
      <c r="E464" s="7">
        <v>89.31</v>
      </c>
      <c r="F464" s="7" t="s">
        <v>463</v>
      </c>
      <c r="G464" s="8">
        <v>-0.0187</v>
      </c>
    </row>
    <row r="465" spans="1:7">
      <c r="A465" s="6">
        <v>45198</v>
      </c>
      <c r="B465" s="7">
        <v>88.8</v>
      </c>
      <c r="C465" s="7">
        <v>89.7</v>
      </c>
      <c r="D465" s="7">
        <v>90.96</v>
      </c>
      <c r="E465" s="7">
        <v>88.45</v>
      </c>
      <c r="F465" s="7" t="s">
        <v>464</v>
      </c>
      <c r="G465" s="8">
        <v>-0.0088</v>
      </c>
    </row>
    <row r="466" spans="1:7">
      <c r="A466" s="6">
        <v>45201</v>
      </c>
      <c r="B466" s="7">
        <v>87.17</v>
      </c>
      <c r="C466" s="7">
        <v>88.83</v>
      </c>
      <c r="D466" s="7">
        <v>89.89</v>
      </c>
      <c r="E466" s="7">
        <v>86.83</v>
      </c>
      <c r="F466" s="7" t="s">
        <v>465</v>
      </c>
      <c r="G466" s="8">
        <v>-0.0184</v>
      </c>
    </row>
    <row r="467" spans="1:7">
      <c r="A467" s="6">
        <v>45202</v>
      </c>
      <c r="B467" s="7">
        <v>87.44</v>
      </c>
      <c r="C467" s="7">
        <v>87.01</v>
      </c>
      <c r="D467" s="7">
        <v>88.25</v>
      </c>
      <c r="E467" s="7">
        <v>86.17</v>
      </c>
      <c r="F467" s="7" t="s">
        <v>466</v>
      </c>
      <c r="G467" s="8">
        <v>0.0031</v>
      </c>
    </row>
    <row r="468" spans="1:7">
      <c r="A468" s="6">
        <v>45203</v>
      </c>
      <c r="B468" s="7">
        <v>82.55</v>
      </c>
      <c r="C468" s="7">
        <v>87.44</v>
      </c>
      <c r="D468" s="7">
        <v>87.76</v>
      </c>
      <c r="E468" s="7">
        <v>82.5</v>
      </c>
      <c r="F468" s="7" t="s">
        <v>467</v>
      </c>
      <c r="G468" s="8">
        <v>-0.0559</v>
      </c>
    </row>
    <row r="469" spans="1:7">
      <c r="A469" s="6">
        <v>45204</v>
      </c>
      <c r="B469" s="7">
        <v>80.81</v>
      </c>
      <c r="C469" s="7">
        <v>82.85</v>
      </c>
      <c r="D469" s="7">
        <v>83.23</v>
      </c>
      <c r="E469" s="7">
        <v>80.61</v>
      </c>
      <c r="F469" s="7" t="s">
        <v>468</v>
      </c>
      <c r="G469" s="8">
        <v>-0.0211</v>
      </c>
    </row>
    <row r="470" spans="1:7">
      <c r="A470" s="6">
        <v>45205</v>
      </c>
      <c r="B470" s="7">
        <v>81.28</v>
      </c>
      <c r="C470" s="7">
        <v>81.05</v>
      </c>
      <c r="D470" s="7">
        <v>81.69</v>
      </c>
      <c r="E470" s="7">
        <v>80.2</v>
      </c>
      <c r="F470" s="7" t="s">
        <v>469</v>
      </c>
      <c r="G470" s="8">
        <v>0.0058</v>
      </c>
    </row>
    <row r="471" spans="1:7">
      <c r="A471" s="6">
        <v>45208</v>
      </c>
      <c r="B471" s="7">
        <v>84.6</v>
      </c>
      <c r="C471" s="7">
        <v>83.2</v>
      </c>
      <c r="D471" s="7">
        <v>85.56</v>
      </c>
      <c r="E471" s="7">
        <v>82.95</v>
      </c>
      <c r="F471" s="7" t="s">
        <v>470</v>
      </c>
      <c r="G471" s="8">
        <v>0.0408</v>
      </c>
    </row>
    <row r="472" spans="1:7">
      <c r="A472" s="6">
        <v>45209</v>
      </c>
      <c r="B472" s="7">
        <v>84.13</v>
      </c>
      <c r="C472" s="7">
        <v>84.7</v>
      </c>
      <c r="D472" s="7">
        <v>84.94</v>
      </c>
      <c r="E472" s="7">
        <v>83.39</v>
      </c>
      <c r="F472" s="7" t="s">
        <v>471</v>
      </c>
      <c r="G472" s="8">
        <v>-0.0056</v>
      </c>
    </row>
    <row r="473" spans="1:7">
      <c r="A473" s="6">
        <v>45210</v>
      </c>
      <c r="B473" s="7">
        <v>82.07</v>
      </c>
      <c r="C473" s="7">
        <v>84.16</v>
      </c>
      <c r="D473" s="7">
        <v>84.72</v>
      </c>
      <c r="E473" s="7">
        <v>81.63</v>
      </c>
      <c r="F473" s="7" t="s">
        <v>472</v>
      </c>
      <c r="G473" s="8">
        <v>-0.0245</v>
      </c>
    </row>
    <row r="474" spans="1:7">
      <c r="A474" s="6">
        <v>45211</v>
      </c>
      <c r="B474" s="7">
        <v>81.8</v>
      </c>
      <c r="C474" s="7">
        <v>81.84</v>
      </c>
      <c r="D474" s="7">
        <v>83.75</v>
      </c>
      <c r="E474" s="7">
        <v>81.31</v>
      </c>
      <c r="F474" s="7" t="s">
        <v>473</v>
      </c>
      <c r="G474" s="8">
        <v>-0.0033</v>
      </c>
    </row>
    <row r="475" spans="1:7">
      <c r="A475" s="6">
        <v>45212</v>
      </c>
      <c r="B475" s="7">
        <v>86.35</v>
      </c>
      <c r="C475" s="7">
        <v>82.27</v>
      </c>
      <c r="D475" s="7">
        <v>86.51</v>
      </c>
      <c r="E475" s="7">
        <v>82.17</v>
      </c>
      <c r="F475" s="7" t="s">
        <v>474</v>
      </c>
      <c r="G475" s="8">
        <v>0.0556</v>
      </c>
    </row>
    <row r="476" spans="1:7">
      <c r="A476" s="6">
        <v>45215</v>
      </c>
      <c r="B476" s="7">
        <v>85.26</v>
      </c>
      <c r="C476" s="7">
        <v>86.37</v>
      </c>
      <c r="D476" s="7">
        <v>86.94</v>
      </c>
      <c r="E476" s="7">
        <v>85</v>
      </c>
      <c r="F476" s="7" t="s">
        <v>475</v>
      </c>
      <c r="G476" s="8">
        <v>-0.0126</v>
      </c>
    </row>
    <row r="477" spans="1:7">
      <c r="A477" s="6">
        <v>45216</v>
      </c>
      <c r="B477" s="7">
        <v>85.44</v>
      </c>
      <c r="C477" s="7">
        <v>85.69</v>
      </c>
      <c r="D477" s="7">
        <v>86.44</v>
      </c>
      <c r="E477" s="7">
        <v>84.39</v>
      </c>
      <c r="F477" s="7" t="s">
        <v>476</v>
      </c>
      <c r="G477" s="8">
        <v>0.0021</v>
      </c>
    </row>
    <row r="478" spans="1:7">
      <c r="A478" s="6">
        <v>45217</v>
      </c>
      <c r="B478" s="7">
        <v>87.27</v>
      </c>
      <c r="C478" s="7">
        <v>86.41</v>
      </c>
      <c r="D478" s="7">
        <v>88.57</v>
      </c>
      <c r="E478" s="7">
        <v>86.25</v>
      </c>
      <c r="F478" s="7" t="s">
        <v>477</v>
      </c>
      <c r="G478" s="8">
        <v>0.0214</v>
      </c>
    </row>
    <row r="479" spans="1:7">
      <c r="A479" s="6">
        <v>45218</v>
      </c>
      <c r="B479" s="7">
        <v>88.37</v>
      </c>
      <c r="C479" s="7">
        <v>87.22</v>
      </c>
      <c r="D479" s="7">
        <v>89.54</v>
      </c>
      <c r="E479" s="7">
        <v>85.44</v>
      </c>
      <c r="F479" s="7" t="s">
        <v>478</v>
      </c>
      <c r="G479" s="8">
        <v>0.0126</v>
      </c>
    </row>
    <row r="480" spans="1:7">
      <c r="A480" s="6">
        <v>45219</v>
      </c>
      <c r="B480" s="7">
        <v>88.08</v>
      </c>
      <c r="C480" s="7">
        <v>89.09</v>
      </c>
      <c r="D480" s="7">
        <v>89.85</v>
      </c>
      <c r="E480" s="7">
        <v>87.53</v>
      </c>
      <c r="F480" s="7" t="s">
        <v>479</v>
      </c>
      <c r="G480" s="8">
        <v>-0.0033</v>
      </c>
    </row>
    <row r="481" spans="1:7">
      <c r="A481" s="6">
        <v>45222</v>
      </c>
      <c r="B481" s="7">
        <v>84.42</v>
      </c>
      <c r="C481" s="7">
        <v>86.69</v>
      </c>
      <c r="D481" s="7">
        <v>87</v>
      </c>
      <c r="E481" s="7">
        <v>84.3</v>
      </c>
      <c r="F481" s="7" t="s">
        <v>480</v>
      </c>
      <c r="G481" s="8">
        <v>-0.0416</v>
      </c>
    </row>
    <row r="482" spans="1:7">
      <c r="A482" s="6">
        <v>45223</v>
      </c>
      <c r="B482" s="7">
        <v>82.97</v>
      </c>
      <c r="C482" s="7">
        <v>85.05</v>
      </c>
      <c r="D482" s="7">
        <v>85.22</v>
      </c>
      <c r="E482" s="7">
        <v>82.16</v>
      </c>
      <c r="F482" s="7" t="s">
        <v>481</v>
      </c>
      <c r="G482" s="8">
        <v>-0.0172</v>
      </c>
    </row>
    <row r="483" spans="1:7">
      <c r="A483" s="6">
        <v>45224</v>
      </c>
      <c r="B483" s="7">
        <v>84.69</v>
      </c>
      <c r="C483" s="7">
        <v>82.99</v>
      </c>
      <c r="D483" s="7">
        <v>84.85</v>
      </c>
      <c r="E483" s="7">
        <v>81.44</v>
      </c>
      <c r="F483" s="7" t="s">
        <v>482</v>
      </c>
      <c r="G483" s="8">
        <v>0.0207</v>
      </c>
    </row>
    <row r="484" spans="1:7">
      <c r="A484" s="6">
        <v>45225</v>
      </c>
      <c r="B484" s="7">
        <v>82.54</v>
      </c>
      <c r="C484" s="7">
        <v>84.58</v>
      </c>
      <c r="D484" s="7">
        <v>84.85</v>
      </c>
      <c r="E484" s="7">
        <v>81.97</v>
      </c>
      <c r="F484" s="7" t="s">
        <v>483</v>
      </c>
      <c r="G484" s="8">
        <v>-0.0254</v>
      </c>
    </row>
    <row r="485" spans="1:7">
      <c r="A485" s="6">
        <v>45226</v>
      </c>
      <c r="B485" s="7">
        <v>84.7</v>
      </c>
      <c r="C485" s="7">
        <v>82.88</v>
      </c>
      <c r="D485" s="7">
        <v>85</v>
      </c>
      <c r="E485" s="7">
        <v>82.41</v>
      </c>
      <c r="F485" s="7" t="s">
        <v>484</v>
      </c>
      <c r="G485" s="8">
        <v>0.0262</v>
      </c>
    </row>
    <row r="486" spans="1:7">
      <c r="A486" s="6">
        <v>45229</v>
      </c>
      <c r="B486" s="7">
        <v>81.68</v>
      </c>
      <c r="C486" s="7">
        <v>84.25</v>
      </c>
      <c r="D486" s="7">
        <v>84.39</v>
      </c>
      <c r="E486" s="7">
        <v>81.16</v>
      </c>
      <c r="F486" s="7" t="s">
        <v>485</v>
      </c>
      <c r="G486" s="8">
        <v>-0.0357</v>
      </c>
    </row>
    <row r="487" spans="1:7">
      <c r="A487" s="6">
        <v>45230</v>
      </c>
      <c r="B487" s="7">
        <v>80.5</v>
      </c>
      <c r="C487" s="7">
        <v>81.96</v>
      </c>
      <c r="D487" s="7">
        <v>82.77</v>
      </c>
      <c r="E487" s="7">
        <v>80.26</v>
      </c>
      <c r="F487" s="7" t="s">
        <v>486</v>
      </c>
      <c r="G487" s="8">
        <v>-0.0144</v>
      </c>
    </row>
    <row r="488" spans="1:7">
      <c r="A488" s="6">
        <v>45231</v>
      </c>
      <c r="B488" s="7">
        <v>80.1</v>
      </c>
      <c r="C488" s="7">
        <v>80.98</v>
      </c>
      <c r="D488" s="7">
        <v>82.82</v>
      </c>
      <c r="E488" s="7">
        <v>79.96</v>
      </c>
      <c r="F488" s="7" t="s">
        <v>487</v>
      </c>
      <c r="G488" s="8">
        <v>-0.005</v>
      </c>
    </row>
    <row r="489" spans="1:7">
      <c r="A489" s="6">
        <v>45232</v>
      </c>
      <c r="B489" s="7">
        <v>82.16</v>
      </c>
      <c r="C489" s="7">
        <v>80.44</v>
      </c>
      <c r="D489" s="7">
        <v>82.44</v>
      </c>
      <c r="E489" s="7">
        <v>80.01</v>
      </c>
      <c r="F489" s="7" t="s">
        <v>488</v>
      </c>
      <c r="G489" s="8">
        <v>0.0257</v>
      </c>
    </row>
    <row r="490" spans="1:7">
      <c r="A490" s="6">
        <v>45233</v>
      </c>
      <c r="B490" s="7">
        <v>80.23</v>
      </c>
      <c r="C490" s="7">
        <v>82.25</v>
      </c>
      <c r="D490" s="7">
        <v>83.2</v>
      </c>
      <c r="E490" s="7">
        <v>79.84</v>
      </c>
      <c r="F490" s="7" t="s">
        <v>489</v>
      </c>
      <c r="G490" s="8">
        <v>-0.0235</v>
      </c>
    </row>
    <row r="491" spans="1:7">
      <c r="A491" s="6">
        <v>45236</v>
      </c>
      <c r="B491" s="7">
        <v>80.6</v>
      </c>
      <c r="C491" s="7">
        <v>80.76</v>
      </c>
      <c r="D491" s="7">
        <v>81.9</v>
      </c>
      <c r="E491" s="7">
        <v>80.33</v>
      </c>
      <c r="F491" s="7" t="s">
        <v>490</v>
      </c>
      <c r="G491" s="8">
        <v>0.0046</v>
      </c>
    </row>
    <row r="492" spans="1:7">
      <c r="A492" s="6">
        <v>45237</v>
      </c>
      <c r="B492" s="7">
        <v>77.21</v>
      </c>
      <c r="C492" s="7">
        <v>80.69</v>
      </c>
      <c r="D492" s="7">
        <v>80.79</v>
      </c>
      <c r="E492" s="7">
        <v>76.99</v>
      </c>
      <c r="F492" s="7" t="s">
        <v>491</v>
      </c>
      <c r="G492" s="8">
        <v>-0.0421</v>
      </c>
    </row>
    <row r="493" spans="1:7">
      <c r="A493" s="6">
        <v>45238</v>
      </c>
      <c r="B493" s="7">
        <v>75.31</v>
      </c>
      <c r="C493" s="7">
        <v>77.03</v>
      </c>
      <c r="D493" s="7">
        <v>77.43</v>
      </c>
      <c r="E493" s="7">
        <v>74.92</v>
      </c>
      <c r="F493" s="7" t="s">
        <v>492</v>
      </c>
      <c r="G493" s="8">
        <v>-0.0246</v>
      </c>
    </row>
    <row r="494" spans="1:7">
      <c r="A494" s="6">
        <v>45239</v>
      </c>
      <c r="B494" s="7">
        <v>75.75</v>
      </c>
      <c r="C494" s="7">
        <v>75.63</v>
      </c>
      <c r="D494" s="7">
        <v>77.12</v>
      </c>
      <c r="E494" s="7">
        <v>75.18</v>
      </c>
      <c r="F494" s="7" t="s">
        <v>493</v>
      </c>
      <c r="G494" s="8">
        <v>0.0058</v>
      </c>
    </row>
    <row r="495" spans="1:7">
      <c r="A495" s="6">
        <v>45240</v>
      </c>
      <c r="B495" s="7">
        <v>77.15</v>
      </c>
      <c r="C495" s="7">
        <v>75.65</v>
      </c>
      <c r="D495" s="7">
        <v>77.71</v>
      </c>
      <c r="E495" s="7">
        <v>75.36</v>
      </c>
      <c r="F495" s="7" t="s">
        <v>494</v>
      </c>
      <c r="G495" s="8">
        <v>0.0185</v>
      </c>
    </row>
    <row r="496" spans="1:7">
      <c r="A496" s="6">
        <v>45243</v>
      </c>
      <c r="B496" s="7">
        <v>78.19</v>
      </c>
      <c r="C496" s="7">
        <v>77.18</v>
      </c>
      <c r="D496" s="7">
        <v>78.54</v>
      </c>
      <c r="E496" s="7">
        <v>76.19</v>
      </c>
      <c r="F496" s="7" t="s">
        <v>495</v>
      </c>
      <c r="G496" s="8">
        <v>0.0135</v>
      </c>
    </row>
    <row r="497" spans="1:7">
      <c r="A497" s="6">
        <v>45244</v>
      </c>
      <c r="B497" s="7">
        <v>78.17</v>
      </c>
      <c r="C497" s="7">
        <v>78.48</v>
      </c>
      <c r="D497" s="7">
        <v>79.65</v>
      </c>
      <c r="E497" s="7">
        <v>77.73</v>
      </c>
      <c r="F497" s="7" t="s">
        <v>496</v>
      </c>
      <c r="G497" s="8">
        <v>-0.0003</v>
      </c>
    </row>
    <row r="498" spans="1:7">
      <c r="A498" s="6">
        <v>45245</v>
      </c>
      <c r="B498" s="7">
        <v>76.79</v>
      </c>
      <c r="C498" s="7">
        <v>78.1</v>
      </c>
      <c r="D498" s="7">
        <v>78.69</v>
      </c>
      <c r="E498" s="7">
        <v>76.45</v>
      </c>
      <c r="F498" s="7" t="s">
        <v>497</v>
      </c>
      <c r="G498" s="8">
        <v>-0.0177</v>
      </c>
    </row>
    <row r="499" spans="1:7">
      <c r="A499" s="6">
        <v>45246</v>
      </c>
      <c r="B499" s="7">
        <v>73.09</v>
      </c>
      <c r="C499" s="7">
        <v>76.71</v>
      </c>
      <c r="D499" s="7">
        <v>76.8</v>
      </c>
      <c r="E499" s="7">
        <v>72.37</v>
      </c>
      <c r="F499" s="7" t="s">
        <v>498</v>
      </c>
      <c r="G499" s="8">
        <v>-0.0482</v>
      </c>
    </row>
    <row r="500" spans="1:7">
      <c r="A500" s="6">
        <v>45247</v>
      </c>
      <c r="B500" s="7">
        <v>76.04</v>
      </c>
      <c r="C500" s="7">
        <v>73.11</v>
      </c>
      <c r="D500" s="7">
        <v>76.19</v>
      </c>
      <c r="E500" s="7">
        <v>72.91</v>
      </c>
      <c r="F500" s="7" t="s">
        <v>499</v>
      </c>
      <c r="G500" s="8">
        <v>0.0404</v>
      </c>
    </row>
    <row r="501" spans="1:7">
      <c r="A501" s="6">
        <v>45250</v>
      </c>
      <c r="B501" s="7">
        <v>77.83</v>
      </c>
      <c r="C501" s="7">
        <v>75.8</v>
      </c>
      <c r="D501" s="7">
        <v>78.46</v>
      </c>
      <c r="E501" s="7">
        <v>75.41</v>
      </c>
      <c r="F501" s="7" t="s">
        <v>500</v>
      </c>
      <c r="G501" s="8">
        <v>0.0235</v>
      </c>
    </row>
    <row r="502" spans="1:7">
      <c r="A502" s="6">
        <v>45251</v>
      </c>
      <c r="B502" s="7">
        <v>77.92</v>
      </c>
      <c r="C502" s="7">
        <v>77.69</v>
      </c>
      <c r="D502" s="7">
        <v>78.04</v>
      </c>
      <c r="E502" s="7">
        <v>77.04</v>
      </c>
      <c r="F502" s="7" t="s">
        <v>501</v>
      </c>
      <c r="G502" s="8">
        <v>0.0012</v>
      </c>
    </row>
    <row r="503" spans="1:7">
      <c r="A503" s="6">
        <v>45252</v>
      </c>
      <c r="B503" s="7">
        <v>77.25</v>
      </c>
      <c r="C503" s="7">
        <v>77.92</v>
      </c>
      <c r="D503" s="7">
        <v>78.11</v>
      </c>
      <c r="E503" s="7">
        <v>73.98</v>
      </c>
      <c r="F503" s="7" t="s">
        <v>502</v>
      </c>
      <c r="G503" s="8">
        <v>-0.0086</v>
      </c>
    </row>
    <row r="504" spans="1:7">
      <c r="A504" s="6">
        <v>45253</v>
      </c>
      <c r="B504" s="7">
        <v>76.34</v>
      </c>
      <c r="C504" s="7">
        <v>76.69</v>
      </c>
      <c r="D504" s="7">
        <v>76.81</v>
      </c>
      <c r="E504" s="7">
        <v>75.31</v>
      </c>
      <c r="G504" s="8">
        <v>-0.0118</v>
      </c>
    </row>
    <row r="505" spans="1:7">
      <c r="A505" s="6">
        <v>45254</v>
      </c>
      <c r="B505" s="7">
        <v>75.77</v>
      </c>
      <c r="C505" s="7">
        <v>76.94</v>
      </c>
      <c r="D505" s="7">
        <v>77.25</v>
      </c>
      <c r="E505" s="7">
        <v>75.32</v>
      </c>
      <c r="F505" s="7" t="s">
        <v>503</v>
      </c>
      <c r="G505" s="8">
        <v>-0.0075</v>
      </c>
    </row>
    <row r="506" spans="1:7">
      <c r="A506" s="6">
        <v>45257</v>
      </c>
      <c r="B506" s="7">
        <v>75.09</v>
      </c>
      <c r="C506" s="7">
        <v>75.57</v>
      </c>
      <c r="D506" s="7">
        <v>76.42</v>
      </c>
      <c r="E506" s="7">
        <v>74.35</v>
      </c>
      <c r="F506" s="7" t="s">
        <v>504</v>
      </c>
      <c r="G506" s="8">
        <v>-0.009</v>
      </c>
    </row>
    <row r="507" spans="1:7">
      <c r="A507" s="6">
        <v>45258</v>
      </c>
      <c r="B507" s="7">
        <v>76.59</v>
      </c>
      <c r="C507" s="7">
        <v>75.32</v>
      </c>
      <c r="D507" s="7">
        <v>77.13</v>
      </c>
      <c r="E507" s="7">
        <v>74.88</v>
      </c>
      <c r="F507" s="7" t="s">
        <v>505</v>
      </c>
      <c r="G507" s="8">
        <v>0.02</v>
      </c>
    </row>
    <row r="508" spans="1:7">
      <c r="A508" s="6">
        <v>45259</v>
      </c>
      <c r="B508" s="7">
        <v>77.99</v>
      </c>
      <c r="C508" s="7">
        <v>76.67</v>
      </c>
      <c r="D508" s="7">
        <v>78.18</v>
      </c>
      <c r="E508" s="7">
        <v>75.87</v>
      </c>
      <c r="F508" s="7" t="s">
        <v>506</v>
      </c>
      <c r="G508" s="8">
        <v>0.0183</v>
      </c>
    </row>
    <row r="509" spans="1:7">
      <c r="A509" s="6">
        <v>45260</v>
      </c>
      <c r="B509" s="7">
        <v>76.05</v>
      </c>
      <c r="C509" s="7">
        <v>77.79</v>
      </c>
      <c r="D509" s="7">
        <v>79.67</v>
      </c>
      <c r="E509" s="7">
        <v>75.16</v>
      </c>
      <c r="F509" s="7" t="s">
        <v>507</v>
      </c>
      <c r="G509" s="8">
        <v>-0.0249</v>
      </c>
    </row>
    <row r="510" spans="1:7">
      <c r="A510" s="6">
        <v>45261</v>
      </c>
      <c r="B510" s="7">
        <v>74.25</v>
      </c>
      <c r="C510" s="7">
        <v>75.71</v>
      </c>
      <c r="D510" s="7">
        <v>76.81</v>
      </c>
      <c r="E510" s="7">
        <v>74.13</v>
      </c>
      <c r="F510" s="7" t="s">
        <v>508</v>
      </c>
      <c r="G510" s="8">
        <v>-0.0237</v>
      </c>
    </row>
    <row r="511" spans="1:7">
      <c r="A511" s="6">
        <v>45264</v>
      </c>
      <c r="B511" s="7">
        <v>73.32</v>
      </c>
      <c r="C511" s="7">
        <v>74.76</v>
      </c>
      <c r="D511" s="7">
        <v>75.2</v>
      </c>
      <c r="E511" s="7">
        <v>72.87</v>
      </c>
      <c r="F511" s="7" t="s">
        <v>509</v>
      </c>
      <c r="G511" s="8">
        <v>-0.0125</v>
      </c>
    </row>
    <row r="512" spans="1:7">
      <c r="A512" s="6">
        <v>45265</v>
      </c>
      <c r="B512" s="7">
        <v>72.53</v>
      </c>
      <c r="C512" s="7">
        <v>73.59</v>
      </c>
      <c r="D512" s="7">
        <v>74.34</v>
      </c>
      <c r="E512" s="7">
        <v>72.24</v>
      </c>
      <c r="F512" s="7" t="s">
        <v>510</v>
      </c>
      <c r="G512" s="8">
        <v>-0.0108</v>
      </c>
    </row>
    <row r="513" spans="1:7">
      <c r="A513" s="6">
        <v>45266</v>
      </c>
      <c r="B513" s="7">
        <v>69.65</v>
      </c>
      <c r="C513" s="7">
        <v>72.33</v>
      </c>
      <c r="D513" s="7">
        <v>72.84</v>
      </c>
      <c r="E513" s="7">
        <v>69.39</v>
      </c>
      <c r="F513" s="7" t="s">
        <v>511</v>
      </c>
      <c r="G513" s="8">
        <v>-0.0397</v>
      </c>
    </row>
    <row r="514" spans="1:7">
      <c r="A514" s="6">
        <v>45267</v>
      </c>
      <c r="B514" s="7">
        <v>69.59</v>
      </c>
      <c r="C514" s="7">
        <v>69.57</v>
      </c>
      <c r="D514" s="7">
        <v>70.7</v>
      </c>
      <c r="E514" s="7">
        <v>69.08</v>
      </c>
      <c r="F514" s="7" t="s">
        <v>512</v>
      </c>
      <c r="G514" s="8">
        <v>-0.0009</v>
      </c>
    </row>
    <row r="515" spans="1:7">
      <c r="A515" s="6">
        <v>45268</v>
      </c>
      <c r="B515" s="7">
        <v>71.44</v>
      </c>
      <c r="C515" s="7">
        <v>70</v>
      </c>
      <c r="D515" s="7">
        <v>71.81</v>
      </c>
      <c r="E515" s="7">
        <v>69.75</v>
      </c>
      <c r="F515" s="7" t="s">
        <v>513</v>
      </c>
      <c r="G515" s="8">
        <v>0.0266</v>
      </c>
    </row>
    <row r="516" spans="1:7">
      <c r="A516" s="6">
        <v>45271</v>
      </c>
      <c r="B516" s="7">
        <v>71.56</v>
      </c>
      <c r="C516" s="7">
        <v>71.36</v>
      </c>
      <c r="D516" s="7">
        <v>72.03</v>
      </c>
      <c r="E516" s="7">
        <v>70.61</v>
      </c>
      <c r="F516" s="7" t="s">
        <v>514</v>
      </c>
      <c r="G516" s="8">
        <v>0.0017</v>
      </c>
    </row>
    <row r="517" spans="1:7">
      <c r="A517" s="6">
        <v>45272</v>
      </c>
      <c r="B517" s="7">
        <v>68.85</v>
      </c>
      <c r="C517" s="7">
        <v>71.67</v>
      </c>
      <c r="D517" s="7">
        <v>72.2</v>
      </c>
      <c r="E517" s="7">
        <v>68.49</v>
      </c>
      <c r="F517" s="7" t="s">
        <v>515</v>
      </c>
      <c r="G517" s="8">
        <v>-0.0379</v>
      </c>
    </row>
    <row r="518" spans="1:7">
      <c r="A518" s="6">
        <v>45273</v>
      </c>
      <c r="B518" s="7">
        <v>69.72</v>
      </c>
      <c r="C518" s="7">
        <v>68.99</v>
      </c>
      <c r="D518" s="7">
        <v>70.15</v>
      </c>
      <c r="E518" s="7">
        <v>67.98</v>
      </c>
      <c r="F518" s="7" t="s">
        <v>516</v>
      </c>
      <c r="G518" s="8">
        <v>0.0126</v>
      </c>
    </row>
    <row r="519" spans="1:7">
      <c r="A519" s="6">
        <v>45274</v>
      </c>
      <c r="B519" s="7">
        <v>71.91</v>
      </c>
      <c r="C519" s="7">
        <v>70.08</v>
      </c>
      <c r="D519" s="7">
        <v>72.73</v>
      </c>
      <c r="E519" s="7">
        <v>69.82</v>
      </c>
      <c r="F519" s="7" t="s">
        <v>517</v>
      </c>
      <c r="G519" s="8">
        <v>0.0314</v>
      </c>
    </row>
    <row r="520" spans="1:7">
      <c r="A520" s="6">
        <v>45275</v>
      </c>
      <c r="B520" s="7">
        <v>71.78</v>
      </c>
      <c r="C520" s="7">
        <v>71.91</v>
      </c>
      <c r="D520" s="7">
        <v>72.56</v>
      </c>
      <c r="E520" s="7">
        <v>70.64</v>
      </c>
      <c r="F520" s="7" t="s">
        <v>518</v>
      </c>
      <c r="G520" s="8">
        <v>-0.0018</v>
      </c>
    </row>
    <row r="521" spans="1:7">
      <c r="A521" s="6">
        <v>45278</v>
      </c>
      <c r="B521" s="7">
        <v>72.82</v>
      </c>
      <c r="C521" s="7">
        <v>72.05</v>
      </c>
      <c r="D521" s="7">
        <v>74.61</v>
      </c>
      <c r="E521" s="7">
        <v>70.99</v>
      </c>
      <c r="F521" s="7" t="s">
        <v>519</v>
      </c>
      <c r="G521" s="8">
        <v>0.0145</v>
      </c>
    </row>
    <row r="522" spans="1:7">
      <c r="A522" s="6">
        <v>45279</v>
      </c>
      <c r="B522" s="7">
        <v>73.94</v>
      </c>
      <c r="C522" s="7">
        <v>72.93</v>
      </c>
      <c r="D522" s="7">
        <v>74.45</v>
      </c>
      <c r="E522" s="7">
        <v>72.14</v>
      </c>
      <c r="F522" s="7" t="s">
        <v>520</v>
      </c>
      <c r="G522" s="8">
        <v>0.0154</v>
      </c>
    </row>
    <row r="523" spans="1:7">
      <c r="A523" s="6">
        <v>45280</v>
      </c>
      <c r="B523" s="7">
        <v>74.45</v>
      </c>
      <c r="C523" s="7">
        <v>74.31</v>
      </c>
      <c r="D523" s="7">
        <v>75.56</v>
      </c>
      <c r="E523" s="7">
        <v>73.87</v>
      </c>
      <c r="F523" s="7" t="s">
        <v>521</v>
      </c>
      <c r="G523" s="8">
        <v>0.0069</v>
      </c>
    </row>
    <row r="524" spans="1:7">
      <c r="A524" s="6">
        <v>45281</v>
      </c>
      <c r="B524" s="7">
        <v>74.06</v>
      </c>
      <c r="C524" s="7">
        <v>73.99</v>
      </c>
      <c r="D524" s="7">
        <v>74.78</v>
      </c>
      <c r="E524" s="7">
        <v>72.65</v>
      </c>
      <c r="F524" s="7" t="s">
        <v>522</v>
      </c>
      <c r="G524" s="8">
        <v>-0.0052</v>
      </c>
    </row>
    <row r="525" spans="1:7">
      <c r="A525" s="6">
        <v>45282</v>
      </c>
      <c r="B525" s="7">
        <v>73.73</v>
      </c>
      <c r="C525" s="7">
        <v>74.07</v>
      </c>
      <c r="D525" s="7">
        <v>75.11</v>
      </c>
      <c r="E525" s="7">
        <v>73.55</v>
      </c>
      <c r="F525" s="7" t="s">
        <v>523</v>
      </c>
      <c r="G525" s="8">
        <v>-0.0045</v>
      </c>
    </row>
    <row r="526" spans="1:7">
      <c r="A526" s="6">
        <v>45285</v>
      </c>
      <c r="B526" s="7">
        <v>73.79</v>
      </c>
      <c r="C526" s="7">
        <v>73.49</v>
      </c>
      <c r="D526" s="7">
        <v>73.94</v>
      </c>
      <c r="E526" s="7">
        <v>73.48</v>
      </c>
      <c r="G526" s="8">
        <v>0.0008</v>
      </c>
    </row>
    <row r="527" spans="1:7">
      <c r="A527" s="6">
        <v>45286</v>
      </c>
      <c r="B527" s="7">
        <v>75.71</v>
      </c>
      <c r="C527" s="7">
        <v>73.74</v>
      </c>
      <c r="D527" s="7">
        <v>76.31</v>
      </c>
      <c r="E527" s="7">
        <v>73.32</v>
      </c>
      <c r="F527" s="7" t="s">
        <v>524</v>
      </c>
      <c r="G527" s="8">
        <v>0.026</v>
      </c>
    </row>
    <row r="528" spans="1:7">
      <c r="A528" s="6">
        <v>45287</v>
      </c>
      <c r="B528" s="7">
        <v>74.34</v>
      </c>
      <c r="C528" s="7">
        <v>75.57</v>
      </c>
      <c r="D528" s="7">
        <v>75.81</v>
      </c>
      <c r="E528" s="7">
        <v>74.01</v>
      </c>
      <c r="F528" s="7" t="s">
        <v>525</v>
      </c>
      <c r="G528" s="8">
        <v>-0.0181</v>
      </c>
    </row>
    <row r="529" spans="1:7">
      <c r="A529" s="6">
        <v>45288</v>
      </c>
      <c r="B529" s="7">
        <v>71.97</v>
      </c>
      <c r="C529" s="7">
        <v>74.04</v>
      </c>
      <c r="D529" s="7">
        <v>74.62</v>
      </c>
      <c r="E529" s="7">
        <v>71.92</v>
      </c>
      <c r="F529" s="7" t="s">
        <v>526</v>
      </c>
      <c r="G529" s="8">
        <v>-0.0319</v>
      </c>
    </row>
    <row r="530" spans="1:7">
      <c r="A530" s="6">
        <v>45289</v>
      </c>
      <c r="B530" s="7">
        <v>71.84</v>
      </c>
      <c r="C530" s="7">
        <v>72.15</v>
      </c>
      <c r="D530" s="7">
        <v>72.8</v>
      </c>
      <c r="E530" s="7">
        <v>71.47</v>
      </c>
      <c r="F530" s="7" t="s">
        <v>527</v>
      </c>
      <c r="G530" s="8">
        <v>-0.0018</v>
      </c>
    </row>
    <row r="531" spans="1:7">
      <c r="A531" s="6">
        <v>45292</v>
      </c>
      <c r="B531" s="7">
        <v>71.97</v>
      </c>
      <c r="C531" s="7">
        <v>71.67</v>
      </c>
      <c r="D531" s="7">
        <v>72.24</v>
      </c>
      <c r="E531" s="7">
        <v>71.67</v>
      </c>
      <c r="G531" s="8">
        <v>0.0018</v>
      </c>
    </row>
    <row r="532" spans="1:7">
      <c r="A532" s="6">
        <v>45293</v>
      </c>
      <c r="B532" s="7">
        <v>70.62</v>
      </c>
      <c r="C532" s="7">
        <v>71.9</v>
      </c>
      <c r="D532" s="7">
        <v>73.8</v>
      </c>
      <c r="E532" s="7">
        <v>70.32</v>
      </c>
      <c r="F532" s="7" t="s">
        <v>528</v>
      </c>
      <c r="G532" s="8">
        <v>-0.0188</v>
      </c>
    </row>
    <row r="533" spans="1:7">
      <c r="A533" s="6">
        <v>45294</v>
      </c>
      <c r="B533" s="7">
        <v>72.89</v>
      </c>
      <c r="C533" s="7">
        <v>70.77</v>
      </c>
      <c r="D533" s="7">
        <v>73.36</v>
      </c>
      <c r="E533" s="7">
        <v>69.56</v>
      </c>
      <c r="F533" s="7" t="s">
        <v>529</v>
      </c>
      <c r="G533" s="8">
        <v>0.0321</v>
      </c>
    </row>
    <row r="534" spans="1:7">
      <c r="A534" s="6">
        <v>45295</v>
      </c>
      <c r="B534" s="7">
        <v>72.36</v>
      </c>
      <c r="C534" s="7">
        <v>73.2</v>
      </c>
      <c r="D534" s="7">
        <v>74.12</v>
      </c>
      <c r="E534" s="7">
        <v>71.24</v>
      </c>
      <c r="F534" s="7" t="s">
        <v>530</v>
      </c>
      <c r="G534" s="8">
        <v>-0.0073</v>
      </c>
    </row>
    <row r="535" spans="1:7">
      <c r="A535" s="6">
        <v>45296</v>
      </c>
      <c r="B535" s="7">
        <v>73.86</v>
      </c>
      <c r="C535" s="7">
        <v>72.51</v>
      </c>
      <c r="D535" s="7">
        <v>74.3</v>
      </c>
      <c r="E535" s="7">
        <v>72.35</v>
      </c>
      <c r="F535" s="7" t="s">
        <v>531</v>
      </c>
      <c r="G535" s="8">
        <v>0.0207</v>
      </c>
    </row>
    <row r="536" spans="1:7">
      <c r="A536" s="6">
        <v>45299</v>
      </c>
      <c r="B536" s="7">
        <v>70.92</v>
      </c>
      <c r="C536" s="7">
        <v>73.6</v>
      </c>
      <c r="D536" s="7">
        <v>73.98</v>
      </c>
      <c r="E536" s="7">
        <v>70.25</v>
      </c>
      <c r="F536" s="7" t="s">
        <v>532</v>
      </c>
      <c r="G536" s="8">
        <v>-0.0398</v>
      </c>
    </row>
    <row r="537" spans="1:7">
      <c r="A537" s="6">
        <v>45300</v>
      </c>
      <c r="B537" s="7">
        <v>72.29</v>
      </c>
      <c r="C537" s="7">
        <v>70.92</v>
      </c>
      <c r="D537" s="7">
        <v>72.99</v>
      </c>
      <c r="E537" s="7">
        <v>70.63</v>
      </c>
      <c r="F537" s="7" t="s">
        <v>533</v>
      </c>
      <c r="G537" s="8">
        <v>0.0193</v>
      </c>
    </row>
    <row r="538" spans="1:7">
      <c r="A538" s="6">
        <v>45301</v>
      </c>
      <c r="B538" s="7">
        <v>71.44</v>
      </c>
      <c r="C538" s="7">
        <v>72.2</v>
      </c>
      <c r="D538" s="7">
        <v>73.55</v>
      </c>
      <c r="E538" s="7">
        <v>71.09</v>
      </c>
      <c r="F538" s="7" t="s">
        <v>534</v>
      </c>
      <c r="G538" s="8">
        <v>-0.0118</v>
      </c>
    </row>
    <row r="539" spans="1:7">
      <c r="A539" s="6">
        <v>45302</v>
      </c>
      <c r="B539" s="7">
        <v>72.09</v>
      </c>
      <c r="C539" s="7">
        <v>71.35</v>
      </c>
      <c r="D539" s="7">
        <v>73.81</v>
      </c>
      <c r="E539" s="7">
        <v>71.24</v>
      </c>
      <c r="F539" s="7" t="s">
        <v>535</v>
      </c>
      <c r="G539" s="8">
        <v>0.0091</v>
      </c>
    </row>
    <row r="540" spans="1:7">
      <c r="A540" s="6">
        <v>45303</v>
      </c>
      <c r="B540" s="7">
        <v>72.79</v>
      </c>
      <c r="C540" s="7">
        <v>73.16</v>
      </c>
      <c r="D540" s="7">
        <v>75.28</v>
      </c>
      <c r="E540" s="7">
        <v>72.48</v>
      </c>
      <c r="F540" s="7" t="s">
        <v>536</v>
      </c>
      <c r="G540" s="8">
        <v>0.0097</v>
      </c>
    </row>
    <row r="541" spans="1:7">
      <c r="A541" s="6">
        <v>45306</v>
      </c>
      <c r="B541" s="7">
        <v>72.79</v>
      </c>
      <c r="C541" s="7">
        <v>72.69</v>
      </c>
      <c r="D541" s="7">
        <v>73.09</v>
      </c>
      <c r="E541" s="7">
        <v>71.41</v>
      </c>
      <c r="G541" s="8">
        <v>0</v>
      </c>
    </row>
    <row r="542" spans="1:7">
      <c r="A542" s="6">
        <v>45307</v>
      </c>
      <c r="B542" s="7">
        <v>72.52</v>
      </c>
      <c r="C542" s="7">
        <v>72.73</v>
      </c>
      <c r="D542" s="7">
        <v>73.68</v>
      </c>
      <c r="E542" s="7">
        <v>71.39</v>
      </c>
      <c r="F542" s="7" t="s">
        <v>537</v>
      </c>
      <c r="G542" s="8">
        <v>-0.0037</v>
      </c>
    </row>
    <row r="543" spans="1:7">
      <c r="A543" s="6">
        <v>45308</v>
      </c>
      <c r="B543" s="7">
        <v>72.48</v>
      </c>
      <c r="C543" s="7">
        <v>72.11</v>
      </c>
      <c r="D543" s="7">
        <v>72.86</v>
      </c>
      <c r="E543" s="7">
        <v>70.62</v>
      </c>
      <c r="F543" s="7" t="s">
        <v>538</v>
      </c>
      <c r="G543" s="8">
        <v>-0.0006</v>
      </c>
    </row>
    <row r="544" spans="1:7">
      <c r="A544" s="6">
        <v>45309</v>
      </c>
      <c r="B544" s="7">
        <v>73.95</v>
      </c>
      <c r="C544" s="7">
        <v>72.73</v>
      </c>
      <c r="D544" s="7">
        <v>74.19</v>
      </c>
      <c r="E544" s="7">
        <v>72.1</v>
      </c>
      <c r="F544" s="7" t="s">
        <v>539</v>
      </c>
      <c r="G544" s="8">
        <v>0.0203</v>
      </c>
    </row>
    <row r="545" spans="1:7">
      <c r="A545" s="6">
        <v>45310</v>
      </c>
      <c r="B545" s="7">
        <v>73.25</v>
      </c>
      <c r="C545" s="7">
        <v>73.92</v>
      </c>
      <c r="D545" s="7">
        <v>74.63</v>
      </c>
      <c r="E545" s="7">
        <v>72.99</v>
      </c>
      <c r="F545" s="7" t="s">
        <v>540</v>
      </c>
      <c r="G545" s="8">
        <v>-0.0095</v>
      </c>
    </row>
    <row r="546" spans="1:7">
      <c r="A546" s="6">
        <v>45313</v>
      </c>
      <c r="B546" s="7">
        <v>74.76</v>
      </c>
      <c r="C546" s="7">
        <v>73.6</v>
      </c>
      <c r="D546" s="7">
        <v>75.46</v>
      </c>
      <c r="E546" s="7">
        <v>72.56</v>
      </c>
      <c r="F546" s="7" t="s">
        <v>541</v>
      </c>
      <c r="G546" s="8">
        <v>0.0206</v>
      </c>
    </row>
    <row r="547" spans="1:7">
      <c r="A547" s="6">
        <v>45314</v>
      </c>
      <c r="B547" s="7">
        <v>74.27</v>
      </c>
      <c r="C547" s="7">
        <v>74.62</v>
      </c>
      <c r="D547" s="7">
        <v>75.1</v>
      </c>
      <c r="E547" s="7">
        <v>73.35</v>
      </c>
      <c r="F547" s="7" t="s">
        <v>542</v>
      </c>
      <c r="G547" s="8">
        <v>-0.0066</v>
      </c>
    </row>
    <row r="548" spans="1:7">
      <c r="A548" s="6">
        <v>45315</v>
      </c>
      <c r="B548" s="7">
        <v>74.98</v>
      </c>
      <c r="C548" s="7">
        <v>74.47</v>
      </c>
      <c r="D548" s="7">
        <v>75.7</v>
      </c>
      <c r="E548" s="7">
        <v>73.85</v>
      </c>
      <c r="F548" s="7" t="s">
        <v>543</v>
      </c>
      <c r="G548" s="8">
        <v>0.0096</v>
      </c>
    </row>
    <row r="549" spans="1:7">
      <c r="A549" s="6">
        <v>45316</v>
      </c>
      <c r="B549" s="7">
        <v>77.19</v>
      </c>
      <c r="C549" s="7">
        <v>75.3</v>
      </c>
      <c r="D549" s="7">
        <v>77.32</v>
      </c>
      <c r="E549" s="7">
        <v>75.05</v>
      </c>
      <c r="F549" s="7" t="s">
        <v>544</v>
      </c>
      <c r="G549" s="8">
        <v>0.0295</v>
      </c>
    </row>
    <row r="550" spans="1:7">
      <c r="A550" s="6">
        <v>45317</v>
      </c>
      <c r="B550" s="7">
        <v>77.86</v>
      </c>
      <c r="C550" s="7">
        <v>77.1</v>
      </c>
      <c r="D550" s="7">
        <v>78.09</v>
      </c>
      <c r="E550" s="7">
        <v>75.92</v>
      </c>
      <c r="F550" s="7" t="s">
        <v>545</v>
      </c>
      <c r="G550" s="8">
        <v>0.0087</v>
      </c>
    </row>
    <row r="551" spans="1:7">
      <c r="A551" s="6">
        <v>45320</v>
      </c>
      <c r="B551" s="7">
        <v>76.67</v>
      </c>
      <c r="C551" s="7">
        <v>78.72</v>
      </c>
      <c r="D551" s="7">
        <v>79.09</v>
      </c>
      <c r="E551" s="7">
        <v>76.3</v>
      </c>
      <c r="F551" s="7" t="s">
        <v>546</v>
      </c>
      <c r="G551" s="8">
        <v>-0.0153</v>
      </c>
    </row>
    <row r="552" spans="1:7">
      <c r="A552" s="6">
        <v>45321</v>
      </c>
      <c r="B552" s="7">
        <v>77.65</v>
      </c>
      <c r="C552" s="7">
        <v>76.75</v>
      </c>
      <c r="D552" s="7">
        <v>77.95</v>
      </c>
      <c r="E552" s="7">
        <v>75.73</v>
      </c>
      <c r="F552" s="7" t="s">
        <v>547</v>
      </c>
      <c r="G552" s="8">
        <v>0.0128</v>
      </c>
    </row>
    <row r="553" spans="1:7">
      <c r="A553" s="6">
        <v>45322</v>
      </c>
      <c r="B553" s="7">
        <v>75.71</v>
      </c>
      <c r="C553" s="7">
        <v>77.66</v>
      </c>
      <c r="D553" s="7">
        <v>77.91</v>
      </c>
      <c r="E553" s="7">
        <v>75.38</v>
      </c>
      <c r="F553" s="7" t="s">
        <v>548</v>
      </c>
      <c r="G553" s="8">
        <v>-0.025</v>
      </c>
    </row>
    <row r="554" spans="1:7">
      <c r="A554" s="6">
        <v>45323</v>
      </c>
      <c r="B554" s="7">
        <v>73.79</v>
      </c>
      <c r="C554" s="7">
        <v>75.54</v>
      </c>
      <c r="D554" s="7">
        <v>76.75</v>
      </c>
      <c r="E554" s="7">
        <v>73.68</v>
      </c>
      <c r="F554" s="7" t="s">
        <v>549</v>
      </c>
      <c r="G554" s="8">
        <v>-0.0254</v>
      </c>
    </row>
    <row r="555" spans="1:7">
      <c r="A555" s="6">
        <v>45324</v>
      </c>
      <c r="B555" s="7">
        <v>72.3</v>
      </c>
      <c r="C555" s="7">
        <v>73.9</v>
      </c>
      <c r="D555" s="7">
        <v>74.46</v>
      </c>
      <c r="E555" s="7">
        <v>71.84</v>
      </c>
      <c r="F555" s="7" t="s">
        <v>550</v>
      </c>
      <c r="G555" s="8">
        <v>-0.0202</v>
      </c>
    </row>
    <row r="556" spans="1:7">
      <c r="A556" s="6">
        <v>45327</v>
      </c>
      <c r="B556" s="7">
        <v>72.85</v>
      </c>
      <c r="C556" s="7">
        <v>72.7</v>
      </c>
      <c r="D556" s="7">
        <v>73.3</v>
      </c>
      <c r="E556" s="7">
        <v>71.49</v>
      </c>
      <c r="F556" s="7" t="s">
        <v>551</v>
      </c>
      <c r="G556" s="8">
        <v>0.0076</v>
      </c>
    </row>
    <row r="557" spans="1:7">
      <c r="A557" s="6">
        <v>45328</v>
      </c>
      <c r="B557" s="7">
        <v>73.37</v>
      </c>
      <c r="C557" s="7">
        <v>72.81</v>
      </c>
      <c r="D557" s="7">
        <v>73.88</v>
      </c>
      <c r="E557" s="7">
        <v>72.48</v>
      </c>
      <c r="F557" s="7" t="s">
        <v>552</v>
      </c>
      <c r="G557" s="8">
        <v>0.0071</v>
      </c>
    </row>
    <row r="558" spans="1:7">
      <c r="A558" s="6">
        <v>45329</v>
      </c>
      <c r="B558" s="7">
        <v>73.91</v>
      </c>
      <c r="C558" s="7">
        <v>73.53</v>
      </c>
      <c r="D558" s="7">
        <v>74.25</v>
      </c>
      <c r="E558" s="7">
        <v>73.29</v>
      </c>
      <c r="F558" s="7" t="s">
        <v>553</v>
      </c>
      <c r="G558" s="8">
        <v>0.0074</v>
      </c>
    </row>
    <row r="559" spans="1:7">
      <c r="A559" s="6">
        <v>45330</v>
      </c>
      <c r="B559" s="7">
        <v>76.19</v>
      </c>
      <c r="C559" s="7">
        <v>74.12</v>
      </c>
      <c r="D559" s="7">
        <v>76.49</v>
      </c>
      <c r="E559" s="7">
        <v>73.65</v>
      </c>
      <c r="F559" s="7" t="s">
        <v>554</v>
      </c>
      <c r="G559" s="8">
        <v>0.0308</v>
      </c>
    </row>
    <row r="560" spans="1:7">
      <c r="A560" s="6">
        <v>45331</v>
      </c>
      <c r="B560" s="7">
        <v>76.77</v>
      </c>
      <c r="C560" s="7">
        <v>76.32</v>
      </c>
      <c r="D560" s="7">
        <v>77.17</v>
      </c>
      <c r="E560" s="7">
        <v>75.88</v>
      </c>
      <c r="F560" s="7" t="s">
        <v>555</v>
      </c>
      <c r="G560" s="8">
        <v>0.0076</v>
      </c>
    </row>
    <row r="561" spans="1:7">
      <c r="A561" s="6">
        <v>45334</v>
      </c>
      <c r="B561" s="7">
        <v>76.82</v>
      </c>
      <c r="C561" s="7">
        <v>76.54</v>
      </c>
      <c r="D561" s="7">
        <v>77</v>
      </c>
      <c r="E561" s="7">
        <v>75.49</v>
      </c>
      <c r="F561" s="7" t="s">
        <v>556</v>
      </c>
      <c r="G561" s="8">
        <v>0.0007</v>
      </c>
    </row>
    <row r="562" spans="1:7">
      <c r="A562" s="6">
        <v>45335</v>
      </c>
      <c r="B562" s="7">
        <v>77.56</v>
      </c>
      <c r="C562" s="7">
        <v>76.9</v>
      </c>
      <c r="D562" s="7">
        <v>78.1</v>
      </c>
      <c r="E562" s="7">
        <v>76.77</v>
      </c>
      <c r="F562" s="7" t="s">
        <v>557</v>
      </c>
      <c r="G562" s="8">
        <v>0.0096</v>
      </c>
    </row>
    <row r="563" spans="1:7">
      <c r="A563" s="6">
        <v>45336</v>
      </c>
      <c r="B563" s="7">
        <v>76.36</v>
      </c>
      <c r="C563" s="7">
        <v>77.48</v>
      </c>
      <c r="D563" s="7">
        <v>78.43</v>
      </c>
      <c r="E563" s="7">
        <v>76.12</v>
      </c>
      <c r="F563" s="7" t="s">
        <v>558</v>
      </c>
      <c r="G563" s="8">
        <v>-0.0155</v>
      </c>
    </row>
    <row r="564" spans="1:7">
      <c r="A564" s="6">
        <v>45337</v>
      </c>
      <c r="B564" s="7">
        <v>77.59</v>
      </c>
      <c r="C564" s="7">
        <v>76.33</v>
      </c>
      <c r="D564" s="7">
        <v>78.07</v>
      </c>
      <c r="E564" s="7">
        <v>75.52</v>
      </c>
      <c r="F564" s="7" t="s">
        <v>559</v>
      </c>
      <c r="G564" s="8">
        <v>0.0161</v>
      </c>
    </row>
    <row r="565" spans="1:7">
      <c r="A565" s="6">
        <v>45338</v>
      </c>
      <c r="B565" s="7">
        <v>78.46</v>
      </c>
      <c r="C565" s="7">
        <v>77.63</v>
      </c>
      <c r="D565" s="7">
        <v>78.52</v>
      </c>
      <c r="E565" s="7">
        <v>76.69</v>
      </c>
      <c r="F565" s="7" t="s">
        <v>560</v>
      </c>
      <c r="G565" s="8">
        <v>0.0112</v>
      </c>
    </row>
    <row r="566" spans="1:7">
      <c r="A566" s="6">
        <v>45341</v>
      </c>
      <c r="B566" s="7">
        <v>78.11</v>
      </c>
      <c r="C566" s="7">
        <v>78.16</v>
      </c>
      <c r="D566" s="7">
        <v>78.56</v>
      </c>
      <c r="E566" s="7">
        <v>77.64</v>
      </c>
      <c r="G566" s="8">
        <v>-0.0045</v>
      </c>
    </row>
    <row r="567" spans="1:7">
      <c r="A567" s="6">
        <v>45342</v>
      </c>
      <c r="B567" s="7">
        <v>77.04</v>
      </c>
      <c r="C567" s="7">
        <v>78.34</v>
      </c>
      <c r="D567" s="7">
        <v>78.56</v>
      </c>
      <c r="E567" s="7">
        <v>76.8</v>
      </c>
      <c r="F567" s="7" t="s">
        <v>561</v>
      </c>
      <c r="G567" s="8">
        <v>-0.0137</v>
      </c>
    </row>
    <row r="568" spans="1:7">
      <c r="A568" s="6">
        <v>45343</v>
      </c>
      <c r="B568" s="7">
        <v>77.31</v>
      </c>
      <c r="C568" s="7">
        <v>76.74</v>
      </c>
      <c r="D568" s="7">
        <v>77.45</v>
      </c>
      <c r="E568" s="7">
        <v>75.95</v>
      </c>
      <c r="F568" s="7" t="s">
        <v>562</v>
      </c>
      <c r="G568" s="8">
        <v>0.0035</v>
      </c>
    </row>
    <row r="569" spans="1:7">
      <c r="A569" s="6">
        <v>45344</v>
      </c>
      <c r="B569" s="7">
        <v>77.93</v>
      </c>
      <c r="C569" s="7">
        <v>77.46</v>
      </c>
      <c r="D569" s="7">
        <v>78.17</v>
      </c>
      <c r="E569" s="7">
        <v>76.62</v>
      </c>
      <c r="F569" s="7" t="s">
        <v>563</v>
      </c>
      <c r="G569" s="8">
        <v>0.008</v>
      </c>
    </row>
    <row r="570" spans="1:7">
      <c r="A570" s="6">
        <v>45345</v>
      </c>
      <c r="B570" s="7">
        <v>76.08</v>
      </c>
      <c r="C570" s="7">
        <v>77.71</v>
      </c>
      <c r="D570" s="7">
        <v>77.74</v>
      </c>
      <c r="E570" s="7">
        <v>75.89</v>
      </c>
      <c r="F570" s="7" t="s">
        <v>564</v>
      </c>
      <c r="G570" s="8">
        <v>-0.0237</v>
      </c>
    </row>
    <row r="571" spans="1:7">
      <c r="A571" s="6">
        <v>45348</v>
      </c>
      <c r="B571" s="7">
        <v>77.09</v>
      </c>
      <c r="C571" s="7">
        <v>76.04</v>
      </c>
      <c r="D571" s="7">
        <v>77.55</v>
      </c>
      <c r="E571" s="7">
        <v>75.5</v>
      </c>
      <c r="F571" s="7" t="s">
        <v>565</v>
      </c>
      <c r="G571" s="8">
        <v>0.0133</v>
      </c>
    </row>
    <row r="572" spans="1:7">
      <c r="A572" s="6">
        <v>45349</v>
      </c>
      <c r="B572" s="7">
        <v>78.23</v>
      </c>
      <c r="C572" s="7">
        <v>77.11</v>
      </c>
      <c r="D572" s="7">
        <v>78.33</v>
      </c>
      <c r="E572" s="7">
        <v>76.67</v>
      </c>
      <c r="F572" s="7" t="s">
        <v>566</v>
      </c>
      <c r="G572" s="8">
        <v>0.0148</v>
      </c>
    </row>
    <row r="573" spans="1:7">
      <c r="A573" s="6">
        <v>45350</v>
      </c>
      <c r="B573" s="7">
        <v>77.83</v>
      </c>
      <c r="C573" s="7">
        <v>77.88</v>
      </c>
      <c r="D573" s="7">
        <v>78.83</v>
      </c>
      <c r="E573" s="7">
        <v>77.17</v>
      </c>
      <c r="F573" s="7" t="s">
        <v>567</v>
      </c>
      <c r="G573" s="8">
        <v>-0.0051</v>
      </c>
    </row>
    <row r="574" spans="1:7">
      <c r="A574" s="6">
        <v>45351</v>
      </c>
      <c r="B574" s="7">
        <v>77.45</v>
      </c>
      <c r="C574" s="7">
        <v>77.5</v>
      </c>
      <c r="D574" s="7">
        <v>78.35</v>
      </c>
      <c r="E574" s="7">
        <v>77.2</v>
      </c>
      <c r="F574" s="7" t="s">
        <v>568</v>
      </c>
      <c r="G574" s="8">
        <v>-0.0049</v>
      </c>
    </row>
    <row r="575" spans="1:7">
      <c r="A575" s="6">
        <v>45352</v>
      </c>
      <c r="B575" s="7">
        <v>79.09</v>
      </c>
      <c r="C575" s="7">
        <v>77.49</v>
      </c>
      <c r="D575" s="7">
        <v>79.87</v>
      </c>
      <c r="E575" s="7">
        <v>77.3</v>
      </c>
      <c r="F575" s="7" t="s">
        <v>46</v>
      </c>
      <c r="G575" s="8">
        <v>0.0212</v>
      </c>
    </row>
    <row r="576" spans="1:7">
      <c r="A576" s="6">
        <v>45355</v>
      </c>
      <c r="B576" s="7">
        <v>78.17</v>
      </c>
      <c r="C576" s="7">
        <v>79.24</v>
      </c>
      <c r="D576" s="7">
        <v>79.53</v>
      </c>
      <c r="E576" s="7">
        <v>77.93</v>
      </c>
      <c r="F576" s="7" t="s">
        <v>569</v>
      </c>
      <c r="G576" s="8">
        <v>-0.0116</v>
      </c>
    </row>
    <row r="577" spans="1:7">
      <c r="A577" s="6">
        <v>45356</v>
      </c>
      <c r="B577" s="7">
        <v>77.41</v>
      </c>
      <c r="C577" s="7">
        <v>78.19</v>
      </c>
      <c r="D577" s="7">
        <v>78.64</v>
      </c>
      <c r="E577" s="7">
        <v>77.05</v>
      </c>
      <c r="F577" s="7" t="s">
        <v>570</v>
      </c>
      <c r="G577" s="8">
        <v>-0.0097</v>
      </c>
    </row>
    <row r="578" spans="1:7">
      <c r="A578" s="6">
        <v>45357</v>
      </c>
      <c r="B578" s="7">
        <v>78.41</v>
      </c>
      <c r="C578" s="7">
        <v>77.44</v>
      </c>
      <c r="D578" s="7">
        <v>79.69</v>
      </c>
      <c r="E578" s="7">
        <v>77.25</v>
      </c>
      <c r="F578" s="7" t="s">
        <v>571</v>
      </c>
      <c r="G578" s="8">
        <v>0.0129</v>
      </c>
    </row>
    <row r="579" spans="1:7">
      <c r="A579" s="6">
        <v>45358</v>
      </c>
      <c r="B579" s="7">
        <v>78.32</v>
      </c>
      <c r="C579" s="7">
        <v>78.41</v>
      </c>
      <c r="D579" s="7">
        <v>78.89</v>
      </c>
      <c r="E579" s="7">
        <v>77.47</v>
      </c>
      <c r="F579" s="7" t="s">
        <v>572</v>
      </c>
      <c r="G579" s="8">
        <v>-0.0011</v>
      </c>
    </row>
    <row r="580" spans="1:7">
      <c r="A580" s="6">
        <v>45359</v>
      </c>
      <c r="B580" s="7">
        <v>77.5</v>
      </c>
      <c r="C580" s="7">
        <v>78.77</v>
      </c>
      <c r="D580" s="7">
        <v>79.29</v>
      </c>
      <c r="E580" s="7">
        <v>77.05</v>
      </c>
      <c r="F580" s="7" t="s">
        <v>573</v>
      </c>
      <c r="G580" s="8">
        <v>-0.0105</v>
      </c>
    </row>
    <row r="581" spans="1:7">
      <c r="A581" s="6">
        <v>45362</v>
      </c>
      <c r="B581" s="7">
        <v>77.53</v>
      </c>
      <c r="C581" s="7">
        <v>77.24</v>
      </c>
      <c r="D581" s="7">
        <v>78.03</v>
      </c>
      <c r="E581" s="7">
        <v>76.43</v>
      </c>
      <c r="F581" s="7" t="s">
        <v>574</v>
      </c>
      <c r="G581" s="8">
        <v>0.0004</v>
      </c>
    </row>
    <row r="582" spans="1:7">
      <c r="A582" s="6">
        <v>45363</v>
      </c>
      <c r="B582" s="7">
        <v>77.25</v>
      </c>
      <c r="C582" s="7">
        <v>77.71</v>
      </c>
      <c r="D582" s="7">
        <v>78.31</v>
      </c>
      <c r="E582" s="7">
        <v>77.01</v>
      </c>
      <c r="F582" s="7" t="s">
        <v>575</v>
      </c>
      <c r="G582" s="8">
        <v>-0.0036</v>
      </c>
    </row>
    <row r="583" spans="1:7">
      <c r="A583" s="6">
        <v>45364</v>
      </c>
      <c r="B583" s="7">
        <v>79.3</v>
      </c>
      <c r="C583" s="7">
        <v>77.72</v>
      </c>
      <c r="D583" s="7">
        <v>79.46</v>
      </c>
      <c r="E583" s="7">
        <v>77.31</v>
      </c>
      <c r="F583" s="7" t="s">
        <v>576</v>
      </c>
      <c r="G583" s="8">
        <v>0.0265</v>
      </c>
    </row>
    <row r="584" spans="1:7">
      <c r="A584" s="6">
        <v>45365</v>
      </c>
      <c r="B584" s="7">
        <v>80.74</v>
      </c>
      <c r="C584" s="7">
        <v>79.24</v>
      </c>
      <c r="D584" s="7">
        <v>81.03</v>
      </c>
      <c r="E584" s="7">
        <v>79.15</v>
      </c>
      <c r="F584" s="7" t="s">
        <v>577</v>
      </c>
      <c r="G584" s="8">
        <v>0.0182</v>
      </c>
    </row>
    <row r="585" spans="1:7">
      <c r="A585" s="6">
        <v>45366</v>
      </c>
      <c r="B585" s="7">
        <v>80.58</v>
      </c>
      <c r="C585" s="7">
        <v>80.58</v>
      </c>
      <c r="D585" s="7">
        <v>80.89</v>
      </c>
      <c r="E585" s="7">
        <v>80.01</v>
      </c>
      <c r="F585" s="7" t="s">
        <v>578</v>
      </c>
      <c r="G585" s="8">
        <v>-0.002</v>
      </c>
    </row>
    <row r="586" spans="1:7">
      <c r="A586" s="6">
        <v>45369</v>
      </c>
      <c r="B586" s="7">
        <v>82.16</v>
      </c>
      <c r="C586" s="7">
        <v>80.58</v>
      </c>
      <c r="D586" s="7">
        <v>82.5</v>
      </c>
      <c r="E586" s="7">
        <v>80.56</v>
      </c>
      <c r="F586" s="7" t="s">
        <v>579</v>
      </c>
      <c r="G586" s="8">
        <v>0.0196</v>
      </c>
    </row>
    <row r="587" spans="1:7">
      <c r="A587" s="6">
        <v>45370</v>
      </c>
      <c r="B587" s="7">
        <v>82.73</v>
      </c>
      <c r="C587" s="7">
        <v>82.21</v>
      </c>
      <c r="D587" s="7">
        <v>83.12</v>
      </c>
      <c r="E587" s="7">
        <v>81.81</v>
      </c>
      <c r="F587" s="7" t="s">
        <v>580</v>
      </c>
      <c r="G587" s="8">
        <v>0.0069</v>
      </c>
    </row>
    <row r="588" spans="1:7">
      <c r="A588" s="6">
        <v>45371</v>
      </c>
      <c r="B588" s="7">
        <v>81.27</v>
      </c>
      <c r="C588" s="7">
        <v>82.53</v>
      </c>
      <c r="D588" s="7">
        <v>82.65</v>
      </c>
      <c r="E588" s="7">
        <v>80.83</v>
      </c>
      <c r="F588" s="7" t="s">
        <v>581</v>
      </c>
      <c r="G588" s="8">
        <v>-0.0176</v>
      </c>
    </row>
    <row r="589" spans="1:7">
      <c r="A589" s="6">
        <v>45372</v>
      </c>
      <c r="B589" s="7">
        <v>80.64</v>
      </c>
      <c r="C589" s="7">
        <v>81</v>
      </c>
      <c r="D589" s="7">
        <v>81.38</v>
      </c>
      <c r="E589" s="7">
        <v>79.91</v>
      </c>
      <c r="F589" s="7" t="s">
        <v>582</v>
      </c>
      <c r="G589" s="8">
        <v>-0.0078</v>
      </c>
    </row>
    <row r="590" spans="1:7">
      <c r="A590" s="6">
        <v>45373</v>
      </c>
      <c r="B590" s="7">
        <v>80.17</v>
      </c>
      <c r="C590" s="7">
        <v>80.39</v>
      </c>
      <c r="D590" s="7">
        <v>80.97</v>
      </c>
      <c r="E590" s="7">
        <v>79.99</v>
      </c>
      <c r="F590" s="7" t="s">
        <v>583</v>
      </c>
      <c r="G590" s="8">
        <v>-0.0058</v>
      </c>
    </row>
    <row r="591" spans="1:7">
      <c r="A591" s="6">
        <v>45376</v>
      </c>
      <c r="B591" s="7">
        <v>81.38</v>
      </c>
      <c r="C591" s="7">
        <v>80.4</v>
      </c>
      <c r="D591" s="7">
        <v>81.84</v>
      </c>
      <c r="E591" s="7">
        <v>80.13</v>
      </c>
      <c r="F591" s="7" t="s">
        <v>584</v>
      </c>
      <c r="G591" s="8">
        <v>0.0151</v>
      </c>
    </row>
    <row r="592" spans="1:7">
      <c r="A592" s="6">
        <v>45377</v>
      </c>
      <c r="B592" s="7">
        <v>81.04</v>
      </c>
      <c r="C592" s="7">
        <v>81.44</v>
      </c>
      <c r="D592" s="7">
        <v>81.77</v>
      </c>
      <c r="E592" s="7">
        <v>80.63</v>
      </c>
      <c r="F592" s="7" t="s">
        <v>585</v>
      </c>
      <c r="G592" s="8">
        <v>-0.0042</v>
      </c>
    </row>
    <row r="593" spans="1:7">
      <c r="A593" s="6">
        <v>45378</v>
      </c>
      <c r="B593" s="7">
        <v>80.78</v>
      </c>
      <c r="C593" s="7">
        <v>80.71</v>
      </c>
      <c r="D593" s="7">
        <v>81.12</v>
      </c>
      <c r="E593" s="7">
        <v>79.99</v>
      </c>
      <c r="F593" s="7" t="s">
        <v>586</v>
      </c>
      <c r="G593" s="8">
        <v>-0.0032</v>
      </c>
    </row>
    <row r="594" spans="1:7">
      <c r="A594" s="6">
        <v>45379</v>
      </c>
      <c r="B594" s="7">
        <v>82.42</v>
      </c>
      <c r="C594" s="7">
        <v>81.11</v>
      </c>
      <c r="D594" s="7">
        <v>82.46</v>
      </c>
      <c r="E594" s="7">
        <v>80.91</v>
      </c>
      <c r="F594" s="7" t="s">
        <v>587</v>
      </c>
      <c r="G594" s="8">
        <v>0.0203</v>
      </c>
    </row>
    <row r="595" spans="1:7">
      <c r="A595" s="6">
        <v>45383</v>
      </c>
      <c r="B595" s="7">
        <v>82.82</v>
      </c>
      <c r="C595" s="7">
        <v>82.36</v>
      </c>
      <c r="D595" s="7">
        <v>83.46</v>
      </c>
      <c r="E595" s="7">
        <v>81.84</v>
      </c>
      <c r="F595" s="7" t="s">
        <v>588</v>
      </c>
      <c r="G595" s="8">
        <v>0.0049</v>
      </c>
    </row>
    <row r="596" spans="1:7">
      <c r="A596" s="6">
        <v>45384</v>
      </c>
      <c r="B596" s="7">
        <v>84.22</v>
      </c>
      <c r="C596" s="7">
        <v>83.14</v>
      </c>
      <c r="D596" s="7">
        <v>84.56</v>
      </c>
      <c r="E596" s="7">
        <v>82.96</v>
      </c>
      <c r="F596" s="7" t="s">
        <v>589</v>
      </c>
      <c r="G596" s="8">
        <v>0.0169</v>
      </c>
    </row>
    <row r="597" spans="1:7">
      <c r="A597" s="6">
        <v>45385</v>
      </c>
      <c r="B597" s="7">
        <v>84.61</v>
      </c>
      <c r="C597" s="7">
        <v>84.54</v>
      </c>
      <c r="D597" s="7">
        <v>85.27</v>
      </c>
      <c r="E597" s="7">
        <v>83.99</v>
      </c>
      <c r="F597" s="7" t="s">
        <v>590</v>
      </c>
      <c r="G597" s="8">
        <v>0.0046</v>
      </c>
    </row>
    <row r="598" spans="1:7">
      <c r="A598" s="6">
        <v>45386</v>
      </c>
      <c r="B598" s="7">
        <v>85.81</v>
      </c>
      <c r="C598" s="7">
        <v>84.82</v>
      </c>
      <c r="D598" s="7">
        <v>86.41</v>
      </c>
      <c r="E598" s="7">
        <v>83.94</v>
      </c>
      <c r="F598" s="7" t="s">
        <v>591</v>
      </c>
      <c r="G598" s="8">
        <v>0.0142</v>
      </c>
    </row>
    <row r="599" spans="1:7">
      <c r="A599" s="6">
        <v>45387</v>
      </c>
      <c r="B599" s="7">
        <v>86.1</v>
      </c>
      <c r="C599" s="7">
        <v>85.98</v>
      </c>
      <c r="D599" s="7">
        <v>86.83</v>
      </c>
      <c r="E599" s="7">
        <v>85.62</v>
      </c>
      <c r="F599" s="7" t="s">
        <v>592</v>
      </c>
      <c r="G599" s="8">
        <v>0.0034</v>
      </c>
    </row>
    <row r="600" spans="1:7">
      <c r="A600" s="6">
        <v>45390</v>
      </c>
      <c r="B600" s="7">
        <v>85.53</v>
      </c>
      <c r="C600" s="7">
        <v>85.19</v>
      </c>
      <c r="D600" s="7">
        <v>86.21</v>
      </c>
      <c r="E600" s="7">
        <v>83.93</v>
      </c>
      <c r="F600" s="7" t="s">
        <v>593</v>
      </c>
      <c r="G600" s="8">
        <v>-0.0066</v>
      </c>
    </row>
    <row r="601" spans="1:7">
      <c r="A601" s="6">
        <v>45391</v>
      </c>
      <c r="B601" s="7">
        <v>84.46</v>
      </c>
      <c r="C601" s="7">
        <v>85.69</v>
      </c>
      <c r="D601" s="7">
        <v>86.07</v>
      </c>
      <c r="E601" s="7">
        <v>84.29</v>
      </c>
      <c r="F601" s="7" t="s">
        <v>594</v>
      </c>
      <c r="G601" s="8">
        <v>-0.0125</v>
      </c>
    </row>
    <row r="602" spans="1:7">
      <c r="A602" s="6">
        <v>45392</v>
      </c>
      <c r="B602" s="7">
        <v>85.44</v>
      </c>
      <c r="C602" s="7">
        <v>84.57</v>
      </c>
      <c r="D602" s="7">
        <v>85.6</v>
      </c>
      <c r="E602" s="7">
        <v>83.86</v>
      </c>
      <c r="F602" s="7" t="s">
        <v>595</v>
      </c>
      <c r="G602" s="8">
        <v>0.0116</v>
      </c>
    </row>
    <row r="603" spans="1:7">
      <c r="A603" s="6">
        <v>45393</v>
      </c>
      <c r="B603" s="7">
        <v>84.45</v>
      </c>
      <c r="C603" s="7">
        <v>85.6</v>
      </c>
      <c r="D603" s="7">
        <v>85.89</v>
      </c>
      <c r="E603" s="7">
        <v>84.25</v>
      </c>
      <c r="F603" s="7" t="s">
        <v>596</v>
      </c>
      <c r="G603" s="8">
        <v>-0.0116</v>
      </c>
    </row>
    <row r="604" spans="1:7">
      <c r="A604" s="6">
        <v>45394</v>
      </c>
      <c r="B604" s="7">
        <v>85.08</v>
      </c>
      <c r="C604" s="7">
        <v>85</v>
      </c>
      <c r="D604" s="7">
        <v>86.97</v>
      </c>
      <c r="E604" s="7">
        <v>84.67</v>
      </c>
      <c r="F604" s="7" t="s">
        <v>597</v>
      </c>
      <c r="G604" s="8">
        <v>0.0075</v>
      </c>
    </row>
    <row r="605" spans="1:7">
      <c r="A605" s="6">
        <v>45397</v>
      </c>
      <c r="B605" s="7">
        <v>84.86</v>
      </c>
      <c r="C605" s="7">
        <v>84.99</v>
      </c>
      <c r="D605" s="7">
        <v>85.5</v>
      </c>
      <c r="E605" s="7">
        <v>83.49</v>
      </c>
      <c r="F605" s="7" t="s">
        <v>598</v>
      </c>
      <c r="G605" s="8">
        <v>-0.0026</v>
      </c>
    </row>
    <row r="606" spans="1:7">
      <c r="A606" s="6">
        <v>45398</v>
      </c>
      <c r="B606" s="7">
        <v>84.83</v>
      </c>
      <c r="C606" s="7">
        <v>85.16</v>
      </c>
      <c r="D606" s="7">
        <v>85.6</v>
      </c>
      <c r="E606" s="7">
        <v>84.22</v>
      </c>
      <c r="F606" s="7" t="s">
        <v>599</v>
      </c>
      <c r="G606" s="8">
        <v>-0.0004</v>
      </c>
    </row>
    <row r="607" spans="1:7">
      <c r="A607" s="6">
        <v>45399</v>
      </c>
      <c r="B607" s="7">
        <v>82.15</v>
      </c>
      <c r="C607" s="7">
        <v>84.82</v>
      </c>
      <c r="D607" s="7">
        <v>84.97</v>
      </c>
      <c r="E607" s="7">
        <v>82.01</v>
      </c>
      <c r="F607" s="7" t="s">
        <v>600</v>
      </c>
      <c r="G607" s="8">
        <v>-0.0316</v>
      </c>
    </row>
    <row r="608" spans="1:7">
      <c r="A608" s="6">
        <v>45400</v>
      </c>
      <c r="B608" s="7">
        <v>82.1</v>
      </c>
      <c r="C608" s="7">
        <v>82.28</v>
      </c>
      <c r="D608" s="7">
        <v>82.84</v>
      </c>
      <c r="E608" s="7">
        <v>81.06</v>
      </c>
      <c r="F608" s="7" t="s">
        <v>601</v>
      </c>
      <c r="G608" s="8">
        <v>-0.0006</v>
      </c>
    </row>
    <row r="609" spans="1:7">
      <c r="A609" s="6">
        <v>45401</v>
      </c>
      <c r="B609" s="7">
        <v>82.22</v>
      </c>
      <c r="C609" s="7">
        <v>81.99</v>
      </c>
      <c r="D609" s="7">
        <v>85.64</v>
      </c>
      <c r="E609" s="7">
        <v>81.13</v>
      </c>
      <c r="F609" s="7" t="s">
        <v>602</v>
      </c>
      <c r="G609" s="8">
        <v>0.0015</v>
      </c>
    </row>
    <row r="610" spans="1:7">
      <c r="A610" s="6">
        <v>45404</v>
      </c>
      <c r="B610" s="7">
        <v>81.9</v>
      </c>
      <c r="C610" s="7">
        <v>81.84</v>
      </c>
      <c r="D610" s="7">
        <v>82.29</v>
      </c>
      <c r="E610" s="7">
        <v>80.7</v>
      </c>
      <c r="F610" s="7" t="s">
        <v>603</v>
      </c>
      <c r="G610" s="8">
        <v>-0.0039</v>
      </c>
    </row>
    <row r="611" spans="1:7">
      <c r="A611" s="6">
        <v>45405</v>
      </c>
      <c r="B611" s="7">
        <v>82.56</v>
      </c>
      <c r="C611" s="7">
        <v>81.43</v>
      </c>
      <c r="D611" s="7">
        <v>82.62</v>
      </c>
      <c r="E611" s="7">
        <v>80.25</v>
      </c>
      <c r="F611" s="7" t="s">
        <v>604</v>
      </c>
      <c r="G611" s="8">
        <v>0.0081</v>
      </c>
    </row>
    <row r="612" spans="1:7">
      <c r="A612" s="6">
        <v>45406</v>
      </c>
      <c r="B612" s="7">
        <v>82.09</v>
      </c>
      <c r="C612" s="7">
        <v>82.6</v>
      </c>
      <c r="D612" s="7">
        <v>82.9</v>
      </c>
      <c r="E612" s="7">
        <v>81.71</v>
      </c>
      <c r="F612" s="7" t="s">
        <v>605</v>
      </c>
      <c r="G612" s="8">
        <v>-0.0057</v>
      </c>
    </row>
    <row r="613" spans="1:7">
      <c r="A613" s="6">
        <v>45407</v>
      </c>
      <c r="B613" s="7">
        <v>82.75</v>
      </c>
      <c r="C613" s="7">
        <v>82.09</v>
      </c>
      <c r="D613" s="7">
        <v>83</v>
      </c>
      <c r="E613" s="7">
        <v>81.27</v>
      </c>
      <c r="F613" s="7" t="s">
        <v>606</v>
      </c>
      <c r="G613" s="8">
        <v>0.008</v>
      </c>
    </row>
    <row r="614" spans="1:7">
      <c r="A614" s="6">
        <v>45408</v>
      </c>
      <c r="B614" s="7">
        <v>83.13</v>
      </c>
      <c r="C614" s="7">
        <v>82.97</v>
      </c>
      <c r="D614" s="7">
        <v>83.63</v>
      </c>
      <c r="E614" s="7">
        <v>82.59</v>
      </c>
      <c r="F614" s="7" t="s">
        <v>607</v>
      </c>
      <c r="G614" s="8">
        <v>0.0046</v>
      </c>
    </row>
    <row r="615" spans="1:7">
      <c r="A615" s="6">
        <v>45411</v>
      </c>
      <c r="B615" s="7">
        <v>82.03</v>
      </c>
      <c r="C615" s="7">
        <v>82.99</v>
      </c>
      <c r="D615" s="7">
        <v>83.19</v>
      </c>
      <c r="E615" s="7">
        <v>81.81</v>
      </c>
      <c r="F615" s="7" t="s">
        <v>608</v>
      </c>
      <c r="G615" s="8">
        <v>-0.0132</v>
      </c>
    </row>
    <row r="616" spans="1:7">
      <c r="A616" s="6">
        <v>45412</v>
      </c>
      <c r="B616" s="7">
        <v>81.28</v>
      </c>
      <c r="C616" s="7">
        <v>82.16</v>
      </c>
      <c r="D616" s="7">
        <v>82.65</v>
      </c>
      <c r="E616" s="7">
        <v>80.34</v>
      </c>
      <c r="F616" s="7" t="s">
        <v>609</v>
      </c>
      <c r="G616" s="8">
        <v>-0.0091</v>
      </c>
    </row>
    <row r="617" spans="1:7">
      <c r="A617" s="6">
        <v>45413</v>
      </c>
      <c r="B617" s="7">
        <v>78.44</v>
      </c>
      <c r="C617" s="7">
        <v>80.86</v>
      </c>
      <c r="D617" s="7">
        <v>80.9</v>
      </c>
      <c r="E617" s="7">
        <v>78.28</v>
      </c>
      <c r="F617" s="7" t="s">
        <v>610</v>
      </c>
      <c r="G617" s="8">
        <v>-0.0349</v>
      </c>
    </row>
    <row r="618" spans="1:7">
      <c r="A618" s="6">
        <v>45414</v>
      </c>
      <c r="B618" s="7">
        <v>78.48</v>
      </c>
      <c r="C618" s="7">
        <v>78.6</v>
      </c>
      <c r="D618" s="7">
        <v>79.34</v>
      </c>
      <c r="E618" s="7">
        <v>77.91</v>
      </c>
      <c r="F618" s="7" t="s">
        <v>611</v>
      </c>
      <c r="G618" s="8">
        <v>0.0005</v>
      </c>
    </row>
    <row r="619" spans="1:7">
      <c r="A619" s="6">
        <v>45415</v>
      </c>
      <c r="B619" s="7">
        <v>77.76</v>
      </c>
      <c r="C619" s="7">
        <v>78.61</v>
      </c>
      <c r="D619" s="7">
        <v>79.17</v>
      </c>
      <c r="E619" s="7">
        <v>77.62</v>
      </c>
      <c r="F619" s="7" t="s">
        <v>612</v>
      </c>
      <c r="G619" s="8">
        <v>-0.0092</v>
      </c>
    </row>
    <row r="620" spans="1:7">
      <c r="A620" s="6">
        <v>45418</v>
      </c>
      <c r="B620" s="7">
        <v>78.14</v>
      </c>
      <c r="C620" s="7">
        <v>77.88</v>
      </c>
      <c r="D620" s="7">
        <v>78.68</v>
      </c>
      <c r="E620" s="7">
        <v>77.56</v>
      </c>
      <c r="F620" s="7" t="s">
        <v>613</v>
      </c>
      <c r="G620" s="8">
        <v>0.0049</v>
      </c>
    </row>
    <row r="621" spans="1:7">
      <c r="A621" s="6">
        <v>45419</v>
      </c>
      <c r="B621" s="7">
        <v>78.06</v>
      </c>
      <c r="C621" s="7">
        <v>78.39</v>
      </c>
      <c r="D621" s="7">
        <v>78.8</v>
      </c>
      <c r="E621" s="7">
        <v>77.29</v>
      </c>
      <c r="F621" s="7" t="s">
        <v>614</v>
      </c>
      <c r="G621" s="8">
        <v>-0.001</v>
      </c>
    </row>
    <row r="622" spans="1:7">
      <c r="A622" s="6">
        <v>45420</v>
      </c>
      <c r="B622" s="7">
        <v>78.56</v>
      </c>
      <c r="C622" s="7">
        <v>77.96</v>
      </c>
      <c r="D622" s="7">
        <v>78.8</v>
      </c>
      <c r="E622" s="7">
        <v>76.63</v>
      </c>
      <c r="F622" s="7" t="s">
        <v>615</v>
      </c>
      <c r="G622" s="8">
        <v>0.0064</v>
      </c>
    </row>
    <row r="623" spans="1:7">
      <c r="A623" s="6">
        <v>45421</v>
      </c>
      <c r="B623" s="7">
        <v>78.8</v>
      </c>
      <c r="C623" s="7">
        <v>78.79</v>
      </c>
      <c r="D623" s="7">
        <v>79.32</v>
      </c>
      <c r="E623" s="7">
        <v>78.46</v>
      </c>
      <c r="F623" s="7" t="s">
        <v>616</v>
      </c>
      <c r="G623" s="8">
        <v>0.0031</v>
      </c>
    </row>
    <row r="624" spans="1:7">
      <c r="A624" s="6">
        <v>45422</v>
      </c>
      <c r="B624" s="7">
        <v>77.84</v>
      </c>
      <c r="C624" s="7">
        <v>79.11</v>
      </c>
      <c r="D624" s="7">
        <v>79.47</v>
      </c>
      <c r="E624" s="7">
        <v>77.73</v>
      </c>
      <c r="F624" s="7" t="s">
        <v>617</v>
      </c>
      <c r="G624" s="8">
        <v>-0.0122</v>
      </c>
    </row>
    <row r="625" spans="1:7">
      <c r="A625" s="6">
        <v>45425</v>
      </c>
      <c r="B625" s="7">
        <v>78.6</v>
      </c>
      <c r="C625" s="7">
        <v>77.76</v>
      </c>
      <c r="D625" s="7">
        <v>78.99</v>
      </c>
      <c r="E625" s="7">
        <v>77.35</v>
      </c>
      <c r="F625" s="7" t="s">
        <v>245</v>
      </c>
      <c r="G625" s="8">
        <v>0.0098</v>
      </c>
    </row>
    <row r="626" spans="1:7">
      <c r="A626" s="6">
        <v>45426</v>
      </c>
      <c r="B626" s="7">
        <v>77.65</v>
      </c>
      <c r="C626" s="7">
        <v>78.72</v>
      </c>
      <c r="D626" s="7">
        <v>78.86</v>
      </c>
      <c r="E626" s="7">
        <v>77.26</v>
      </c>
      <c r="F626" s="7" t="s">
        <v>618</v>
      </c>
      <c r="G626" s="8">
        <v>-0.0121</v>
      </c>
    </row>
    <row r="627" spans="1:7">
      <c r="A627" s="6">
        <v>45427</v>
      </c>
      <c r="B627" s="7">
        <v>78.16</v>
      </c>
      <c r="C627" s="7">
        <v>78.03</v>
      </c>
      <c r="D627" s="7">
        <v>78.43</v>
      </c>
      <c r="E627" s="7">
        <v>76.36</v>
      </c>
      <c r="F627" s="7" t="s">
        <v>619</v>
      </c>
      <c r="G627" s="8">
        <v>0.0066</v>
      </c>
    </row>
    <row r="628" spans="1:7">
      <c r="A628" s="6">
        <v>45428</v>
      </c>
      <c r="B628" s="7">
        <v>78.74</v>
      </c>
      <c r="C628" s="7">
        <v>78.36</v>
      </c>
      <c r="D628" s="7">
        <v>79.3</v>
      </c>
      <c r="E628" s="7">
        <v>77.75</v>
      </c>
      <c r="F628" s="7" t="s">
        <v>620</v>
      </c>
      <c r="G628" s="8">
        <v>0.0074</v>
      </c>
    </row>
    <row r="629" spans="1:7">
      <c r="A629" s="6">
        <v>45429</v>
      </c>
      <c r="B629" s="7">
        <v>79.58</v>
      </c>
      <c r="C629" s="7">
        <v>78.92</v>
      </c>
      <c r="D629" s="7">
        <v>79.66</v>
      </c>
      <c r="E629" s="7">
        <v>78.58</v>
      </c>
      <c r="F629" s="7" t="s">
        <v>621</v>
      </c>
      <c r="G629" s="8">
        <v>0.0107</v>
      </c>
    </row>
    <row r="630" spans="1:7">
      <c r="A630" s="6">
        <v>45432</v>
      </c>
      <c r="B630" s="7">
        <v>79.3</v>
      </c>
      <c r="C630" s="7">
        <v>79.58</v>
      </c>
      <c r="D630" s="7">
        <v>80.11</v>
      </c>
      <c r="E630" s="7">
        <v>78.67</v>
      </c>
      <c r="F630" s="7" t="s">
        <v>622</v>
      </c>
      <c r="G630" s="8">
        <v>-0.0035</v>
      </c>
    </row>
    <row r="631" spans="1:7">
      <c r="A631" s="6">
        <v>45433</v>
      </c>
      <c r="B631" s="7">
        <v>78.66</v>
      </c>
      <c r="C631" s="7">
        <v>79.23</v>
      </c>
      <c r="D631" s="7">
        <v>79.3</v>
      </c>
      <c r="E631" s="7">
        <v>77.65</v>
      </c>
      <c r="F631" s="7" t="s">
        <v>623</v>
      </c>
      <c r="G631" s="8">
        <v>-0.0081</v>
      </c>
    </row>
    <row r="632" spans="1:7">
      <c r="A632" s="6">
        <v>45434</v>
      </c>
      <c r="B632" s="7">
        <v>77.15</v>
      </c>
      <c r="C632" s="7">
        <v>77.9</v>
      </c>
      <c r="D632" s="7">
        <v>78.03</v>
      </c>
      <c r="E632" s="7">
        <v>76.85</v>
      </c>
      <c r="F632" s="7" t="s">
        <v>624</v>
      </c>
      <c r="G632" s="8">
        <v>-0.0192</v>
      </c>
    </row>
    <row r="633" spans="1:7">
      <c r="A633" s="6">
        <v>45435</v>
      </c>
      <c r="B633" s="7">
        <v>76.46</v>
      </c>
      <c r="C633" s="7">
        <v>76.9</v>
      </c>
      <c r="D633" s="7">
        <v>78.21</v>
      </c>
      <c r="E633" s="7">
        <v>76.03</v>
      </c>
      <c r="F633" s="7" t="s">
        <v>625</v>
      </c>
      <c r="G633" s="8">
        <v>-0.0089</v>
      </c>
    </row>
    <row r="634" spans="1:7">
      <c r="A634" s="6">
        <v>45436</v>
      </c>
      <c r="B634" s="7">
        <v>77.23</v>
      </c>
      <c r="C634" s="7">
        <v>76.62</v>
      </c>
      <c r="D634" s="7">
        <v>77.55</v>
      </c>
      <c r="E634" s="7">
        <v>75.75</v>
      </c>
      <c r="F634" s="7" t="s">
        <v>626</v>
      </c>
      <c r="G634" s="8">
        <v>0.0101</v>
      </c>
    </row>
    <row r="635" spans="1:7">
      <c r="A635" s="6">
        <v>45439</v>
      </c>
      <c r="B635" s="7">
        <v>78.65</v>
      </c>
      <c r="C635" s="7">
        <v>77.84</v>
      </c>
      <c r="D635" s="7">
        <v>78.8</v>
      </c>
      <c r="E635" s="7">
        <v>77.75</v>
      </c>
      <c r="G635" s="8">
        <v>0.0184</v>
      </c>
    </row>
    <row r="636" spans="1:7">
      <c r="A636" s="6">
        <v>45440</v>
      </c>
      <c r="B636" s="7">
        <v>79.35</v>
      </c>
      <c r="C636" s="7">
        <v>77.36</v>
      </c>
      <c r="D636" s="7">
        <v>79.79</v>
      </c>
      <c r="E636" s="7">
        <v>77.24</v>
      </c>
      <c r="F636" s="7" t="s">
        <v>627</v>
      </c>
      <c r="G636" s="8">
        <v>0.0089</v>
      </c>
    </row>
    <row r="637" spans="1:7">
      <c r="A637" s="6">
        <v>45441</v>
      </c>
      <c r="B637" s="7">
        <v>78.8</v>
      </c>
      <c r="C637" s="7">
        <v>79.78</v>
      </c>
      <c r="D637" s="7">
        <v>80.11</v>
      </c>
      <c r="E637" s="7">
        <v>78.57</v>
      </c>
      <c r="F637" s="7" t="s">
        <v>628</v>
      </c>
      <c r="G637" s="8">
        <v>-0.0069</v>
      </c>
    </row>
    <row r="638" spans="1:7">
      <c r="A638" s="6">
        <v>45442</v>
      </c>
      <c r="B638" s="7">
        <v>77.54</v>
      </c>
      <c r="C638" s="7">
        <v>78.87</v>
      </c>
      <c r="D638" s="7">
        <v>78.97</v>
      </c>
      <c r="E638" s="7">
        <v>77.3</v>
      </c>
      <c r="F638" s="7" t="s">
        <v>629</v>
      </c>
      <c r="G638" s="8">
        <v>-0.016</v>
      </c>
    </row>
    <row r="639" spans="1:7">
      <c r="A639" s="6">
        <v>45443</v>
      </c>
      <c r="B639" s="7">
        <v>76.73</v>
      </c>
      <c r="C639" s="7">
        <v>77.5</v>
      </c>
      <c r="D639" s="7">
        <v>78.27</v>
      </c>
      <c r="E639" s="7">
        <v>76.37</v>
      </c>
      <c r="F639" s="7" t="s">
        <v>630</v>
      </c>
      <c r="G639" s="8">
        <v>-0.0104</v>
      </c>
    </row>
    <row r="640" spans="1:7">
      <c r="A640" s="6">
        <v>45446</v>
      </c>
      <c r="B640" s="7">
        <v>74.09</v>
      </c>
      <c r="C640" s="7">
        <v>76.73</v>
      </c>
      <c r="D640" s="7">
        <v>77.23</v>
      </c>
      <c r="E640" s="7">
        <v>73.84</v>
      </c>
      <c r="F640" s="7" t="s">
        <v>631</v>
      </c>
      <c r="G640" s="8">
        <v>-0.0344</v>
      </c>
    </row>
    <row r="641" spans="1:7">
      <c r="A641" s="6">
        <v>45447</v>
      </c>
      <c r="B641" s="7">
        <v>73.06</v>
      </c>
      <c r="C641" s="7">
        <v>73.89</v>
      </c>
      <c r="D641" s="7">
        <v>73.99</v>
      </c>
      <c r="E641" s="7">
        <v>72.44</v>
      </c>
      <c r="F641" s="7" t="s">
        <v>632</v>
      </c>
      <c r="G641" s="8">
        <v>-0.0139</v>
      </c>
    </row>
    <row r="642" spans="1:7">
      <c r="A642" s="6">
        <v>45448</v>
      </c>
      <c r="B642" s="7">
        <v>73.82</v>
      </c>
      <c r="C642" s="7">
        <v>72.72</v>
      </c>
      <c r="D642" s="7">
        <v>74.07</v>
      </c>
      <c r="E642" s="7">
        <v>72.69</v>
      </c>
      <c r="F642" s="7" t="s">
        <v>633</v>
      </c>
      <c r="G642" s="8">
        <v>0.0104</v>
      </c>
    </row>
    <row r="643" spans="1:7">
      <c r="A643" s="6">
        <v>45449</v>
      </c>
      <c r="B643" s="7">
        <v>75.24</v>
      </c>
      <c r="C643" s="7">
        <v>74.03</v>
      </c>
      <c r="D643" s="7">
        <v>75.47</v>
      </c>
      <c r="E643" s="7">
        <v>73.82</v>
      </c>
      <c r="F643" s="7" t="s">
        <v>634</v>
      </c>
      <c r="G643" s="8">
        <v>0.0192</v>
      </c>
    </row>
    <row r="644" spans="1:7">
      <c r="A644" s="6">
        <v>45450</v>
      </c>
      <c r="B644" s="7">
        <v>75.22</v>
      </c>
      <c r="C644" s="7">
        <v>75.38</v>
      </c>
      <c r="D644" s="7">
        <v>75.9</v>
      </c>
      <c r="E644" s="7">
        <v>74.93</v>
      </c>
      <c r="F644" s="7" t="s">
        <v>635</v>
      </c>
      <c r="G644" s="8">
        <v>-0.0003</v>
      </c>
    </row>
    <row r="645" spans="1:7">
      <c r="A645" s="6">
        <v>45453</v>
      </c>
      <c r="B645" s="7">
        <v>77.33</v>
      </c>
      <c r="C645" s="7">
        <v>74.97</v>
      </c>
      <c r="D645" s="7">
        <v>77.85</v>
      </c>
      <c r="E645" s="7">
        <v>74.94</v>
      </c>
      <c r="F645" s="7" t="s">
        <v>636</v>
      </c>
      <c r="G645" s="8">
        <v>0.0281</v>
      </c>
    </row>
    <row r="646" spans="1:7">
      <c r="A646" s="6">
        <v>45454</v>
      </c>
      <c r="B646" s="7">
        <v>77.55</v>
      </c>
      <c r="C646" s="7">
        <v>77.65</v>
      </c>
      <c r="D646" s="7">
        <v>77.99</v>
      </c>
      <c r="E646" s="7">
        <v>76.86</v>
      </c>
      <c r="F646" s="7" t="s">
        <v>637</v>
      </c>
      <c r="G646" s="8">
        <v>0.0028</v>
      </c>
    </row>
    <row r="647" spans="1:7">
      <c r="A647" s="6">
        <v>45455</v>
      </c>
      <c r="B647" s="7">
        <v>78.15</v>
      </c>
      <c r="C647" s="7">
        <v>77.8</v>
      </c>
      <c r="D647" s="7">
        <v>78.94</v>
      </c>
      <c r="E647" s="7">
        <v>77.56</v>
      </c>
      <c r="F647" s="7" t="s">
        <v>638</v>
      </c>
      <c r="G647" s="8">
        <v>0.0077</v>
      </c>
    </row>
    <row r="648" spans="1:7">
      <c r="A648" s="6">
        <v>45456</v>
      </c>
      <c r="B648" s="7">
        <v>78.26</v>
      </c>
      <c r="C648" s="7">
        <v>78.01</v>
      </c>
      <c r="D648" s="7">
        <v>78.54</v>
      </c>
      <c r="E648" s="7">
        <v>77.35</v>
      </c>
      <c r="F648" s="7" t="s">
        <v>639</v>
      </c>
      <c r="G648" s="8">
        <v>0.0014</v>
      </c>
    </row>
    <row r="649" spans="1:7">
      <c r="A649" s="6">
        <v>45457</v>
      </c>
      <c r="B649" s="7">
        <v>78.05</v>
      </c>
      <c r="C649" s="7">
        <v>77.65</v>
      </c>
      <c r="D649" s="7">
        <v>78.8</v>
      </c>
      <c r="E649" s="7">
        <v>77.42</v>
      </c>
      <c r="F649" s="7" t="s">
        <v>640</v>
      </c>
      <c r="G649" s="8">
        <v>-0.0027</v>
      </c>
    </row>
    <row r="650" spans="1:7">
      <c r="A650" s="6">
        <v>45460</v>
      </c>
      <c r="B650" s="7">
        <v>79.72</v>
      </c>
      <c r="C650" s="7">
        <v>78.12</v>
      </c>
      <c r="D650" s="7">
        <v>80.01</v>
      </c>
      <c r="E650" s="7">
        <v>77.58</v>
      </c>
      <c r="F650" s="7" t="s">
        <v>641</v>
      </c>
      <c r="G650" s="8">
        <v>0.0214</v>
      </c>
    </row>
    <row r="651" spans="1:7">
      <c r="A651" s="6">
        <v>45461</v>
      </c>
      <c r="B651" s="7">
        <v>80.71</v>
      </c>
      <c r="C651" s="7">
        <v>79.92</v>
      </c>
      <c r="D651" s="7">
        <v>80.85</v>
      </c>
      <c r="E651" s="7">
        <v>79.17</v>
      </c>
      <c r="F651" s="7" t="s">
        <v>642</v>
      </c>
      <c r="G651" s="8">
        <v>0.0124</v>
      </c>
    </row>
    <row r="652" spans="1:7">
      <c r="A652" s="6">
        <v>45462</v>
      </c>
      <c r="B652" s="7">
        <v>80.59</v>
      </c>
      <c r="C652" s="7">
        <v>80.78</v>
      </c>
      <c r="D652" s="7">
        <v>81.16</v>
      </c>
      <c r="E652" s="7">
        <v>80.31</v>
      </c>
      <c r="G652" s="8">
        <v>-0.0015</v>
      </c>
    </row>
    <row r="653" spans="1:7">
      <c r="A653" s="6">
        <v>45463</v>
      </c>
      <c r="B653" s="7">
        <v>81.29</v>
      </c>
      <c r="C653" s="7">
        <v>80.75</v>
      </c>
      <c r="D653" s="7">
        <v>81.52</v>
      </c>
      <c r="E653" s="7">
        <v>80.3</v>
      </c>
      <c r="F653" s="7" t="s">
        <v>643</v>
      </c>
      <c r="G653" s="8">
        <v>0.0087</v>
      </c>
    </row>
    <row r="654" spans="1:7">
      <c r="A654" s="6">
        <v>45464</v>
      </c>
      <c r="B654" s="7">
        <v>79.96</v>
      </c>
      <c r="C654" s="7">
        <v>80.44</v>
      </c>
      <c r="D654" s="7">
        <v>80.94</v>
      </c>
      <c r="E654" s="7">
        <v>79.59</v>
      </c>
      <c r="F654" s="7" t="s">
        <v>644</v>
      </c>
      <c r="G654" s="8">
        <v>-0.0164</v>
      </c>
    </row>
    <row r="655" spans="1:7">
      <c r="A655" s="6">
        <v>45467</v>
      </c>
      <c r="B655" s="7">
        <v>80.86</v>
      </c>
      <c r="C655" s="7">
        <v>79.77</v>
      </c>
      <c r="D655" s="7">
        <v>80.99</v>
      </c>
      <c r="E655" s="7">
        <v>79.52</v>
      </c>
      <c r="F655" s="7" t="s">
        <v>645</v>
      </c>
      <c r="G655" s="8">
        <v>0.0113</v>
      </c>
    </row>
    <row r="656" spans="1:7">
      <c r="A656" s="6">
        <v>45468</v>
      </c>
      <c r="B656" s="7">
        <v>80.07</v>
      </c>
      <c r="C656" s="7">
        <v>80.97</v>
      </c>
      <c r="D656" s="7">
        <v>81.12</v>
      </c>
      <c r="E656" s="7">
        <v>79.8</v>
      </c>
      <c r="F656" s="7" t="s">
        <v>646</v>
      </c>
      <c r="G656" s="8">
        <v>-0.0098</v>
      </c>
    </row>
    <row r="657" spans="1:7">
      <c r="A657" s="6">
        <v>45469</v>
      </c>
      <c r="B657" s="7">
        <v>80.19</v>
      </c>
      <c r="C657" s="7">
        <v>79.97</v>
      </c>
      <c r="D657" s="7">
        <v>80.85</v>
      </c>
      <c r="E657" s="7">
        <v>79.5</v>
      </c>
      <c r="F657" s="7" t="s">
        <v>647</v>
      </c>
      <c r="G657" s="8">
        <v>0.0015</v>
      </c>
    </row>
    <row r="658" spans="1:7">
      <c r="A658" s="6">
        <v>45470</v>
      </c>
      <c r="B658" s="7">
        <v>80.83</v>
      </c>
      <c r="C658" s="7">
        <v>80.14</v>
      </c>
      <c r="D658" s="7">
        <v>81.21</v>
      </c>
      <c r="E658" s="7">
        <v>79.81</v>
      </c>
      <c r="F658" s="7" t="s">
        <v>648</v>
      </c>
      <c r="G658" s="8">
        <v>0.008</v>
      </c>
    </row>
    <row r="659" spans="1:7">
      <c r="A659" s="6">
        <v>45471</v>
      </c>
      <c r="B659" s="7">
        <v>80.64</v>
      </c>
      <c r="C659" s="7">
        <v>80.96</v>
      </c>
      <c r="D659" s="7">
        <v>81.78</v>
      </c>
      <c r="E659" s="7">
        <v>80.15</v>
      </c>
      <c r="F659" s="7" t="s">
        <v>649</v>
      </c>
      <c r="G659" s="8">
        <v>-0.0024</v>
      </c>
    </row>
    <row r="660" spans="1:7">
      <c r="A660" s="6">
        <v>45474</v>
      </c>
      <c r="B660" s="7">
        <v>82.32</v>
      </c>
      <c r="C660" s="7">
        <v>80.56</v>
      </c>
      <c r="D660" s="7">
        <v>82.58</v>
      </c>
      <c r="E660" s="7">
        <v>80.49</v>
      </c>
      <c r="F660" s="7" t="s">
        <v>650</v>
      </c>
      <c r="G660" s="8">
        <v>0.0208</v>
      </c>
    </row>
    <row r="661" spans="1:7">
      <c r="A661" s="6">
        <v>45475</v>
      </c>
      <c r="B661" s="7">
        <v>81.91</v>
      </c>
      <c r="C661" s="7">
        <v>82.39</v>
      </c>
      <c r="D661" s="7">
        <v>83.22</v>
      </c>
      <c r="E661" s="7">
        <v>81.83</v>
      </c>
      <c r="F661" s="7" t="s">
        <v>651</v>
      </c>
      <c r="G661" s="8">
        <v>-0.005</v>
      </c>
    </row>
    <row r="662" spans="1:7">
      <c r="A662" s="6">
        <v>45476</v>
      </c>
      <c r="B662" s="7">
        <v>83.02</v>
      </c>
      <c r="C662" s="7">
        <v>82.25</v>
      </c>
      <c r="D662" s="7">
        <v>83.07</v>
      </c>
      <c r="E662" s="7">
        <v>81.59</v>
      </c>
      <c r="F662" s="7" t="s">
        <v>652</v>
      </c>
      <c r="G662" s="8">
        <v>0.0136</v>
      </c>
    </row>
    <row r="663" spans="1:7">
      <c r="A663" s="6">
        <v>45477</v>
      </c>
      <c r="B663" s="7">
        <v>83.94</v>
      </c>
      <c r="C663" s="7">
        <v>83.61</v>
      </c>
      <c r="D663" s="7">
        <v>84.2</v>
      </c>
      <c r="E663" s="7">
        <v>83.03</v>
      </c>
      <c r="G663" s="8">
        <v>0.0111</v>
      </c>
    </row>
    <row r="664" spans="1:7">
      <c r="A664" s="6">
        <v>45478</v>
      </c>
      <c r="B664" s="7">
        <v>82.26</v>
      </c>
      <c r="C664" s="7">
        <v>82.75</v>
      </c>
      <c r="D664" s="7">
        <v>83.58</v>
      </c>
      <c r="E664" s="7">
        <v>82.19</v>
      </c>
      <c r="F664" s="7" t="s">
        <v>653</v>
      </c>
      <c r="G664" s="8">
        <v>-0.02</v>
      </c>
    </row>
    <row r="665" spans="1:7">
      <c r="A665" s="6">
        <v>45481</v>
      </c>
      <c r="B665" s="7">
        <v>81.52</v>
      </c>
      <c r="C665" s="7">
        <v>82.36</v>
      </c>
      <c r="D665" s="7">
        <v>82.5</v>
      </c>
      <c r="E665" s="7">
        <v>81.29</v>
      </c>
      <c r="F665" s="7" t="s">
        <v>654</v>
      </c>
      <c r="G665" s="8">
        <v>-0.009</v>
      </c>
    </row>
    <row r="666" spans="1:7">
      <c r="A666" s="6">
        <v>45482</v>
      </c>
      <c r="B666" s="7">
        <v>80.56</v>
      </c>
      <c r="C666" s="7">
        <v>81.45</v>
      </c>
      <c r="D666" s="7">
        <v>81.65</v>
      </c>
      <c r="E666" s="7">
        <v>80.42</v>
      </c>
      <c r="F666" s="7" t="s">
        <v>655</v>
      </c>
      <c r="G666" s="8">
        <v>-0.0118</v>
      </c>
    </row>
    <row r="667" spans="1:7">
      <c r="A667" s="6">
        <v>45483</v>
      </c>
      <c r="B667" s="7">
        <v>81.07</v>
      </c>
      <c r="C667" s="7">
        <v>80.92</v>
      </c>
      <c r="D667" s="7">
        <v>81.6</v>
      </c>
      <c r="E667" s="7">
        <v>79.95</v>
      </c>
      <c r="F667" s="7" t="s">
        <v>656</v>
      </c>
      <c r="G667" s="8">
        <v>0.0063</v>
      </c>
    </row>
    <row r="668" spans="1:7">
      <c r="A668" s="6">
        <v>45484</v>
      </c>
      <c r="B668" s="7">
        <v>81.38</v>
      </c>
      <c r="C668" s="7">
        <v>81.35</v>
      </c>
      <c r="D668" s="7">
        <v>81.83</v>
      </c>
      <c r="E668" s="7">
        <v>80.6</v>
      </c>
      <c r="F668" s="7" t="s">
        <v>657</v>
      </c>
      <c r="G668" s="8">
        <v>0.0038</v>
      </c>
    </row>
    <row r="669" spans="1:7">
      <c r="A669" s="6">
        <v>45485</v>
      </c>
      <c r="B669" s="7">
        <v>81.02</v>
      </c>
      <c r="C669" s="7">
        <v>81.55</v>
      </c>
      <c r="D669" s="7">
        <v>82.29</v>
      </c>
      <c r="E669" s="7">
        <v>80.91</v>
      </c>
      <c r="F669" s="7" t="s">
        <v>658</v>
      </c>
      <c r="G669" s="8">
        <v>-0.0044</v>
      </c>
    </row>
    <row r="670" spans="1:7">
      <c r="A670" s="6">
        <v>45488</v>
      </c>
      <c r="B670" s="7">
        <v>80.84</v>
      </c>
      <c r="C670" s="7">
        <v>80.96</v>
      </c>
      <c r="D670" s="7">
        <v>81.35</v>
      </c>
      <c r="E670" s="7">
        <v>80.36</v>
      </c>
      <c r="F670" s="7" t="s">
        <v>659</v>
      </c>
      <c r="G670" s="8">
        <v>-0.0022</v>
      </c>
    </row>
    <row r="671" spans="1:7">
      <c r="A671" s="6">
        <v>45489</v>
      </c>
      <c r="B671" s="7">
        <v>79.71</v>
      </c>
      <c r="C671" s="7">
        <v>80.85</v>
      </c>
      <c r="D671" s="7">
        <v>80.87</v>
      </c>
      <c r="E671" s="7">
        <v>79.22</v>
      </c>
      <c r="F671" s="7" t="s">
        <v>660</v>
      </c>
      <c r="G671" s="8">
        <v>-0.014</v>
      </c>
    </row>
    <row r="672" spans="1:7">
      <c r="A672" s="6">
        <v>45490</v>
      </c>
      <c r="B672" s="7">
        <v>81.44</v>
      </c>
      <c r="C672" s="7">
        <v>79.82</v>
      </c>
      <c r="D672" s="7">
        <v>81.63</v>
      </c>
      <c r="E672" s="7">
        <v>79.43</v>
      </c>
      <c r="F672" s="7" t="s">
        <v>661</v>
      </c>
      <c r="G672" s="8">
        <v>0.0217</v>
      </c>
    </row>
    <row r="673" spans="1:7">
      <c r="A673" s="6">
        <v>45491</v>
      </c>
      <c r="B673" s="7">
        <v>81.3</v>
      </c>
      <c r="C673" s="7">
        <v>81.68</v>
      </c>
      <c r="D673" s="7">
        <v>82.27</v>
      </c>
      <c r="E673" s="7">
        <v>80.61</v>
      </c>
      <c r="F673" s="7" t="s">
        <v>662</v>
      </c>
      <c r="G673" s="8">
        <v>-0.0017</v>
      </c>
    </row>
    <row r="674" spans="1:7">
      <c r="A674" s="6">
        <v>45492</v>
      </c>
      <c r="B674" s="7">
        <v>78.64</v>
      </c>
      <c r="C674" s="7">
        <v>80.88</v>
      </c>
      <c r="D674" s="7">
        <v>81.34</v>
      </c>
      <c r="E674" s="7">
        <v>78.59</v>
      </c>
      <c r="F674" s="7" t="s">
        <v>663</v>
      </c>
      <c r="G674" s="8">
        <v>-0.0327</v>
      </c>
    </row>
    <row r="675" spans="1:7">
      <c r="A675" s="6">
        <v>45495</v>
      </c>
      <c r="B675" s="7">
        <v>78.4</v>
      </c>
      <c r="C675" s="7">
        <v>78.95</v>
      </c>
      <c r="D675" s="7">
        <v>79.13</v>
      </c>
      <c r="E675" s="7">
        <v>77.55</v>
      </c>
      <c r="F675" s="7" t="s">
        <v>664</v>
      </c>
      <c r="G675" s="8">
        <v>-0.0031</v>
      </c>
    </row>
    <row r="676" spans="1:7">
      <c r="A676" s="6">
        <v>45496</v>
      </c>
      <c r="B676" s="7">
        <v>75.92</v>
      </c>
      <c r="C676" s="7">
        <v>77.15</v>
      </c>
      <c r="D676" s="7">
        <v>77.63</v>
      </c>
      <c r="E676" s="7">
        <v>75.45</v>
      </c>
      <c r="F676" s="7" t="s">
        <v>665</v>
      </c>
      <c r="G676" s="8">
        <v>-0.0316</v>
      </c>
    </row>
    <row r="677" spans="1:7">
      <c r="A677" s="6">
        <v>45497</v>
      </c>
      <c r="B677" s="7">
        <v>76.58</v>
      </c>
      <c r="C677" s="7">
        <v>76.35</v>
      </c>
      <c r="D677" s="7">
        <v>77.08</v>
      </c>
      <c r="E677" s="7">
        <v>75.93</v>
      </c>
      <c r="F677" s="7" t="s">
        <v>666</v>
      </c>
      <c r="G677" s="8">
        <v>0.0087</v>
      </c>
    </row>
    <row r="678" spans="1:7">
      <c r="A678" s="6">
        <v>45498</v>
      </c>
      <c r="B678" s="7">
        <v>77.11</v>
      </c>
      <c r="C678" s="7">
        <v>76.43</v>
      </c>
      <c r="D678" s="7">
        <v>77.28</v>
      </c>
      <c r="E678" s="7">
        <v>75.05</v>
      </c>
      <c r="F678" s="7" t="s">
        <v>667</v>
      </c>
      <c r="G678" s="8">
        <v>0.0069</v>
      </c>
    </row>
    <row r="679" spans="1:7">
      <c r="A679" s="6">
        <v>45499</v>
      </c>
      <c r="B679" s="7">
        <v>76</v>
      </c>
      <c r="C679" s="7">
        <v>77.18</v>
      </c>
      <c r="D679" s="7">
        <v>77.41</v>
      </c>
      <c r="E679" s="7">
        <v>75.08</v>
      </c>
      <c r="F679" s="7" t="s">
        <v>668</v>
      </c>
      <c r="G679" s="8">
        <v>-0.0144</v>
      </c>
    </row>
    <row r="680" spans="1:7">
      <c r="A680" s="6">
        <v>45502</v>
      </c>
      <c r="B680" s="7">
        <v>74.8</v>
      </c>
      <c r="C680" s="7">
        <v>76.02</v>
      </c>
      <c r="D680" s="7">
        <v>76.52</v>
      </c>
      <c r="E680" s="7">
        <v>74.34</v>
      </c>
      <c r="F680" s="7" t="s">
        <v>669</v>
      </c>
      <c r="G680" s="8">
        <v>-0.0158</v>
      </c>
    </row>
    <row r="681" spans="1:7">
      <c r="A681" s="6">
        <v>45503</v>
      </c>
      <c r="B681" s="7">
        <v>73.88</v>
      </c>
      <c r="C681" s="7">
        <v>74.87</v>
      </c>
      <c r="D681" s="7">
        <v>74.92</v>
      </c>
      <c r="E681" s="7">
        <v>73.73</v>
      </c>
      <c r="F681" s="7" t="s">
        <v>670</v>
      </c>
      <c r="G681" s="8">
        <v>-0.0123</v>
      </c>
    </row>
    <row r="682" spans="1:7">
      <c r="A682" s="6">
        <v>45504</v>
      </c>
      <c r="B682" s="7">
        <v>76.84</v>
      </c>
      <c r="C682" s="7">
        <v>74.37</v>
      </c>
      <c r="D682" s="7">
        <v>77.54</v>
      </c>
      <c r="E682" s="7">
        <v>74.27</v>
      </c>
      <c r="F682" s="7" t="s">
        <v>671</v>
      </c>
      <c r="G682" s="8">
        <v>0.0401</v>
      </c>
    </row>
    <row r="683" spans="1:7">
      <c r="A683" s="6">
        <v>45505</v>
      </c>
      <c r="B683" s="7">
        <v>75.4</v>
      </c>
      <c r="C683" s="7">
        <v>77.47</v>
      </c>
      <c r="D683" s="7">
        <v>77.72</v>
      </c>
      <c r="E683" s="7">
        <v>75.32</v>
      </c>
      <c r="F683" s="7" t="s">
        <v>672</v>
      </c>
      <c r="G683" s="8">
        <v>-0.0187</v>
      </c>
    </row>
    <row r="684" spans="1:7">
      <c r="A684" s="6">
        <v>45506</v>
      </c>
      <c r="B684" s="7">
        <v>72.59</v>
      </c>
      <c r="C684" s="7">
        <v>75.89</v>
      </c>
      <c r="D684" s="7">
        <v>76.3</v>
      </c>
      <c r="E684" s="7">
        <v>72.12</v>
      </c>
      <c r="F684" s="7" t="s">
        <v>673</v>
      </c>
      <c r="G684" s="8">
        <v>-0.0373</v>
      </c>
    </row>
    <row r="685" spans="1:7">
      <c r="A685" s="6">
        <v>45509</v>
      </c>
      <c r="B685" s="7">
        <v>72.2</v>
      </c>
      <c r="C685" s="7">
        <v>73.26</v>
      </c>
      <c r="D685" s="7">
        <v>73.53</v>
      </c>
      <c r="E685" s="7">
        <v>70.88</v>
      </c>
      <c r="F685" s="7" t="s">
        <v>674</v>
      </c>
      <c r="G685" s="8">
        <v>-0.0054</v>
      </c>
    </row>
    <row r="686" spans="1:7">
      <c r="A686" s="6">
        <v>45510</v>
      </c>
      <c r="B686" s="7">
        <v>72.34</v>
      </c>
      <c r="C686" s="7">
        <v>73.14</v>
      </c>
      <c r="D686" s="7">
        <v>73.77</v>
      </c>
      <c r="E686" s="7">
        <v>71.46</v>
      </c>
      <c r="F686" s="7" t="s">
        <v>675</v>
      </c>
      <c r="G686" s="8">
        <v>0.0019</v>
      </c>
    </row>
    <row r="687" spans="1:7">
      <c r="A687" s="6">
        <v>45511</v>
      </c>
      <c r="B687" s="7">
        <v>74.17</v>
      </c>
      <c r="C687" s="7">
        <v>72</v>
      </c>
      <c r="D687" s="7">
        <v>74.73</v>
      </c>
      <c r="E687" s="7">
        <v>71.75</v>
      </c>
      <c r="F687" s="7" t="s">
        <v>676</v>
      </c>
      <c r="G687" s="8">
        <v>0.0253</v>
      </c>
    </row>
    <row r="688" spans="1:7">
      <c r="A688" s="6">
        <v>45512</v>
      </c>
      <c r="B688" s="7">
        <v>75.04</v>
      </c>
      <c r="C688" s="7">
        <v>74.37</v>
      </c>
      <c r="D688" s="7">
        <v>75.27</v>
      </c>
      <c r="E688" s="7">
        <v>73.53</v>
      </c>
      <c r="F688" s="7" t="s">
        <v>677</v>
      </c>
      <c r="G688" s="8">
        <v>0.0117</v>
      </c>
    </row>
    <row r="689" spans="1:7">
      <c r="A689" s="6">
        <v>45513</v>
      </c>
      <c r="B689" s="7">
        <v>75.61</v>
      </c>
      <c r="C689" s="7">
        <v>74.86</v>
      </c>
      <c r="D689" s="7">
        <v>75.79</v>
      </c>
      <c r="E689" s="7">
        <v>74.7</v>
      </c>
      <c r="F689" s="7" t="s">
        <v>678</v>
      </c>
      <c r="G689" s="8">
        <v>0.0076</v>
      </c>
    </row>
    <row r="690" spans="1:7">
      <c r="A690" s="6">
        <v>45516</v>
      </c>
      <c r="B690" s="7">
        <v>78.46</v>
      </c>
      <c r="C690" s="7">
        <v>75.62</v>
      </c>
      <c r="D690" s="7">
        <v>78.54</v>
      </c>
      <c r="E690" s="7">
        <v>75.44</v>
      </c>
      <c r="F690" s="7" t="s">
        <v>679</v>
      </c>
      <c r="G690" s="8">
        <v>0.0377</v>
      </c>
    </row>
    <row r="691" spans="1:7">
      <c r="A691" s="6">
        <v>45517</v>
      </c>
      <c r="B691" s="7">
        <v>76.8</v>
      </c>
      <c r="C691" s="7">
        <v>78.09</v>
      </c>
      <c r="D691" s="7">
        <v>78.43</v>
      </c>
      <c r="E691" s="7">
        <v>76.65</v>
      </c>
      <c r="F691" s="7" t="s">
        <v>680</v>
      </c>
      <c r="G691" s="8">
        <v>-0.0212</v>
      </c>
    </row>
    <row r="692" spans="1:7">
      <c r="A692" s="6">
        <v>45518</v>
      </c>
      <c r="B692" s="7">
        <v>75.84</v>
      </c>
      <c r="C692" s="7">
        <v>77.1</v>
      </c>
      <c r="D692" s="7">
        <v>77.52</v>
      </c>
      <c r="E692" s="7">
        <v>75.66</v>
      </c>
      <c r="F692" s="7" t="s">
        <v>681</v>
      </c>
      <c r="G692" s="8">
        <v>-0.0125</v>
      </c>
    </row>
    <row r="693" spans="1:7">
      <c r="A693" s="6">
        <v>45519</v>
      </c>
      <c r="B693" s="7">
        <v>76.99</v>
      </c>
      <c r="C693" s="7">
        <v>76.07</v>
      </c>
      <c r="D693" s="7">
        <v>77.38</v>
      </c>
      <c r="E693" s="7">
        <v>75.7</v>
      </c>
      <c r="F693" s="7" t="s">
        <v>682</v>
      </c>
      <c r="G693" s="8">
        <v>0.0152</v>
      </c>
    </row>
    <row r="694" spans="1:7">
      <c r="A694" s="6">
        <v>45520</v>
      </c>
      <c r="B694" s="7">
        <v>75.54</v>
      </c>
      <c r="C694" s="7">
        <v>76.81</v>
      </c>
      <c r="D694" s="7">
        <v>76.98</v>
      </c>
      <c r="E694" s="7">
        <v>74.52</v>
      </c>
      <c r="F694" s="7" t="s">
        <v>683</v>
      </c>
      <c r="G694" s="8">
        <v>-0.0188</v>
      </c>
    </row>
    <row r="695" spans="1:7">
      <c r="A695" s="6">
        <v>45523</v>
      </c>
      <c r="B695" s="7">
        <v>73.66</v>
      </c>
      <c r="C695" s="7">
        <v>75.47</v>
      </c>
      <c r="D695" s="7">
        <v>75.73</v>
      </c>
      <c r="E695" s="7">
        <v>73.45</v>
      </c>
      <c r="F695" s="7" t="s">
        <v>684</v>
      </c>
      <c r="G695" s="8">
        <v>-0.0249</v>
      </c>
    </row>
    <row r="696" spans="1:7">
      <c r="A696" s="6">
        <v>45524</v>
      </c>
      <c r="B696" s="7">
        <v>73.17</v>
      </c>
      <c r="C696" s="7">
        <v>73.74</v>
      </c>
      <c r="D696" s="7">
        <v>74.38</v>
      </c>
      <c r="E696" s="7">
        <v>72.54</v>
      </c>
      <c r="F696" s="7" t="s">
        <v>685</v>
      </c>
      <c r="G696" s="8">
        <v>-0.0067</v>
      </c>
    </row>
    <row r="697" spans="1:7">
      <c r="A697" s="6">
        <v>45525</v>
      </c>
      <c r="B697" s="7">
        <v>71.3</v>
      </c>
      <c r="C697" s="7">
        <v>72.42</v>
      </c>
      <c r="D697" s="7">
        <v>73.39</v>
      </c>
      <c r="E697" s="7">
        <v>70.88</v>
      </c>
      <c r="F697" s="7" t="s">
        <v>686</v>
      </c>
      <c r="G697" s="8">
        <v>-0.0256</v>
      </c>
    </row>
    <row r="698" spans="1:7">
      <c r="A698" s="6">
        <v>45526</v>
      </c>
      <c r="B698" s="7">
        <v>72.28</v>
      </c>
      <c r="C698" s="7">
        <v>71.36</v>
      </c>
      <c r="D698" s="7">
        <v>72.77</v>
      </c>
      <c r="E698" s="7">
        <v>71</v>
      </c>
      <c r="F698" s="7" t="s">
        <v>687</v>
      </c>
      <c r="G698" s="8">
        <v>0.0137</v>
      </c>
    </row>
    <row r="699" spans="1:7">
      <c r="A699" s="6">
        <v>45527</v>
      </c>
      <c r="B699" s="7">
        <v>73.93</v>
      </c>
      <c r="C699" s="7">
        <v>72.21</v>
      </c>
      <c r="D699" s="7">
        <v>74.17</v>
      </c>
      <c r="E699" s="7">
        <v>72.12</v>
      </c>
      <c r="F699" s="7" t="s">
        <v>688</v>
      </c>
      <c r="G699" s="8">
        <v>0.0228</v>
      </c>
    </row>
    <row r="700" spans="1:7">
      <c r="A700" s="6">
        <v>45530</v>
      </c>
      <c r="B700" s="7">
        <v>76.17</v>
      </c>
      <c r="C700" s="7">
        <v>74.13</v>
      </c>
      <c r="D700" s="7">
        <v>76.4</v>
      </c>
      <c r="E700" s="7">
        <v>74.08</v>
      </c>
      <c r="F700" s="7" t="s">
        <v>689</v>
      </c>
      <c r="G700" s="8">
        <v>0.0303</v>
      </c>
    </row>
    <row r="701" spans="1:7">
      <c r="A701" s="6">
        <v>45531</v>
      </c>
      <c r="B701" s="7">
        <v>74.46</v>
      </c>
      <c r="C701" s="7">
        <v>75.93</v>
      </c>
      <c r="D701" s="7">
        <v>76.21</v>
      </c>
      <c r="E701" s="7">
        <v>74.34</v>
      </c>
      <c r="F701" s="7" t="s">
        <v>690</v>
      </c>
      <c r="G701" s="8">
        <v>-0.0224</v>
      </c>
    </row>
    <row r="702" spans="1:7">
      <c r="A702" s="6">
        <v>45532</v>
      </c>
      <c r="B702" s="7">
        <v>73.44</v>
      </c>
      <c r="C702" s="7">
        <v>74.71</v>
      </c>
      <c r="D702" s="7">
        <v>74.88</v>
      </c>
      <c r="E702" s="7">
        <v>72.92</v>
      </c>
      <c r="F702" s="7" t="s">
        <v>691</v>
      </c>
      <c r="G702" s="8">
        <v>-0.0137</v>
      </c>
    </row>
    <row r="703" spans="1:7">
      <c r="A703" s="6">
        <v>45533</v>
      </c>
      <c r="B703" s="7">
        <v>74.67</v>
      </c>
      <c r="C703" s="7">
        <v>73.31</v>
      </c>
      <c r="D703" s="7">
        <v>75.51</v>
      </c>
      <c r="E703" s="7">
        <v>72.92</v>
      </c>
      <c r="F703" s="7" t="s">
        <v>692</v>
      </c>
      <c r="G703" s="8">
        <v>0.0167</v>
      </c>
    </row>
    <row r="704" spans="1:7">
      <c r="A704" s="6">
        <v>45534</v>
      </c>
      <c r="B704" s="7">
        <v>72.65</v>
      </c>
      <c r="C704" s="7">
        <v>74.69</v>
      </c>
      <c r="D704" s="7">
        <v>75.31</v>
      </c>
      <c r="E704" s="7">
        <v>72.46</v>
      </c>
      <c r="F704" s="7" t="s">
        <v>693</v>
      </c>
      <c r="G704" s="8">
        <v>-0.0271</v>
      </c>
    </row>
    <row r="705" spans="1:7">
      <c r="A705" s="6">
        <v>45536</v>
      </c>
      <c r="B705" s="7">
        <v>72.98</v>
      </c>
      <c r="C705" s="7">
        <v>73.33</v>
      </c>
      <c r="D705" s="7">
        <v>73.42</v>
      </c>
      <c r="E705" s="7">
        <v>72.97</v>
      </c>
      <c r="G705" s="8">
        <v>0.0045</v>
      </c>
    </row>
    <row r="706" spans="1:7">
      <c r="A706" s="6">
        <v>45537</v>
      </c>
      <c r="B706" s="7">
        <v>73.78</v>
      </c>
      <c r="C706" s="7">
        <v>73</v>
      </c>
      <c r="D706" s="7">
        <v>74.39</v>
      </c>
      <c r="E706" s="7">
        <v>72.89</v>
      </c>
      <c r="G706" s="8">
        <v>0.011</v>
      </c>
    </row>
    <row r="707" spans="1:7">
      <c r="A707" s="6">
        <v>45538</v>
      </c>
      <c r="B707" s="7">
        <v>69.59</v>
      </c>
      <c r="C707" s="7">
        <v>72.64</v>
      </c>
      <c r="D707" s="7">
        <v>73.35</v>
      </c>
      <c r="E707" s="7">
        <v>69.37</v>
      </c>
      <c r="F707" s="7" t="s">
        <v>694</v>
      </c>
      <c r="G707" s="8">
        <v>-0.0568</v>
      </c>
    </row>
    <row r="708" spans="1:7">
      <c r="A708" s="6">
        <v>45539</v>
      </c>
      <c r="B708" s="7">
        <v>68.52</v>
      </c>
      <c r="C708" s="7">
        <v>69.54</v>
      </c>
      <c r="D708" s="7">
        <v>70.61</v>
      </c>
      <c r="E708" s="7">
        <v>68.16</v>
      </c>
      <c r="F708" s="7" t="s">
        <v>695</v>
      </c>
      <c r="G708" s="8">
        <v>-0.0154</v>
      </c>
    </row>
    <row r="709" spans="1:7">
      <c r="A709" s="6">
        <v>45540</v>
      </c>
      <c r="B709" s="7">
        <v>68.5</v>
      </c>
      <c r="C709" s="7">
        <v>68.52</v>
      </c>
      <c r="D709" s="7">
        <v>70.01</v>
      </c>
      <c r="E709" s="7">
        <v>68.13</v>
      </c>
      <c r="F709" s="7" t="s">
        <v>696</v>
      </c>
      <c r="G709" s="8">
        <v>-0.0003</v>
      </c>
    </row>
    <row r="710" spans="1:7">
      <c r="A710" s="6">
        <v>45541</v>
      </c>
      <c r="B710" s="7">
        <v>66.98</v>
      </c>
      <c r="C710" s="7">
        <v>68.66</v>
      </c>
      <c r="D710" s="7">
        <v>69.41</v>
      </c>
      <c r="E710" s="7">
        <v>66.51</v>
      </c>
      <c r="F710" s="7" t="s">
        <v>697</v>
      </c>
      <c r="G710" s="8">
        <v>-0.0222</v>
      </c>
    </row>
    <row r="711" spans="1:7">
      <c r="A711" s="6">
        <v>45544</v>
      </c>
      <c r="B711" s="7">
        <v>67.91</v>
      </c>
      <c r="C711" s="7">
        <v>67.42</v>
      </c>
      <c r="D711" s="7">
        <v>68.14</v>
      </c>
      <c r="E711" s="7">
        <v>66.61</v>
      </c>
      <c r="F711" s="7" t="s">
        <v>698</v>
      </c>
      <c r="G711" s="8">
        <v>0.0139</v>
      </c>
    </row>
    <row r="712" spans="1:7">
      <c r="A712" s="6">
        <v>45545</v>
      </c>
      <c r="B712" s="7">
        <v>65.14</v>
      </c>
      <c r="C712" s="7">
        <v>67.97</v>
      </c>
      <c r="D712" s="7">
        <v>68.3</v>
      </c>
      <c r="E712" s="7">
        <v>64.61</v>
      </c>
      <c r="F712" s="7" t="s">
        <v>699</v>
      </c>
      <c r="G712" s="8">
        <v>-0.0408</v>
      </c>
    </row>
    <row r="713" spans="1:7">
      <c r="A713" s="6">
        <v>45546</v>
      </c>
      <c r="B713" s="7">
        <v>66.6</v>
      </c>
      <c r="C713" s="7">
        <v>65.73</v>
      </c>
      <c r="D713" s="7">
        <v>67.14</v>
      </c>
      <c r="E713" s="7">
        <v>64.99</v>
      </c>
      <c r="F713" s="7" t="s">
        <v>700</v>
      </c>
      <c r="G713" s="8">
        <v>0.0224</v>
      </c>
    </row>
    <row r="714" spans="1:7">
      <c r="A714" s="6">
        <v>45547</v>
      </c>
      <c r="B714" s="7">
        <v>68.15</v>
      </c>
      <c r="C714" s="7">
        <v>66.68</v>
      </c>
      <c r="D714" s="7">
        <v>68.93</v>
      </c>
      <c r="E714" s="7">
        <v>66.55</v>
      </c>
      <c r="F714" s="7" t="s">
        <v>701</v>
      </c>
      <c r="G714" s="8">
        <v>0.0233</v>
      </c>
    </row>
    <row r="715" spans="1:7">
      <c r="A715" s="6">
        <v>45548</v>
      </c>
      <c r="B715" s="7">
        <v>67.75</v>
      </c>
      <c r="C715" s="7">
        <v>68.35</v>
      </c>
      <c r="D715" s="7">
        <v>69.35</v>
      </c>
      <c r="E715" s="7">
        <v>67.58</v>
      </c>
      <c r="F715" s="7" t="s">
        <v>702</v>
      </c>
      <c r="G715" s="8">
        <v>-0.0059</v>
      </c>
    </row>
    <row r="716" spans="1:7">
      <c r="A716" s="6">
        <v>45551</v>
      </c>
      <c r="B716" s="7">
        <v>69.02</v>
      </c>
      <c r="C716" s="7">
        <v>68.22</v>
      </c>
      <c r="D716" s="7">
        <v>69.61</v>
      </c>
      <c r="E716" s="7">
        <v>67.7</v>
      </c>
      <c r="F716" s="7" t="s">
        <v>703</v>
      </c>
      <c r="G716" s="8">
        <v>0.0187</v>
      </c>
    </row>
    <row r="717" spans="1:7">
      <c r="A717" s="6">
        <v>45552</v>
      </c>
      <c r="B717" s="7">
        <v>69.96</v>
      </c>
      <c r="C717" s="7">
        <v>69.35</v>
      </c>
      <c r="D717" s="7">
        <v>70.65</v>
      </c>
      <c r="E717" s="7">
        <v>68.51</v>
      </c>
      <c r="F717" s="7" t="s">
        <v>704</v>
      </c>
      <c r="G717" s="8">
        <v>0.0136</v>
      </c>
    </row>
    <row r="718" spans="1:7">
      <c r="A718" s="6">
        <v>45553</v>
      </c>
      <c r="B718" s="7">
        <v>69.88</v>
      </c>
      <c r="C718" s="7">
        <v>69.98</v>
      </c>
      <c r="D718" s="7">
        <v>70.31</v>
      </c>
      <c r="E718" s="7">
        <v>68.58</v>
      </c>
      <c r="F718" s="7" t="s">
        <v>705</v>
      </c>
      <c r="G718" s="8">
        <v>-0.0011</v>
      </c>
    </row>
    <row r="719" spans="1:7">
      <c r="A719" s="6">
        <v>45554</v>
      </c>
      <c r="B719" s="7">
        <v>71.16</v>
      </c>
      <c r="C719" s="7">
        <v>69.15</v>
      </c>
      <c r="D719" s="7">
        <v>71.53</v>
      </c>
      <c r="E719" s="7">
        <v>69.13</v>
      </c>
      <c r="F719" s="7" t="s">
        <v>706</v>
      </c>
      <c r="G719" s="8">
        <v>0.0183</v>
      </c>
    </row>
    <row r="720" spans="1:7">
      <c r="A720" s="6">
        <v>45555</v>
      </c>
      <c r="B720" s="7">
        <v>71</v>
      </c>
      <c r="C720" s="7">
        <v>71.18</v>
      </c>
      <c r="D720" s="7">
        <v>71.45</v>
      </c>
      <c r="E720" s="7">
        <v>70.37</v>
      </c>
      <c r="F720" s="7" t="s">
        <v>707</v>
      </c>
      <c r="G720" s="8">
        <v>-0.0022</v>
      </c>
    </row>
    <row r="721" spans="1:7">
      <c r="A721" s="6">
        <v>45558</v>
      </c>
      <c r="B721" s="7">
        <v>69.61</v>
      </c>
      <c r="C721" s="7">
        <v>70.43</v>
      </c>
      <c r="D721" s="7">
        <v>70.94</v>
      </c>
      <c r="E721" s="7">
        <v>68.73</v>
      </c>
      <c r="F721" s="7" t="s">
        <v>708</v>
      </c>
      <c r="G721" s="8">
        <v>-0.0196</v>
      </c>
    </row>
    <row r="722" spans="1:7">
      <c r="A722" s="6">
        <v>45559</v>
      </c>
      <c r="B722" s="7">
        <v>70.84</v>
      </c>
      <c r="C722" s="7">
        <v>69.96</v>
      </c>
      <c r="D722" s="7">
        <v>71.6</v>
      </c>
      <c r="E722" s="7">
        <v>69.69</v>
      </c>
      <c r="F722" s="7" t="s">
        <v>709</v>
      </c>
      <c r="G722" s="8">
        <v>0.0177</v>
      </c>
    </row>
    <row r="723" spans="1:7">
      <c r="A723" s="6">
        <v>45560</v>
      </c>
      <c r="B723" s="7">
        <v>69.13</v>
      </c>
      <c r="C723" s="7">
        <v>70.84</v>
      </c>
      <c r="D723" s="7">
        <v>71.04</v>
      </c>
      <c r="E723" s="7">
        <v>68.69</v>
      </c>
      <c r="F723" s="7" t="s">
        <v>710</v>
      </c>
      <c r="G723" s="8">
        <v>-0.0241</v>
      </c>
    </row>
    <row r="724" spans="1:7">
      <c r="A724" s="6">
        <v>45561</v>
      </c>
      <c r="B724" s="7">
        <v>67.19</v>
      </c>
      <c r="C724" s="7">
        <v>69.3</v>
      </c>
      <c r="D724" s="7">
        <v>69.47</v>
      </c>
      <c r="E724" s="7">
        <v>66.49</v>
      </c>
      <c r="F724" s="7" t="s">
        <v>711</v>
      </c>
      <c r="G724" s="8">
        <v>-0.0281</v>
      </c>
    </row>
    <row r="725" spans="1:7">
      <c r="A725" s="6">
        <v>45562</v>
      </c>
      <c r="B725" s="7">
        <v>67.67</v>
      </c>
      <c r="C725" s="7">
        <v>66.95</v>
      </c>
      <c r="D725" s="7">
        <v>68.13</v>
      </c>
      <c r="E725" s="7">
        <v>66.58</v>
      </c>
      <c r="F725" s="7" t="s">
        <v>712</v>
      </c>
      <c r="G725" s="8">
        <v>0.0071</v>
      </c>
    </row>
    <row r="726" spans="1:7">
      <c r="A726" s="6">
        <v>45565</v>
      </c>
      <c r="B726" s="7">
        <v>67.77</v>
      </c>
      <c r="C726" s="7">
        <v>68.08</v>
      </c>
      <c r="D726" s="7">
        <v>68.83</v>
      </c>
      <c r="E726" s="7">
        <v>67.14</v>
      </c>
      <c r="F726" s="7" t="s">
        <v>713</v>
      </c>
      <c r="G726" s="8">
        <v>0.0015</v>
      </c>
    </row>
    <row r="727" spans="1:7">
      <c r="A727" s="6">
        <v>45566</v>
      </c>
      <c r="B727" s="7">
        <v>69.39</v>
      </c>
      <c r="C727" s="7">
        <v>68.05</v>
      </c>
      <c r="D727" s="7">
        <v>71.36</v>
      </c>
      <c r="E727" s="7">
        <v>65.99</v>
      </c>
      <c r="F727" s="7" t="s">
        <v>714</v>
      </c>
      <c r="G727" s="8">
        <v>0.0239</v>
      </c>
    </row>
    <row r="728" spans="1:7">
      <c r="A728" s="6">
        <v>45567</v>
      </c>
      <c r="B728" s="7">
        <v>69.69</v>
      </c>
      <c r="C728" s="7">
        <v>70.3</v>
      </c>
      <c r="D728" s="7">
        <v>71.95</v>
      </c>
      <c r="E728" s="7">
        <v>69.45</v>
      </c>
      <c r="F728" s="7" t="s">
        <v>715</v>
      </c>
      <c r="G728" s="8">
        <v>0.0043</v>
      </c>
    </row>
    <row r="729" spans="1:7">
      <c r="A729" s="6">
        <v>45568</v>
      </c>
      <c r="B729" s="7">
        <v>73.17</v>
      </c>
      <c r="C729" s="7">
        <v>70.49</v>
      </c>
      <c r="D729" s="7">
        <v>73.51</v>
      </c>
      <c r="E729" s="7">
        <v>70.08</v>
      </c>
      <c r="F729" s="7" t="s">
        <v>716</v>
      </c>
      <c r="G729" s="8">
        <v>0.0499</v>
      </c>
    </row>
    <row r="730" spans="1:7">
      <c r="A730" s="6">
        <v>45569</v>
      </c>
      <c r="B730" s="7">
        <v>73.68</v>
      </c>
      <c r="C730" s="7">
        <v>73.35</v>
      </c>
      <c r="D730" s="7">
        <v>74.84</v>
      </c>
      <c r="E730" s="7">
        <v>72.94</v>
      </c>
      <c r="F730" s="7" t="s">
        <v>717</v>
      </c>
      <c r="G730" s="8">
        <v>0.007</v>
      </c>
    </row>
    <row r="731" spans="1:7">
      <c r="A731" s="6">
        <v>45572</v>
      </c>
      <c r="B731" s="7">
        <v>76.47</v>
      </c>
      <c r="C731" s="7">
        <v>73.76</v>
      </c>
      <c r="D731" s="7">
        <v>76.7</v>
      </c>
      <c r="E731" s="7">
        <v>73.01</v>
      </c>
      <c r="F731" s="7" t="s">
        <v>718</v>
      </c>
      <c r="G731" s="8">
        <v>0.0379</v>
      </c>
    </row>
    <row r="732" spans="1:7">
      <c r="A732" s="6">
        <v>45573</v>
      </c>
      <c r="B732" s="7">
        <v>72.98</v>
      </c>
      <c r="C732" s="7">
        <v>76.63</v>
      </c>
      <c r="D732" s="7">
        <v>77.7</v>
      </c>
      <c r="E732" s="7">
        <v>72.12</v>
      </c>
      <c r="F732" s="7" t="s">
        <v>719</v>
      </c>
      <c r="G732" s="8">
        <v>-0.0456</v>
      </c>
    </row>
    <row r="733" spans="1:7">
      <c r="A733" s="6">
        <v>45574</v>
      </c>
      <c r="B733" s="7">
        <v>72.59</v>
      </c>
      <c r="C733" s="7">
        <v>73.27</v>
      </c>
      <c r="D733" s="7">
        <v>73.82</v>
      </c>
      <c r="E733" s="7">
        <v>71</v>
      </c>
      <c r="F733" s="7" t="s">
        <v>720</v>
      </c>
      <c r="G733" s="8">
        <v>-0.0053</v>
      </c>
    </row>
    <row r="734" spans="1:7">
      <c r="A734" s="6">
        <v>45575</v>
      </c>
      <c r="B734" s="7">
        <v>75.11</v>
      </c>
      <c r="C734" s="7">
        <v>72.73</v>
      </c>
      <c r="D734" s="7">
        <v>75.45</v>
      </c>
      <c r="E734" s="7">
        <v>72.62</v>
      </c>
      <c r="F734" s="7" t="s">
        <v>721</v>
      </c>
      <c r="G734" s="8">
        <v>0.0347</v>
      </c>
    </row>
    <row r="735" spans="1:7">
      <c r="A735" s="6">
        <v>45576</v>
      </c>
      <c r="B735" s="7">
        <v>74.85</v>
      </c>
      <c r="C735" s="7">
        <v>75</v>
      </c>
      <c r="D735" s="7">
        <v>75.28</v>
      </c>
      <c r="E735" s="7">
        <v>73.85</v>
      </c>
      <c r="F735" s="7" t="s">
        <v>722</v>
      </c>
      <c r="G735" s="8">
        <v>-0.0035</v>
      </c>
    </row>
    <row r="736" spans="1:7">
      <c r="A736" s="6">
        <v>45579</v>
      </c>
      <c r="B736" s="7">
        <v>73.24</v>
      </c>
      <c r="C736" s="7">
        <v>74.26</v>
      </c>
      <c r="D736" s="7">
        <v>74.35</v>
      </c>
      <c r="E736" s="7">
        <v>71.24</v>
      </c>
      <c r="F736" s="7" t="s">
        <v>723</v>
      </c>
      <c r="G736" s="8">
        <v>-0.0215</v>
      </c>
    </row>
    <row r="737" spans="1:7">
      <c r="A737" s="6">
        <v>45580</v>
      </c>
      <c r="B737" s="7">
        <v>70.01</v>
      </c>
      <c r="C737" s="7">
        <v>71.14</v>
      </c>
      <c r="D737" s="7">
        <v>71.57</v>
      </c>
      <c r="E737" s="7">
        <v>69.2</v>
      </c>
      <c r="F737" s="7" t="s">
        <v>724</v>
      </c>
      <c r="G737" s="8">
        <v>-0.0441</v>
      </c>
    </row>
    <row r="738" spans="1:7">
      <c r="A738" s="6">
        <v>45581</v>
      </c>
      <c r="B738" s="7">
        <v>69.82</v>
      </c>
      <c r="C738" s="7">
        <v>70.39</v>
      </c>
      <c r="D738" s="7">
        <v>70.69</v>
      </c>
      <c r="E738" s="7">
        <v>69.12</v>
      </c>
      <c r="F738" s="7" t="s">
        <v>725</v>
      </c>
      <c r="G738" s="8">
        <v>-0.0027</v>
      </c>
    </row>
    <row r="739" spans="1:7">
      <c r="A739" s="6">
        <v>45582</v>
      </c>
      <c r="B739" s="7">
        <v>70.09</v>
      </c>
      <c r="C739" s="7">
        <v>70.11</v>
      </c>
      <c r="D739" s="7">
        <v>70.53</v>
      </c>
      <c r="E739" s="7">
        <v>68.89</v>
      </c>
      <c r="F739" s="7" t="s">
        <v>726</v>
      </c>
      <c r="G739" s="8">
        <v>0.0039</v>
      </c>
    </row>
    <row r="740" spans="1:7">
      <c r="A740" s="6">
        <v>45583</v>
      </c>
      <c r="B740" s="7">
        <v>68.69</v>
      </c>
      <c r="C740" s="7">
        <v>70.17</v>
      </c>
      <c r="D740" s="7">
        <v>70.67</v>
      </c>
      <c r="E740" s="7">
        <v>68.17</v>
      </c>
      <c r="F740" s="7" t="s">
        <v>727</v>
      </c>
      <c r="G740" s="8">
        <v>-0.02</v>
      </c>
    </row>
    <row r="741" spans="1:7">
      <c r="A741" s="6">
        <v>45586</v>
      </c>
      <c r="B741" s="7">
        <v>70.04</v>
      </c>
      <c r="C741" s="7">
        <v>68.94</v>
      </c>
      <c r="D741" s="7">
        <v>70.39</v>
      </c>
      <c r="E741" s="7">
        <v>68.46</v>
      </c>
      <c r="F741" s="7" t="s">
        <v>728</v>
      </c>
      <c r="G741" s="8">
        <v>0.0197</v>
      </c>
    </row>
    <row r="742" spans="1:7">
      <c r="A742" s="6">
        <v>45587</v>
      </c>
      <c r="B742" s="7">
        <v>71.74</v>
      </c>
      <c r="C742" s="7">
        <v>69.96</v>
      </c>
      <c r="D742" s="7">
        <v>72.09</v>
      </c>
      <c r="E742" s="7">
        <v>69.35</v>
      </c>
      <c r="F742" s="7" t="s">
        <v>729</v>
      </c>
      <c r="G742" s="8">
        <v>0.0243</v>
      </c>
    </row>
    <row r="743" spans="1:7">
      <c r="A743" s="6">
        <v>45588</v>
      </c>
      <c r="B743" s="7">
        <v>70.37</v>
      </c>
      <c r="C743" s="7">
        <v>70.94</v>
      </c>
      <c r="D743" s="7">
        <v>71.29</v>
      </c>
      <c r="E743" s="7">
        <v>69.76</v>
      </c>
      <c r="F743" s="7" t="s">
        <v>730</v>
      </c>
      <c r="G743" s="8">
        <v>-0.0191</v>
      </c>
    </row>
    <row r="744" spans="1:7">
      <c r="A744" s="6">
        <v>45589</v>
      </c>
      <c r="B744" s="7">
        <v>69.84</v>
      </c>
      <c r="C744" s="7">
        <v>70.62</v>
      </c>
      <c r="D744" s="7">
        <v>71.87</v>
      </c>
      <c r="E744" s="7">
        <v>69.41</v>
      </c>
      <c r="F744" s="7" t="s">
        <v>731</v>
      </c>
      <c r="G744" s="8">
        <v>-0.0075</v>
      </c>
    </row>
    <row r="745" spans="1:7">
      <c r="A745" s="6">
        <v>45590</v>
      </c>
      <c r="B745" s="7">
        <v>71.35</v>
      </c>
      <c r="C745" s="7">
        <v>70.02</v>
      </c>
      <c r="D745" s="7">
        <v>71.52</v>
      </c>
      <c r="E745" s="7">
        <v>69.63</v>
      </c>
      <c r="F745" s="7" t="s">
        <v>732</v>
      </c>
      <c r="G745" s="8">
        <v>0.0216</v>
      </c>
    </row>
    <row r="746" spans="1:7">
      <c r="A746" s="6">
        <v>45593</v>
      </c>
      <c r="B746" s="7">
        <v>66.98</v>
      </c>
      <c r="C746" s="7">
        <v>68.58</v>
      </c>
      <c r="D746" s="7">
        <v>68.6</v>
      </c>
      <c r="E746" s="7">
        <v>66.59</v>
      </c>
      <c r="F746" s="7" t="s">
        <v>733</v>
      </c>
      <c r="G746" s="8">
        <v>-0.0612</v>
      </c>
    </row>
    <row r="747" spans="1:7">
      <c r="A747" s="6">
        <v>45594</v>
      </c>
      <c r="B747" s="7">
        <v>66.81</v>
      </c>
      <c r="C747" s="7">
        <v>67.63</v>
      </c>
      <c r="D747" s="7">
        <v>68.09</v>
      </c>
      <c r="E747" s="7">
        <v>66.32</v>
      </c>
      <c r="F747" s="7" t="s">
        <v>734</v>
      </c>
      <c r="G747" s="8">
        <v>-0.0025</v>
      </c>
    </row>
    <row r="748" spans="1:7">
      <c r="A748" s="6">
        <v>45595</v>
      </c>
      <c r="B748" s="7">
        <v>68.18</v>
      </c>
      <c r="C748" s="7">
        <v>66.97</v>
      </c>
      <c r="D748" s="7">
        <v>68.73</v>
      </c>
      <c r="E748" s="7">
        <v>66.88</v>
      </c>
      <c r="F748" s="7" t="s">
        <v>735</v>
      </c>
      <c r="G748" s="8">
        <v>0.0205</v>
      </c>
    </row>
    <row r="749" spans="1:7">
      <c r="A749" s="6">
        <v>45596</v>
      </c>
      <c r="B749" s="7">
        <v>68.81</v>
      </c>
      <c r="C749" s="7">
        <v>68.65</v>
      </c>
      <c r="D749" s="7">
        <v>70.31</v>
      </c>
      <c r="E749" s="7">
        <v>67.87</v>
      </c>
      <c r="F749" s="7" t="s">
        <v>736</v>
      </c>
      <c r="G749" s="8">
        <v>0.0092</v>
      </c>
    </row>
    <row r="750" spans="1:7">
      <c r="A750" s="6">
        <v>45597</v>
      </c>
      <c r="B750" s="7">
        <v>69.08</v>
      </c>
      <c r="C750" s="7">
        <v>69.96</v>
      </c>
      <c r="D750" s="7">
        <v>70.95</v>
      </c>
      <c r="E750" s="7">
        <v>68.9</v>
      </c>
      <c r="F750" s="7" t="s">
        <v>737</v>
      </c>
      <c r="G750" s="8">
        <v>0.0039</v>
      </c>
    </row>
    <row r="751" spans="1:7">
      <c r="A751" s="6">
        <v>45600</v>
      </c>
      <c r="B751" s="7">
        <v>71.03</v>
      </c>
      <c r="C751" s="7">
        <v>69.87</v>
      </c>
      <c r="D751" s="7">
        <v>71.36</v>
      </c>
      <c r="E751" s="7">
        <v>69.84</v>
      </c>
      <c r="F751" s="7" t="s">
        <v>738</v>
      </c>
      <c r="G751" s="8">
        <v>0.0282</v>
      </c>
    </row>
    <row r="752" spans="1:7">
      <c r="A752" s="6">
        <v>45601</v>
      </c>
      <c r="B752" s="7">
        <v>71.56</v>
      </c>
      <c r="C752" s="7">
        <v>71.17</v>
      </c>
      <c r="D752" s="7">
        <v>72.2</v>
      </c>
      <c r="E752" s="7">
        <v>70.86</v>
      </c>
      <c r="F752" s="7" t="s">
        <v>739</v>
      </c>
      <c r="G752" s="8">
        <v>0.0075</v>
      </c>
    </row>
    <row r="753" spans="1:7">
      <c r="A753" s="6">
        <v>45602</v>
      </c>
      <c r="B753" s="7">
        <v>71.24</v>
      </c>
      <c r="C753" s="7">
        <v>71.57</v>
      </c>
      <c r="D753" s="7">
        <v>72.18</v>
      </c>
      <c r="E753" s="7">
        <v>69.35</v>
      </c>
      <c r="F753" s="7" t="s">
        <v>740</v>
      </c>
      <c r="G753" s="8">
        <v>-0.0045</v>
      </c>
    </row>
    <row r="754" spans="1:7">
      <c r="A754" s="6">
        <v>45603</v>
      </c>
      <c r="B754" s="7">
        <v>71.96</v>
      </c>
      <c r="C754" s="7">
        <v>71.41</v>
      </c>
      <c r="D754" s="7">
        <v>72.41</v>
      </c>
      <c r="E754" s="7">
        <v>70.27</v>
      </c>
      <c r="F754" s="7" t="s">
        <v>741</v>
      </c>
      <c r="G754" s="8">
        <v>0.0101</v>
      </c>
    </row>
    <row r="755" spans="1:7">
      <c r="A755" s="6">
        <v>45604</v>
      </c>
      <c r="B755" s="7">
        <v>70.11</v>
      </c>
      <c r="C755" s="7">
        <v>71.8</v>
      </c>
      <c r="D755" s="7">
        <v>71.87</v>
      </c>
      <c r="E755" s="7">
        <v>69.67</v>
      </c>
      <c r="F755" s="7" t="s">
        <v>742</v>
      </c>
      <c r="G755" s="8">
        <v>-0.0257</v>
      </c>
    </row>
    <row r="756" spans="1:7">
      <c r="A756" s="6">
        <v>45607</v>
      </c>
      <c r="B756" s="7">
        <v>67.92</v>
      </c>
      <c r="C756" s="7">
        <v>69.99</v>
      </c>
      <c r="D756" s="7">
        <v>70.3</v>
      </c>
      <c r="E756" s="7">
        <v>67.79</v>
      </c>
      <c r="F756" s="7" t="s">
        <v>743</v>
      </c>
      <c r="G756" s="8">
        <v>-0.0312</v>
      </c>
    </row>
    <row r="757" spans="1:7">
      <c r="A757" s="6">
        <v>45608</v>
      </c>
      <c r="B757" s="7">
        <v>67.97</v>
      </c>
      <c r="C757" s="7">
        <v>68.04</v>
      </c>
      <c r="D757" s="7">
        <v>68.97</v>
      </c>
      <c r="E757" s="7">
        <v>67.65</v>
      </c>
      <c r="F757" s="7" t="s">
        <v>744</v>
      </c>
      <c r="G757" s="8">
        <v>0.0007</v>
      </c>
    </row>
    <row r="758" spans="1:7">
      <c r="A758" s="6">
        <v>45609</v>
      </c>
      <c r="B758" s="7">
        <v>68.26</v>
      </c>
      <c r="C758" s="7">
        <v>67.82</v>
      </c>
      <c r="D758" s="7">
        <v>68.69</v>
      </c>
      <c r="E758" s="7">
        <v>66.8</v>
      </c>
      <c r="F758" s="7" t="s">
        <v>745</v>
      </c>
      <c r="G758" s="8">
        <v>0.0043</v>
      </c>
    </row>
    <row r="759" spans="1:7">
      <c r="A759" s="6">
        <v>45610</v>
      </c>
      <c r="B759" s="7">
        <v>68.53</v>
      </c>
      <c r="C759" s="7">
        <v>67.97</v>
      </c>
      <c r="D759" s="7">
        <v>69.24</v>
      </c>
      <c r="E759" s="7">
        <v>67.77</v>
      </c>
      <c r="F759" s="7" t="s">
        <v>746</v>
      </c>
      <c r="G759" s="8">
        <v>0.004</v>
      </c>
    </row>
    <row r="760" spans="1:7">
      <c r="A760" s="6">
        <v>45611</v>
      </c>
      <c r="B760" s="7">
        <v>66.92</v>
      </c>
      <c r="C760" s="7">
        <v>68.45</v>
      </c>
      <c r="D760" s="7">
        <v>68.51</v>
      </c>
      <c r="E760" s="7">
        <v>66.71</v>
      </c>
      <c r="F760" s="7" t="s">
        <v>747</v>
      </c>
      <c r="G760" s="8">
        <v>-0.0235</v>
      </c>
    </row>
    <row r="761" spans="1:7">
      <c r="A761" s="6">
        <v>45614</v>
      </c>
      <c r="B761" s="7">
        <v>69.17</v>
      </c>
      <c r="C761" s="7">
        <v>66.77</v>
      </c>
      <c r="D761" s="7">
        <v>69.37</v>
      </c>
      <c r="E761" s="7">
        <v>66.53</v>
      </c>
      <c r="F761" s="7" t="s">
        <v>748</v>
      </c>
      <c r="G761" s="8">
        <v>0.0336</v>
      </c>
    </row>
    <row r="762" spans="1:7">
      <c r="A762" s="6">
        <v>45615</v>
      </c>
      <c r="B762" s="7">
        <v>69.24</v>
      </c>
      <c r="C762" s="7">
        <v>69.08</v>
      </c>
      <c r="D762" s="7">
        <v>69.74</v>
      </c>
      <c r="E762" s="7">
        <v>68.48</v>
      </c>
      <c r="F762" s="7" t="s">
        <v>749</v>
      </c>
      <c r="G762" s="8">
        <v>0.001</v>
      </c>
    </row>
    <row r="763" spans="1:7">
      <c r="A763" s="6">
        <v>45616</v>
      </c>
      <c r="B763" s="7">
        <v>68.75</v>
      </c>
      <c r="C763" s="7">
        <v>69.28</v>
      </c>
      <c r="D763" s="7">
        <v>69.96</v>
      </c>
      <c r="E763" s="7">
        <v>68.64</v>
      </c>
      <c r="F763" s="7" t="s">
        <v>750</v>
      </c>
      <c r="G763" s="8">
        <v>-0.0071</v>
      </c>
    </row>
    <row r="764" spans="1:7">
      <c r="A764" s="6">
        <v>45617</v>
      </c>
      <c r="B764" s="7">
        <v>69.77</v>
      </c>
      <c r="C764" s="7">
        <v>68.83</v>
      </c>
      <c r="D764" s="7">
        <v>70.09</v>
      </c>
      <c r="E764" s="7">
        <v>68.62</v>
      </c>
      <c r="F764" s="7" t="s">
        <v>751</v>
      </c>
      <c r="G764" s="8">
        <v>0.0148</v>
      </c>
    </row>
    <row r="765" spans="1:7">
      <c r="A765" s="6">
        <v>45618</v>
      </c>
      <c r="B765" s="7">
        <v>70.77</v>
      </c>
      <c r="C765" s="7">
        <v>69.85</v>
      </c>
      <c r="D765" s="7">
        <v>71.02</v>
      </c>
      <c r="E765" s="7">
        <v>68.96</v>
      </c>
      <c r="F765" s="7" t="s">
        <v>752</v>
      </c>
      <c r="G765" s="8">
        <v>0.0143</v>
      </c>
    </row>
    <row r="766" spans="1:7">
      <c r="A766" s="6">
        <v>45621</v>
      </c>
      <c r="B766" s="7">
        <v>68.58</v>
      </c>
      <c r="C766" s="7">
        <v>70.96</v>
      </c>
      <c r="D766" s="7">
        <v>70.96</v>
      </c>
      <c r="E766" s="7">
        <v>68.36</v>
      </c>
      <c r="F766" s="7" t="s">
        <v>753</v>
      </c>
      <c r="G766" s="8">
        <v>-0.0309</v>
      </c>
    </row>
    <row r="767" spans="1:7">
      <c r="A767" s="6">
        <v>45622</v>
      </c>
      <c r="B767" s="7">
        <v>68.44</v>
      </c>
      <c r="C767" s="7">
        <v>68.7</v>
      </c>
      <c r="D767" s="7">
        <v>69.91</v>
      </c>
      <c r="E767" s="7">
        <v>67.73</v>
      </c>
      <c r="F767" s="7" t="s">
        <v>754</v>
      </c>
      <c r="G767" s="8">
        <v>-0.002</v>
      </c>
    </row>
    <row r="768" spans="1:7">
      <c r="A768" s="6">
        <v>45623</v>
      </c>
      <c r="B768" s="7">
        <v>68.35</v>
      </c>
      <c r="C768" s="7">
        <v>68.57</v>
      </c>
      <c r="D768" s="7">
        <v>69.01</v>
      </c>
      <c r="E768" s="7">
        <v>67.81</v>
      </c>
      <c r="F768" s="7" t="s">
        <v>755</v>
      </c>
      <c r="G768" s="8">
        <v>-0.0013</v>
      </c>
    </row>
    <row r="769" spans="1:7">
      <c r="A769" s="6">
        <v>45625</v>
      </c>
      <c r="B769" s="7">
        <v>67.72</v>
      </c>
      <c r="C769" s="7">
        <v>68.39</v>
      </c>
      <c r="D769" s="7">
        <v>69.32</v>
      </c>
      <c r="E769" s="7">
        <v>67.6</v>
      </c>
      <c r="F769" s="7" t="s">
        <v>756</v>
      </c>
      <c r="G769" s="8">
        <v>-0.0092</v>
      </c>
    </row>
    <row r="770" spans="1:7">
      <c r="A770" s="6">
        <v>45628</v>
      </c>
      <c r="B770" s="7">
        <v>67.84</v>
      </c>
      <c r="C770" s="7">
        <v>67.77</v>
      </c>
      <c r="D770" s="7">
        <v>68.83</v>
      </c>
      <c r="E770" s="7">
        <v>67.44</v>
      </c>
      <c r="F770" s="7" t="s">
        <v>757</v>
      </c>
      <c r="G770" s="8">
        <v>0.0018</v>
      </c>
    </row>
    <row r="771" spans="1:7">
      <c r="A771" s="6">
        <v>45629</v>
      </c>
      <c r="B771" s="7">
        <v>69.54</v>
      </c>
      <c r="C771" s="7">
        <v>67.89</v>
      </c>
      <c r="D771" s="7">
        <v>69.83</v>
      </c>
      <c r="E771" s="7">
        <v>67.65</v>
      </c>
      <c r="F771" s="7" t="s">
        <v>758</v>
      </c>
      <c r="G771" s="8">
        <v>0.0251</v>
      </c>
    </row>
    <row r="772" spans="1:7">
      <c r="A772" s="6">
        <v>45630</v>
      </c>
      <c r="B772" s="7">
        <v>68.19</v>
      </c>
      <c r="C772" s="7">
        <v>69.58</v>
      </c>
      <c r="D772" s="7">
        <v>70.11</v>
      </c>
      <c r="E772" s="7">
        <v>68.14</v>
      </c>
      <c r="F772" s="7" t="s">
        <v>759</v>
      </c>
      <c r="G772" s="8">
        <v>-0.0194</v>
      </c>
    </row>
    <row r="773" spans="1:7">
      <c r="A773" s="6">
        <v>45631</v>
      </c>
      <c r="B773" s="7">
        <v>67.96</v>
      </c>
      <c r="C773" s="7">
        <v>68.38</v>
      </c>
      <c r="D773" s="7">
        <v>68.77</v>
      </c>
      <c r="E773" s="7">
        <v>67.66</v>
      </c>
      <c r="F773" s="7" t="s">
        <v>760</v>
      </c>
      <c r="G773" s="8">
        <v>-0.0034</v>
      </c>
    </row>
    <row r="774" spans="1:7">
      <c r="A774" s="6">
        <v>45632</v>
      </c>
      <c r="B774" s="7">
        <v>66.98</v>
      </c>
      <c r="C774" s="7">
        <v>68.08</v>
      </c>
      <c r="D774" s="7">
        <v>68.13</v>
      </c>
      <c r="E774" s="7">
        <v>66.71</v>
      </c>
      <c r="F774" s="7" t="s">
        <v>761</v>
      </c>
      <c r="G774" s="8">
        <v>-0.0144</v>
      </c>
    </row>
    <row r="775" spans="1:7">
      <c r="A775" s="6">
        <v>45635</v>
      </c>
      <c r="B775" s="7">
        <v>68.09</v>
      </c>
      <c r="C775" s="7">
        <v>66.93</v>
      </c>
      <c r="D775" s="7">
        <v>68.59</v>
      </c>
      <c r="E775" s="7">
        <v>66.85</v>
      </c>
      <c r="F775" s="7" t="s">
        <v>762</v>
      </c>
      <c r="G775" s="8">
        <v>0.0166</v>
      </c>
    </row>
    <row r="776" spans="1:7">
      <c r="A776" s="6">
        <v>45636</v>
      </c>
      <c r="B776" s="7">
        <v>68.27</v>
      </c>
      <c r="C776" s="7">
        <v>67.86</v>
      </c>
      <c r="D776" s="7">
        <v>68.72</v>
      </c>
      <c r="E776" s="7">
        <v>67.45</v>
      </c>
      <c r="F776" s="7" t="s">
        <v>763</v>
      </c>
      <c r="G776" s="8">
        <v>0.0026</v>
      </c>
    </row>
    <row r="777" spans="1:7">
      <c r="A777" s="6">
        <v>45637</v>
      </c>
      <c r="B777" s="7">
        <v>69.87</v>
      </c>
      <c r="C777" s="7">
        <v>68.15</v>
      </c>
      <c r="D777" s="7">
        <v>70.08</v>
      </c>
      <c r="E777" s="7">
        <v>68.12</v>
      </c>
      <c r="F777" s="7" t="s">
        <v>764</v>
      </c>
      <c r="G777" s="8">
        <v>0.0234</v>
      </c>
    </row>
    <row r="778" spans="1:7">
      <c r="A778" s="6">
        <v>45638</v>
      </c>
      <c r="B778" s="7">
        <v>69.66</v>
      </c>
      <c r="C778" s="7">
        <v>69.97</v>
      </c>
      <c r="D778" s="7">
        <v>70.27</v>
      </c>
      <c r="E778" s="7">
        <v>68.74</v>
      </c>
      <c r="F778" s="7" t="s">
        <v>765</v>
      </c>
      <c r="G778" s="8">
        <v>-0.003</v>
      </c>
    </row>
    <row r="779" spans="1:7">
      <c r="A779" s="6">
        <v>45639</v>
      </c>
      <c r="B779" s="7">
        <v>70.82</v>
      </c>
      <c r="C779" s="7">
        <v>69.64</v>
      </c>
      <c r="D779" s="7">
        <v>70.94</v>
      </c>
      <c r="E779" s="7">
        <v>69.51</v>
      </c>
      <c r="F779" s="7" t="s">
        <v>766</v>
      </c>
      <c r="G779" s="8">
        <v>0.0167</v>
      </c>
    </row>
    <row r="780" spans="1:7">
      <c r="A780" s="6">
        <v>45642</v>
      </c>
      <c r="B780" s="7">
        <v>70.29</v>
      </c>
      <c r="C780" s="7">
        <v>71</v>
      </c>
      <c r="D780" s="7">
        <v>71</v>
      </c>
      <c r="E780" s="7">
        <v>69.98</v>
      </c>
      <c r="F780" s="7" t="s">
        <v>767</v>
      </c>
      <c r="G780" s="8">
        <v>-0.0075</v>
      </c>
    </row>
    <row r="781" spans="1:7">
      <c r="A781" s="6">
        <v>45643</v>
      </c>
      <c r="B781" s="7">
        <v>69.65</v>
      </c>
      <c r="C781" s="7">
        <v>70.23</v>
      </c>
      <c r="D781" s="7">
        <v>70.54</v>
      </c>
      <c r="E781" s="7">
        <v>68.81</v>
      </c>
      <c r="F781" s="7" t="s">
        <v>768</v>
      </c>
      <c r="G781" s="8">
        <v>-0.0091</v>
      </c>
    </row>
    <row r="782" spans="1:7">
      <c r="A782" s="6">
        <v>45644</v>
      </c>
      <c r="B782" s="7">
        <v>70.02</v>
      </c>
      <c r="C782" s="7">
        <v>69.82</v>
      </c>
      <c r="D782" s="7">
        <v>70.8</v>
      </c>
      <c r="E782" s="7">
        <v>69.39</v>
      </c>
      <c r="F782" s="7" t="s">
        <v>769</v>
      </c>
      <c r="G782" s="8">
        <v>0.0053</v>
      </c>
    </row>
    <row r="783" spans="1:7">
      <c r="A783" s="6">
        <v>45645</v>
      </c>
      <c r="B783" s="7">
        <v>69.38</v>
      </c>
      <c r="C783" s="7">
        <v>69.6</v>
      </c>
      <c r="D783" s="7">
        <v>70.58</v>
      </c>
      <c r="E783" s="7">
        <v>69.1</v>
      </c>
      <c r="F783" s="7" t="s">
        <v>770</v>
      </c>
      <c r="G783" s="8">
        <v>-0.0091</v>
      </c>
    </row>
    <row r="784" spans="1:7">
      <c r="A784" s="6">
        <v>45646</v>
      </c>
      <c r="B784" s="7">
        <v>69.02</v>
      </c>
      <c r="C784" s="7">
        <v>68.83</v>
      </c>
      <c r="D784" s="7">
        <v>69.38</v>
      </c>
      <c r="E784" s="7">
        <v>68.05</v>
      </c>
      <c r="F784" s="7" t="s">
        <v>771</v>
      </c>
      <c r="G784" s="8">
        <v>-0.0052</v>
      </c>
    </row>
    <row r="785" spans="1:7">
      <c r="A785" s="6">
        <v>45649</v>
      </c>
      <c r="B785" s="7">
        <v>68.81</v>
      </c>
      <c r="C785" s="7">
        <v>68.97</v>
      </c>
      <c r="D785" s="7">
        <v>69.5</v>
      </c>
      <c r="E785" s="7">
        <v>68.22</v>
      </c>
      <c r="F785" s="7" t="s">
        <v>772</v>
      </c>
      <c r="G785" s="8">
        <v>-0.003</v>
      </c>
    </row>
    <row r="786" spans="1:7">
      <c r="A786" s="6">
        <v>45650</v>
      </c>
      <c r="B786" s="7">
        <v>69.64</v>
      </c>
      <c r="C786" s="7">
        <v>69.04</v>
      </c>
      <c r="D786" s="7">
        <v>69.94</v>
      </c>
      <c r="E786" s="7">
        <v>68.95</v>
      </c>
      <c r="F786" s="7" t="s">
        <v>773</v>
      </c>
      <c r="G786" s="8">
        <v>0.0121</v>
      </c>
    </row>
    <row r="787" spans="1:7">
      <c r="A787" s="6">
        <v>45652</v>
      </c>
      <c r="B787" s="7">
        <v>69.23</v>
      </c>
      <c r="C787" s="7">
        <v>69.72</v>
      </c>
      <c r="D787" s="7">
        <v>70.25</v>
      </c>
      <c r="E787" s="7">
        <v>68.94</v>
      </c>
      <c r="F787" s="7" t="s">
        <v>774</v>
      </c>
      <c r="G787" s="8">
        <v>-0.0059</v>
      </c>
    </row>
    <row r="788" spans="1:7">
      <c r="A788" s="6">
        <v>45653</v>
      </c>
      <c r="B788" s="7">
        <v>70.18</v>
      </c>
      <c r="C788" s="7">
        <v>69.27</v>
      </c>
      <c r="D788" s="7">
        <v>70.32</v>
      </c>
      <c r="E788" s="7">
        <v>69.06</v>
      </c>
      <c r="F788" s="7" t="s">
        <v>775</v>
      </c>
      <c r="G788" s="8">
        <v>0.0137</v>
      </c>
    </row>
    <row r="789" spans="1:7">
      <c r="A789" s="6">
        <v>45656</v>
      </c>
      <c r="B789" s="7">
        <v>70.53</v>
      </c>
      <c r="C789" s="7">
        <v>70</v>
      </c>
      <c r="D789" s="7">
        <v>71.05</v>
      </c>
      <c r="E789" s="7">
        <v>69.75</v>
      </c>
      <c r="F789" s="7" t="s">
        <v>776</v>
      </c>
      <c r="G789" s="8">
        <v>0.005</v>
      </c>
    </row>
    <row r="790" spans="1:7">
      <c r="A790" s="6">
        <v>45657</v>
      </c>
      <c r="B790" s="7">
        <v>71.25</v>
      </c>
      <c r="C790" s="7">
        <v>70.69</v>
      </c>
      <c r="D790" s="7">
        <v>71.52</v>
      </c>
      <c r="E790" s="7">
        <v>70.43</v>
      </c>
      <c r="F790" s="7" t="s">
        <v>777</v>
      </c>
      <c r="G790" s="8">
        <v>0.0102</v>
      </c>
    </row>
    <row r="791" spans="1:7">
      <c r="A791" s="6">
        <v>45659</v>
      </c>
      <c r="B791" s="7">
        <v>72.5</v>
      </c>
      <c r="C791" s="7">
        <v>71.45</v>
      </c>
      <c r="D791" s="7">
        <v>73.12</v>
      </c>
      <c r="E791" s="7">
        <v>71.31</v>
      </c>
      <c r="F791" s="7" t="s">
        <v>778</v>
      </c>
      <c r="G791" s="8">
        <v>0.0175</v>
      </c>
    </row>
    <row r="792" spans="1:7">
      <c r="A792" s="6">
        <v>45660</v>
      </c>
      <c r="B792" s="7">
        <v>73.21</v>
      </c>
      <c r="C792" s="7">
        <v>72.46</v>
      </c>
      <c r="D792" s="7">
        <v>73.5</v>
      </c>
      <c r="E792" s="7">
        <v>72.1</v>
      </c>
      <c r="F792" s="7" t="s">
        <v>779</v>
      </c>
      <c r="G792" s="8">
        <v>0.0098</v>
      </c>
    </row>
    <row r="793" spans="1:7">
      <c r="A793" s="6">
        <v>45663</v>
      </c>
      <c r="B793" s="7">
        <v>72.92</v>
      </c>
      <c r="C793" s="7">
        <v>73.31</v>
      </c>
      <c r="D793" s="7">
        <v>74.18</v>
      </c>
      <c r="E793" s="7">
        <v>72.54</v>
      </c>
      <c r="F793" s="7" t="s">
        <v>780</v>
      </c>
      <c r="G793" s="8">
        <v>-0.004</v>
      </c>
    </row>
    <row r="794" spans="1:7">
      <c r="A794" s="6">
        <v>45664</v>
      </c>
      <c r="B794" s="7">
        <v>73.57</v>
      </c>
      <c r="C794" s="7">
        <v>72.81</v>
      </c>
      <c r="D794" s="7">
        <v>73.82</v>
      </c>
      <c r="E794" s="7">
        <v>72.51</v>
      </c>
      <c r="F794" s="7" t="s">
        <v>781</v>
      </c>
      <c r="G794" s="8">
        <v>0.0089</v>
      </c>
    </row>
    <row r="795" spans="1:7">
      <c r="A795" s="6">
        <v>45665</v>
      </c>
      <c r="B795" s="7">
        <v>72.67</v>
      </c>
      <c r="C795" s="7">
        <v>73.81</v>
      </c>
      <c r="D795" s="7">
        <v>74.44</v>
      </c>
      <c r="E795" s="7">
        <v>72.51</v>
      </c>
      <c r="F795" s="7" t="s">
        <v>782</v>
      </c>
      <c r="G795" s="8">
        <v>-0.0122</v>
      </c>
    </row>
    <row r="796" spans="1:7">
      <c r="A796" s="6">
        <v>45666</v>
      </c>
      <c r="B796" s="7">
        <v>73.24</v>
      </c>
      <c r="C796" s="7">
        <v>72.66</v>
      </c>
      <c r="D796" s="7">
        <v>73.61</v>
      </c>
      <c r="E796" s="7">
        <v>72.2</v>
      </c>
      <c r="F796" s="7" t="s">
        <v>783</v>
      </c>
      <c r="G796" s="8">
        <v>0.0078</v>
      </c>
    </row>
    <row r="797" spans="1:7">
      <c r="A797" s="6">
        <v>45667</v>
      </c>
      <c r="B797" s="7">
        <v>75.75</v>
      </c>
      <c r="C797" s="7">
        <v>73.57</v>
      </c>
      <c r="D797" s="7">
        <v>76.89</v>
      </c>
      <c r="E797" s="7">
        <v>73.33</v>
      </c>
      <c r="F797" s="7" t="s">
        <v>784</v>
      </c>
      <c r="G797" s="8">
        <v>0.0343</v>
      </c>
    </row>
    <row r="798" spans="1:7">
      <c r="A798" s="6">
        <v>45670</v>
      </c>
      <c r="B798" s="7">
        <v>77.3</v>
      </c>
      <c r="C798" s="7">
        <v>75.68</v>
      </c>
      <c r="D798" s="7">
        <v>77.64</v>
      </c>
      <c r="E798" s="7">
        <v>75.67</v>
      </c>
      <c r="F798" s="7" t="s">
        <v>785</v>
      </c>
      <c r="G798" s="8">
        <v>0.0205</v>
      </c>
    </row>
    <row r="799" spans="1:7">
      <c r="A799" s="6">
        <v>45671</v>
      </c>
      <c r="B799" s="7">
        <v>76.37</v>
      </c>
      <c r="C799" s="7">
        <v>77.24</v>
      </c>
      <c r="D799" s="7">
        <v>77.51</v>
      </c>
      <c r="E799" s="7">
        <v>76.2</v>
      </c>
      <c r="F799" s="7" t="s">
        <v>786</v>
      </c>
      <c r="G799" s="8">
        <v>-0.012</v>
      </c>
    </row>
    <row r="800" spans="1:7">
      <c r="A800" s="6">
        <v>45672</v>
      </c>
      <c r="B800" s="7">
        <v>78.71</v>
      </c>
      <c r="C800" s="7">
        <v>76.84</v>
      </c>
      <c r="D800" s="7">
        <v>79.39</v>
      </c>
      <c r="E800" s="7">
        <v>76.16</v>
      </c>
      <c r="F800" s="7" t="s">
        <v>787</v>
      </c>
      <c r="G800" s="8">
        <v>0.0306</v>
      </c>
    </row>
    <row r="801" spans="1:7">
      <c r="A801" s="6">
        <v>45673</v>
      </c>
      <c r="B801" s="7">
        <v>78.68</v>
      </c>
      <c r="C801" s="7">
        <v>80.4</v>
      </c>
      <c r="D801" s="7">
        <v>80.59</v>
      </c>
      <c r="E801" s="7">
        <v>77.87</v>
      </c>
      <c r="F801" s="7" t="s">
        <v>788</v>
      </c>
      <c r="G801" s="8">
        <v>-0.0004</v>
      </c>
    </row>
    <row r="802" spans="1:7">
      <c r="A802" s="6">
        <v>45674</v>
      </c>
      <c r="B802" s="7">
        <v>77.88</v>
      </c>
      <c r="C802" s="7">
        <v>78.75</v>
      </c>
      <c r="D802" s="7">
        <v>79.44</v>
      </c>
      <c r="E802" s="7">
        <v>77.76</v>
      </c>
      <c r="F802" s="7" t="s">
        <v>506</v>
      </c>
      <c r="G802" s="8">
        <v>-0.0102</v>
      </c>
    </row>
    <row r="803" spans="1:7">
      <c r="A803" s="6">
        <v>45678</v>
      </c>
      <c r="B803" s="7">
        <v>75.89</v>
      </c>
      <c r="C803" s="7">
        <v>78.19</v>
      </c>
      <c r="D803" s="7">
        <v>78.47</v>
      </c>
      <c r="E803" s="7">
        <v>75.49</v>
      </c>
      <c r="F803" s="7" t="s">
        <v>789</v>
      </c>
      <c r="G803" s="8">
        <v>-0.0256</v>
      </c>
    </row>
    <row r="804" spans="1:7">
      <c r="A804" s="6">
        <v>45679</v>
      </c>
      <c r="B804" s="7">
        <v>75.44</v>
      </c>
      <c r="C804" s="7">
        <v>75.88</v>
      </c>
      <c r="D804" s="7">
        <v>76.45</v>
      </c>
      <c r="E804" s="7">
        <v>75.28</v>
      </c>
      <c r="F804" s="7" t="s">
        <v>790</v>
      </c>
      <c r="G804" s="8">
        <v>-0.0059</v>
      </c>
    </row>
    <row r="805" spans="1:7">
      <c r="A805" s="6">
        <v>45680</v>
      </c>
      <c r="B805" s="7">
        <v>74.62</v>
      </c>
      <c r="C805" s="7">
        <v>75.39</v>
      </c>
      <c r="D805" s="7">
        <v>76</v>
      </c>
      <c r="E805" s="7">
        <v>74.14</v>
      </c>
      <c r="F805" s="7" t="s">
        <v>791</v>
      </c>
      <c r="G805" s="8">
        <v>-0.0109</v>
      </c>
    </row>
    <row r="806" spans="1:7">
      <c r="A806" s="6">
        <v>45681</v>
      </c>
      <c r="B806" s="7">
        <v>74.66</v>
      </c>
      <c r="C806" s="7">
        <v>74.3</v>
      </c>
      <c r="D806" s="7">
        <v>75.21</v>
      </c>
      <c r="E806" s="7">
        <v>74.01</v>
      </c>
      <c r="F806" s="7" t="s">
        <v>792</v>
      </c>
      <c r="G806" s="8">
        <v>0.0005</v>
      </c>
    </row>
    <row r="807" spans="1:7">
      <c r="A807" s="6">
        <v>45684</v>
      </c>
      <c r="B807" s="7">
        <v>73.17</v>
      </c>
      <c r="C807" s="7">
        <v>74.54</v>
      </c>
      <c r="D807" s="7">
        <v>75.15</v>
      </c>
      <c r="E807" s="7">
        <v>72.38</v>
      </c>
      <c r="F807" s="7" t="s">
        <v>793</v>
      </c>
      <c r="G807" s="8">
        <v>-0.02</v>
      </c>
    </row>
    <row r="808" spans="1:7">
      <c r="A808" s="6">
        <v>45685</v>
      </c>
      <c r="B808" s="7">
        <v>73.77</v>
      </c>
      <c r="C808" s="7">
        <v>73.15</v>
      </c>
      <c r="D808" s="7">
        <v>74.31</v>
      </c>
      <c r="E808" s="7">
        <v>72.93</v>
      </c>
      <c r="F808" s="7" t="s">
        <v>794</v>
      </c>
      <c r="G808" s="8">
        <v>0.0082</v>
      </c>
    </row>
    <row r="809" spans="1:7">
      <c r="A809" s="6">
        <v>45686</v>
      </c>
      <c r="B809" s="7">
        <v>72.62</v>
      </c>
      <c r="C809" s="7">
        <v>73.95</v>
      </c>
      <c r="D809" s="7">
        <v>74.08</v>
      </c>
      <c r="E809" s="7">
        <v>72.33</v>
      </c>
      <c r="F809" s="7" t="s">
        <v>795</v>
      </c>
      <c r="G809" s="8">
        <v>-0.0156</v>
      </c>
    </row>
    <row r="810" spans="1:7">
      <c r="A810" s="6">
        <v>45687</v>
      </c>
      <c r="B810" s="7">
        <v>72.73</v>
      </c>
      <c r="C810" s="7">
        <v>73</v>
      </c>
      <c r="D810" s="7">
        <v>73.84</v>
      </c>
      <c r="E810" s="7">
        <v>72.02</v>
      </c>
      <c r="F810" s="7" t="s">
        <v>796</v>
      </c>
      <c r="G810" s="8">
        <v>0.0015</v>
      </c>
    </row>
    <row r="811" spans="1:7">
      <c r="A811" s="6">
        <v>45688</v>
      </c>
      <c r="B811" s="7">
        <v>72.53</v>
      </c>
      <c r="C811" s="7">
        <v>73.2</v>
      </c>
      <c r="D811" s="7">
        <v>73.84</v>
      </c>
      <c r="E811" s="7">
        <v>71.94</v>
      </c>
      <c r="F811" s="7" t="s">
        <v>797</v>
      </c>
      <c r="G811" s="8">
        <v>-0.0027</v>
      </c>
    </row>
    <row r="812" spans="1:7">
      <c r="A812" s="6">
        <v>45691</v>
      </c>
      <c r="B812" s="7">
        <v>73.16</v>
      </c>
      <c r="C812" s="7">
        <v>74.14</v>
      </c>
      <c r="D812" s="7">
        <v>75.18</v>
      </c>
      <c r="E812" s="7">
        <v>72.05</v>
      </c>
      <c r="F812" s="7" t="s">
        <v>798</v>
      </c>
      <c r="G812" s="8">
        <v>0.0087</v>
      </c>
    </row>
    <row r="813" spans="1:7">
      <c r="A813" s="6">
        <v>45692</v>
      </c>
      <c r="B813" s="7">
        <v>72.7</v>
      </c>
      <c r="C813" s="7">
        <v>72.35</v>
      </c>
      <c r="D813" s="7">
        <v>73.35</v>
      </c>
      <c r="E813" s="7">
        <v>70.67</v>
      </c>
      <c r="F813" s="7" t="s">
        <v>799</v>
      </c>
      <c r="G813" s="8">
        <v>-0.0063</v>
      </c>
    </row>
    <row r="814" spans="1:7">
      <c r="A814" s="6">
        <v>45693</v>
      </c>
      <c r="B814" s="7">
        <v>71.03</v>
      </c>
      <c r="C814" s="7">
        <v>72.76</v>
      </c>
      <c r="D814" s="7">
        <v>72.97</v>
      </c>
      <c r="E814" s="7">
        <v>70.96</v>
      </c>
      <c r="F814" s="7" t="s">
        <v>800</v>
      </c>
      <c r="G814" s="8">
        <v>-0.023</v>
      </c>
    </row>
    <row r="815" spans="1:7">
      <c r="A815" s="6">
        <v>45694</v>
      </c>
      <c r="B815" s="7">
        <v>70.61</v>
      </c>
      <c r="C815" s="7">
        <v>71.18</v>
      </c>
      <c r="D815" s="7">
        <v>71.85</v>
      </c>
      <c r="E815" s="7">
        <v>70.43</v>
      </c>
      <c r="F815" s="7" t="s">
        <v>801</v>
      </c>
      <c r="G815" s="8">
        <v>-0.0059</v>
      </c>
    </row>
    <row r="816" spans="1:7">
      <c r="A816" s="6">
        <v>45695</v>
      </c>
      <c r="B816" s="7">
        <v>71</v>
      </c>
      <c r="C816" s="7">
        <v>70.56</v>
      </c>
      <c r="D816" s="7">
        <v>71.41</v>
      </c>
      <c r="E816" s="7">
        <v>70.47</v>
      </c>
      <c r="F816" s="7" t="s">
        <v>802</v>
      </c>
      <c r="G816" s="8">
        <v>0.0055</v>
      </c>
    </row>
    <row r="817" spans="1:7">
      <c r="A817" s="6">
        <v>45698</v>
      </c>
      <c r="B817" s="7">
        <v>72.01</v>
      </c>
      <c r="C817" s="7">
        <v>70.77</v>
      </c>
      <c r="D817" s="7">
        <v>72.2</v>
      </c>
      <c r="E817" s="7">
        <v>70.61</v>
      </c>
      <c r="F817" s="7" t="s">
        <v>803</v>
      </c>
      <c r="G817" s="8">
        <v>0.0142</v>
      </c>
    </row>
    <row r="818" spans="1:7">
      <c r="A818" s="6">
        <v>45699</v>
      </c>
      <c r="B818" s="7">
        <v>73.08</v>
      </c>
      <c r="C818" s="7">
        <v>72.11</v>
      </c>
      <c r="D818" s="7">
        <v>73.33</v>
      </c>
      <c r="E818" s="7">
        <v>72</v>
      </c>
      <c r="F818" s="7" t="s">
        <v>804</v>
      </c>
      <c r="G818" s="8">
        <v>0.0149</v>
      </c>
    </row>
    <row r="819" spans="1:7">
      <c r="A819" s="6">
        <v>45700</v>
      </c>
      <c r="B819" s="7">
        <v>71.24</v>
      </c>
      <c r="C819" s="7">
        <v>72.98</v>
      </c>
      <c r="D819" s="7">
        <v>73</v>
      </c>
      <c r="E819" s="7">
        <v>71.03</v>
      </c>
      <c r="F819" s="7" t="s">
        <v>805</v>
      </c>
      <c r="G819" s="8">
        <v>-0.0252</v>
      </c>
    </row>
    <row r="820" spans="1:7">
      <c r="A820" s="6">
        <v>45701</v>
      </c>
      <c r="B820" s="7">
        <v>71.14</v>
      </c>
      <c r="C820" s="7">
        <v>71.08</v>
      </c>
      <c r="D820" s="7">
        <v>71.46</v>
      </c>
      <c r="E820" s="7">
        <v>70.16</v>
      </c>
      <c r="F820" s="7" t="s">
        <v>806</v>
      </c>
      <c r="G820" s="8">
        <v>-0.0014</v>
      </c>
    </row>
    <row r="821" spans="1:7">
      <c r="A821" s="6">
        <v>45702</v>
      </c>
      <c r="B821" s="7">
        <v>70.71</v>
      </c>
      <c r="C821" s="7">
        <v>71.38</v>
      </c>
      <c r="D821" s="7">
        <v>71.88</v>
      </c>
      <c r="E821" s="7">
        <v>70.5</v>
      </c>
      <c r="F821" s="7" t="s">
        <v>807</v>
      </c>
      <c r="G821" s="8">
        <v>-0.006</v>
      </c>
    </row>
    <row r="822" spans="1:7">
      <c r="A822" s="6">
        <v>45706</v>
      </c>
      <c r="B822" s="7">
        <v>71.85</v>
      </c>
      <c r="C822" s="7">
        <v>70.7</v>
      </c>
      <c r="D822" s="7">
        <v>72.07</v>
      </c>
      <c r="E822" s="7">
        <v>70.12</v>
      </c>
      <c r="F822" s="7" t="s">
        <v>808</v>
      </c>
      <c r="G822" s="8">
        <v>0.0161</v>
      </c>
    </row>
    <row r="823" spans="1:7">
      <c r="A823" s="6">
        <v>45707</v>
      </c>
      <c r="B823" s="7">
        <v>72.25</v>
      </c>
      <c r="C823" s="7">
        <v>71.78</v>
      </c>
      <c r="D823" s="7">
        <v>73.04</v>
      </c>
      <c r="E823" s="7">
        <v>71.71</v>
      </c>
      <c r="F823" s="7" t="s">
        <v>809</v>
      </c>
      <c r="G823" s="8">
        <v>0.0056</v>
      </c>
    </row>
    <row r="824" spans="1:7">
      <c r="A824" s="6">
        <v>45708</v>
      </c>
      <c r="B824" s="7">
        <v>72.57</v>
      </c>
      <c r="C824" s="7">
        <v>72.18</v>
      </c>
      <c r="D824" s="7">
        <v>73.25</v>
      </c>
      <c r="E824" s="7">
        <v>71.85</v>
      </c>
      <c r="F824" s="7" t="s">
        <v>810</v>
      </c>
      <c r="G824" s="8">
        <v>0.0044</v>
      </c>
    </row>
    <row r="825" spans="1:7">
      <c r="A825" s="6">
        <v>45709</v>
      </c>
      <c r="B825" s="7">
        <v>70.4</v>
      </c>
      <c r="C825" s="7">
        <v>72.58</v>
      </c>
      <c r="D825" s="7">
        <v>72.77</v>
      </c>
      <c r="E825" s="7">
        <v>70.17</v>
      </c>
      <c r="F825" s="7" t="s">
        <v>811</v>
      </c>
      <c r="G825" s="8">
        <v>-0.0299</v>
      </c>
    </row>
    <row r="826" spans="1:7">
      <c r="A826" s="6">
        <v>45712</v>
      </c>
      <c r="B826" s="7">
        <v>70.7</v>
      </c>
      <c r="C826" s="7">
        <v>69.8</v>
      </c>
      <c r="D826" s="7">
        <v>70.94</v>
      </c>
      <c r="E826" s="7">
        <v>69.8</v>
      </c>
      <c r="F826" s="7" t="s">
        <v>812</v>
      </c>
      <c r="G826" s="8">
        <v>0.0043</v>
      </c>
    </row>
    <row r="827" spans="1:7">
      <c r="A827" s="6">
        <v>45713</v>
      </c>
      <c r="B827" s="7">
        <v>68.93</v>
      </c>
      <c r="C827" s="7">
        <v>70.92</v>
      </c>
      <c r="D827" s="7">
        <v>71.26</v>
      </c>
      <c r="E827" s="7">
        <v>68.68</v>
      </c>
      <c r="F827" s="7" t="s">
        <v>813</v>
      </c>
      <c r="G827" s="8">
        <v>-0.025</v>
      </c>
    </row>
    <row r="828" spans="1:7">
      <c r="A828" s="6">
        <v>45714</v>
      </c>
      <c r="B828" s="7">
        <v>68.62</v>
      </c>
      <c r="C828" s="7">
        <v>69.11</v>
      </c>
      <c r="D828" s="7">
        <v>69.28</v>
      </c>
      <c r="E828" s="7">
        <v>68.36</v>
      </c>
      <c r="F828" s="7" t="s">
        <v>814</v>
      </c>
      <c r="G828" s="8">
        <v>-0.0045</v>
      </c>
    </row>
    <row r="829" spans="1:7">
      <c r="A829" s="6">
        <v>45715</v>
      </c>
      <c r="B829" s="7">
        <v>70.35</v>
      </c>
      <c r="C829" s="7">
        <v>68.82</v>
      </c>
      <c r="D829" s="7">
        <v>70.54</v>
      </c>
      <c r="E829" s="7">
        <v>68.61</v>
      </c>
      <c r="F829" s="7" t="s">
        <v>815</v>
      </c>
      <c r="G829" s="8">
        <v>0.0252</v>
      </c>
    </row>
    <row r="830" spans="1:7">
      <c r="A830" s="6">
        <v>45716</v>
      </c>
      <c r="B830" s="7">
        <v>69.76</v>
      </c>
      <c r="C830" s="7">
        <v>70.17</v>
      </c>
      <c r="D830" s="7">
        <v>70.29</v>
      </c>
      <c r="E830" s="7">
        <v>69.14</v>
      </c>
      <c r="F830" s="7" t="s">
        <v>816</v>
      </c>
      <c r="G830" s="8">
        <v>-0.0084</v>
      </c>
    </row>
    <row r="831" spans="1:7">
      <c r="A831" s="6">
        <v>45719</v>
      </c>
      <c r="B831" s="7">
        <v>68.37</v>
      </c>
      <c r="C831" s="7">
        <v>69.95</v>
      </c>
      <c r="D831" s="7">
        <v>70.6</v>
      </c>
      <c r="E831" s="7">
        <v>67.89</v>
      </c>
      <c r="F831" s="7" t="s">
        <v>817</v>
      </c>
      <c r="G831" s="8">
        <v>-0.0199</v>
      </c>
    </row>
    <row r="832" spans="1:7">
      <c r="A832" s="6">
        <v>45720</v>
      </c>
      <c r="B832" s="7">
        <v>68.26</v>
      </c>
      <c r="C832" s="7">
        <v>68.46</v>
      </c>
      <c r="D832" s="7">
        <v>68.56</v>
      </c>
      <c r="E832" s="7">
        <v>66.77</v>
      </c>
      <c r="F832" s="7" t="s">
        <v>818</v>
      </c>
      <c r="G832" s="8">
        <v>-0.0016</v>
      </c>
    </row>
    <row r="833" spans="1:7">
      <c r="A833" s="6">
        <v>45721</v>
      </c>
      <c r="B833" s="7">
        <v>66.31</v>
      </c>
      <c r="C833" s="7">
        <v>68.08</v>
      </c>
      <c r="D833" s="7">
        <v>68.1</v>
      </c>
      <c r="E833" s="7">
        <v>65.22</v>
      </c>
      <c r="F833" s="7" t="s">
        <v>819</v>
      </c>
      <c r="G833" s="8">
        <v>-0.0286</v>
      </c>
    </row>
    <row r="834" spans="1:7">
      <c r="A834" s="6">
        <v>45722</v>
      </c>
      <c r="B834" s="7">
        <v>66.36</v>
      </c>
      <c r="C834" s="7">
        <v>66.39</v>
      </c>
      <c r="D834" s="7">
        <v>67.09</v>
      </c>
      <c r="E834" s="7">
        <v>65.59</v>
      </c>
      <c r="F834" s="7" t="s">
        <v>820</v>
      </c>
      <c r="G834" s="8">
        <v>0.0008</v>
      </c>
    </row>
    <row r="835" spans="1:7">
      <c r="A835" s="6">
        <v>45723</v>
      </c>
      <c r="B835" s="7">
        <v>67.04</v>
      </c>
      <c r="C835" s="7">
        <v>66.34</v>
      </c>
      <c r="D835" s="7">
        <v>68.22</v>
      </c>
      <c r="E835" s="7">
        <v>66.12</v>
      </c>
      <c r="F835" s="7" t="s">
        <v>821</v>
      </c>
      <c r="G835" s="8">
        <v>0.0102</v>
      </c>
    </row>
    <row r="836" spans="1:7">
      <c r="A836" s="6">
        <v>45726</v>
      </c>
      <c r="B836" s="7">
        <v>65.68</v>
      </c>
      <c r="C836" s="7">
        <v>66.78</v>
      </c>
      <c r="D836" s="7">
        <v>67.24</v>
      </c>
      <c r="E836" s="7">
        <v>65.45</v>
      </c>
      <c r="F836" s="7" t="s">
        <v>822</v>
      </c>
      <c r="G836" s="8">
        <v>-0.0203</v>
      </c>
    </row>
    <row r="837" spans="1:7">
      <c r="A837" s="6">
        <v>45727</v>
      </c>
      <c r="B837" s="7">
        <v>65.93</v>
      </c>
      <c r="C837" s="7">
        <v>65.6</v>
      </c>
      <c r="D837" s="7">
        <v>66.79</v>
      </c>
      <c r="E837" s="7">
        <v>65</v>
      </c>
      <c r="F837" s="7" t="s">
        <v>823</v>
      </c>
      <c r="G837" s="8">
        <v>0.0038</v>
      </c>
    </row>
    <row r="838" spans="1:7">
      <c r="A838" s="6">
        <v>45728</v>
      </c>
      <c r="B838" s="7">
        <v>67.38</v>
      </c>
      <c r="C838" s="7">
        <v>66.31</v>
      </c>
      <c r="D838" s="7">
        <v>67.53</v>
      </c>
      <c r="E838" s="7">
        <v>65.83</v>
      </c>
      <c r="F838" s="7" t="s">
        <v>824</v>
      </c>
      <c r="G838" s="8">
        <v>0.022</v>
      </c>
    </row>
    <row r="839" spans="1:7">
      <c r="A839" s="6">
        <v>45729</v>
      </c>
      <c r="B839" s="7">
        <v>66.27</v>
      </c>
      <c r="C839" s="7">
        <v>67.38</v>
      </c>
      <c r="D839" s="7">
        <v>67.65</v>
      </c>
      <c r="E839" s="7">
        <v>66.08</v>
      </c>
      <c r="F839" s="7" t="s">
        <v>825</v>
      </c>
      <c r="G839" s="8">
        <v>-0.0165</v>
      </c>
    </row>
    <row r="840" spans="1:7">
      <c r="A840" s="6">
        <v>45730</v>
      </c>
      <c r="B840" s="7">
        <v>66.91</v>
      </c>
      <c r="C840" s="7">
        <v>66.48</v>
      </c>
      <c r="D840" s="7">
        <v>67.19</v>
      </c>
      <c r="E840" s="7">
        <v>66.33</v>
      </c>
      <c r="F840" s="7" t="s">
        <v>826</v>
      </c>
      <c r="G840" s="8">
        <v>0.0097</v>
      </c>
    </row>
    <row r="841" spans="1:7">
      <c r="A841" s="6">
        <v>45733</v>
      </c>
      <c r="B841" s="7">
        <v>67.37</v>
      </c>
      <c r="C841" s="7">
        <v>67.1</v>
      </c>
      <c r="D841" s="7">
        <v>68.1</v>
      </c>
      <c r="E841" s="7">
        <v>67.01</v>
      </c>
      <c r="F841" s="7" t="s">
        <v>827</v>
      </c>
      <c r="G841" s="8">
        <v>0.0069</v>
      </c>
    </row>
    <row r="842" spans="1:7">
      <c r="A842" s="6">
        <v>45734</v>
      </c>
      <c r="B842" s="7">
        <v>66.9</v>
      </c>
      <c r="C842" s="7">
        <v>67.4</v>
      </c>
      <c r="D842" s="7">
        <v>68.72</v>
      </c>
      <c r="E842" s="7">
        <v>66.56</v>
      </c>
      <c r="F842" s="7" t="s">
        <v>828</v>
      </c>
      <c r="G842" s="8">
        <v>-0.007</v>
      </c>
    </row>
    <row r="843" spans="1:7">
      <c r="A843" s="6">
        <v>45735</v>
      </c>
      <c r="B843" s="7">
        <v>67.16</v>
      </c>
      <c r="C843" s="7">
        <v>66.72</v>
      </c>
      <c r="D843" s="7">
        <v>67.63</v>
      </c>
      <c r="E843" s="7">
        <v>66.21</v>
      </c>
      <c r="F843" s="7" t="s">
        <v>829</v>
      </c>
      <c r="G843" s="8">
        <v>0.0039</v>
      </c>
    </row>
    <row r="844" spans="1:7">
      <c r="A844" s="6">
        <v>45736</v>
      </c>
      <c r="B844" s="7">
        <v>68.26</v>
      </c>
      <c r="C844" s="7">
        <v>67.29</v>
      </c>
      <c r="D844" s="7">
        <v>68.47</v>
      </c>
      <c r="E844" s="7">
        <v>66.88</v>
      </c>
      <c r="F844" s="7" t="s">
        <v>830</v>
      </c>
      <c r="G844" s="8">
        <v>0.0164</v>
      </c>
    </row>
    <row r="845" spans="1:7">
      <c r="A845" s="6">
        <v>45737</v>
      </c>
      <c r="B845" s="7">
        <v>68.28</v>
      </c>
      <c r="C845" s="7">
        <v>68.35</v>
      </c>
      <c r="D845" s="7">
        <v>68.65</v>
      </c>
      <c r="E845" s="7">
        <v>67.65</v>
      </c>
      <c r="F845" s="7" t="s">
        <v>491</v>
      </c>
      <c r="G845" s="8">
        <v>0.0003</v>
      </c>
    </row>
    <row r="846" spans="1:7">
      <c r="A846" s="6">
        <v>45740</v>
      </c>
      <c r="B846" s="7">
        <v>69.11</v>
      </c>
      <c r="C846" s="7">
        <v>68.35</v>
      </c>
      <c r="D846" s="7">
        <v>69.33</v>
      </c>
      <c r="E846" s="7">
        <v>67.95</v>
      </c>
      <c r="F846" s="7" t="s">
        <v>831</v>
      </c>
      <c r="G846" s="8">
        <v>0.0122</v>
      </c>
    </row>
    <row r="847" spans="1:7">
      <c r="A847" s="6">
        <v>45741</v>
      </c>
      <c r="B847" s="7">
        <v>69</v>
      </c>
      <c r="C847" s="7">
        <v>69.16</v>
      </c>
      <c r="D847" s="7">
        <v>69.68</v>
      </c>
      <c r="E847" s="7">
        <v>68.52</v>
      </c>
      <c r="F847" s="7" t="s">
        <v>832</v>
      </c>
      <c r="G847" s="8">
        <v>-0.0016</v>
      </c>
    </row>
    <row r="848" spans="1:7">
      <c r="A848" s="6">
        <v>45742</v>
      </c>
      <c r="B848" s="7">
        <v>69.65</v>
      </c>
      <c r="C848" s="7">
        <v>69.16</v>
      </c>
      <c r="D848" s="7">
        <v>70.22</v>
      </c>
      <c r="E848" s="7">
        <v>69.06</v>
      </c>
      <c r="F848" s="7" t="s">
        <v>833</v>
      </c>
      <c r="G848" s="8">
        <v>0.0094</v>
      </c>
    </row>
    <row r="849" spans="1:7">
      <c r="A849" s="6">
        <v>45743</v>
      </c>
      <c r="B849" s="7">
        <v>69.92</v>
      </c>
      <c r="C849" s="7">
        <v>69.96</v>
      </c>
      <c r="D849" s="7">
        <v>69.97</v>
      </c>
      <c r="E849" s="7">
        <v>69.12</v>
      </c>
      <c r="F849" s="7" t="s">
        <v>834</v>
      </c>
      <c r="G849" s="8">
        <v>0.0039</v>
      </c>
    </row>
    <row r="850" spans="1:7">
      <c r="A850" s="6">
        <v>45744</v>
      </c>
      <c r="B850" s="7">
        <v>69.36</v>
      </c>
      <c r="C850" s="7">
        <v>69.91</v>
      </c>
      <c r="D850" s="7">
        <v>70.09</v>
      </c>
      <c r="E850" s="7">
        <v>68.87</v>
      </c>
      <c r="F850" s="7" t="s">
        <v>835</v>
      </c>
      <c r="G850" s="8">
        <v>-0.008</v>
      </c>
    </row>
    <row r="851" spans="1:7">
      <c r="A851" s="6">
        <v>45747</v>
      </c>
      <c r="B851" s="7">
        <v>71.48</v>
      </c>
      <c r="C851" s="7">
        <v>69.43</v>
      </c>
      <c r="D851" s="7">
        <v>71.83</v>
      </c>
      <c r="E851" s="7">
        <v>68.81</v>
      </c>
      <c r="F851" s="7" t="s">
        <v>836</v>
      </c>
      <c r="G851" s="8">
        <v>0.0306</v>
      </c>
    </row>
    <row r="852" spans="1:7">
      <c r="A852" s="6">
        <v>45748</v>
      </c>
      <c r="B852" s="7">
        <v>71.2</v>
      </c>
      <c r="C852" s="7">
        <v>71.39</v>
      </c>
      <c r="D852" s="7">
        <v>72.1</v>
      </c>
      <c r="E852" s="7">
        <v>71.03</v>
      </c>
      <c r="F852" s="7" t="s">
        <v>837</v>
      </c>
      <c r="G852" s="8">
        <v>-0.0039</v>
      </c>
    </row>
    <row r="853" spans="1:7">
      <c r="A853" s="6">
        <v>45749</v>
      </c>
      <c r="B853" s="7">
        <v>71.71</v>
      </c>
      <c r="C853" s="7">
        <v>71.2</v>
      </c>
      <c r="D853" s="7">
        <v>72.28</v>
      </c>
      <c r="E853" s="7">
        <v>70.59</v>
      </c>
      <c r="F853" s="7" t="s">
        <v>838</v>
      </c>
      <c r="G853" s="8">
        <v>0.0072</v>
      </c>
    </row>
    <row r="854" spans="1:7">
      <c r="A854" s="6">
        <v>45750</v>
      </c>
      <c r="B854" s="7">
        <v>66.95</v>
      </c>
      <c r="C854" s="7">
        <v>70.38</v>
      </c>
      <c r="D854" s="7">
        <v>70.41</v>
      </c>
      <c r="E854" s="7">
        <v>65.98</v>
      </c>
      <c r="F854" s="7" t="s">
        <v>839</v>
      </c>
      <c r="G854" s="8">
        <v>-0.0664</v>
      </c>
    </row>
    <row r="855" spans="1:7">
      <c r="A855" s="6">
        <v>45751</v>
      </c>
      <c r="B855" s="7">
        <v>61.99</v>
      </c>
      <c r="C855" s="7">
        <v>66.64</v>
      </c>
      <c r="D855" s="7">
        <v>66.9</v>
      </c>
      <c r="E855" s="7">
        <v>60.45</v>
      </c>
      <c r="F855" s="7" t="s">
        <v>840</v>
      </c>
      <c r="G855" s="8">
        <v>-0.0741</v>
      </c>
    </row>
    <row r="856" spans="1:7">
      <c r="A856" s="6">
        <v>45754</v>
      </c>
      <c r="B856" s="7">
        <v>60.7</v>
      </c>
      <c r="C856" s="7">
        <v>61.12</v>
      </c>
      <c r="D856" s="7">
        <v>63.9</v>
      </c>
      <c r="E856" s="7">
        <v>58.95</v>
      </c>
      <c r="F856" s="7" t="s">
        <v>841</v>
      </c>
      <c r="G856" s="8">
        <v>-0.0208</v>
      </c>
    </row>
    <row r="857" spans="1:7">
      <c r="A857" s="6">
        <v>45755</v>
      </c>
      <c r="B857" s="7">
        <v>59.58</v>
      </c>
      <c r="C857" s="7">
        <v>61.03</v>
      </c>
      <c r="D857" s="7">
        <v>61.75</v>
      </c>
      <c r="E857" s="7">
        <v>57.88</v>
      </c>
      <c r="F857" s="7" t="s">
        <v>842</v>
      </c>
      <c r="G857" s="8">
        <v>-0.0185</v>
      </c>
    </row>
    <row r="858" spans="1:7">
      <c r="A858" s="6">
        <v>45756</v>
      </c>
      <c r="B858" s="7">
        <v>62.35</v>
      </c>
      <c r="C858" s="7">
        <v>58.32</v>
      </c>
      <c r="D858" s="7">
        <v>62.93</v>
      </c>
      <c r="E858" s="7">
        <v>55.12</v>
      </c>
      <c r="F858" s="7" t="s">
        <v>843</v>
      </c>
      <c r="G858" s="8">
        <v>0.0465</v>
      </c>
    </row>
    <row r="859" spans="1:7">
      <c r="A859" s="6">
        <v>45757</v>
      </c>
      <c r="B859" s="7">
        <v>60.07</v>
      </c>
      <c r="C859" s="7">
        <v>62.71</v>
      </c>
      <c r="D859" s="7">
        <v>63.34</v>
      </c>
      <c r="E859" s="7">
        <v>58.76</v>
      </c>
      <c r="F859" s="7" t="s">
        <v>844</v>
      </c>
      <c r="G859" s="8">
        <v>-0.0366</v>
      </c>
    </row>
    <row r="860" spans="1:7">
      <c r="A860" s="6">
        <v>45758</v>
      </c>
      <c r="B860" s="7">
        <v>61.5</v>
      </c>
      <c r="C860" s="7">
        <v>60.2</v>
      </c>
      <c r="D860" s="7">
        <v>61.87</v>
      </c>
      <c r="E860" s="7">
        <v>59.43</v>
      </c>
      <c r="F860" s="7" t="s">
        <v>845</v>
      </c>
      <c r="G860" s="8">
        <v>0.0238</v>
      </c>
    </row>
    <row r="861" spans="1:7">
      <c r="A861" s="6">
        <v>45761</v>
      </c>
      <c r="B861" s="7">
        <v>61.05</v>
      </c>
      <c r="C861" s="7">
        <v>61.15</v>
      </c>
      <c r="D861" s="7">
        <v>62.07</v>
      </c>
      <c r="E861" s="7">
        <v>60.12</v>
      </c>
      <c r="F861" s="7" t="s">
        <v>846</v>
      </c>
      <c r="G861" s="8">
        <v>-0.0073</v>
      </c>
    </row>
    <row r="862" spans="1:7">
      <c r="A862" s="6">
        <v>45762</v>
      </c>
      <c r="B862" s="7">
        <v>60.75</v>
      </c>
      <c r="C862" s="7">
        <v>61.09</v>
      </c>
      <c r="D862" s="7">
        <v>61.57</v>
      </c>
      <c r="E862" s="7">
        <v>60.38</v>
      </c>
      <c r="F862" s="7" t="s">
        <v>847</v>
      </c>
      <c r="G862" s="8">
        <v>-0.0049</v>
      </c>
    </row>
    <row r="863" spans="1:7">
      <c r="A863" s="6">
        <v>45763</v>
      </c>
      <c r="B863" s="7">
        <v>62.47</v>
      </c>
      <c r="C863" s="7">
        <v>61.54</v>
      </c>
      <c r="D863" s="7">
        <v>62.98</v>
      </c>
      <c r="E863" s="7">
        <v>60.44</v>
      </c>
      <c r="F863" s="7" t="s">
        <v>848</v>
      </c>
      <c r="G863" s="8">
        <v>0.0283</v>
      </c>
    </row>
    <row r="864" spans="1:7">
      <c r="A864" s="6">
        <v>45764</v>
      </c>
      <c r="B864" s="7">
        <v>64.68</v>
      </c>
      <c r="C864" s="7">
        <v>62.63</v>
      </c>
      <c r="D864" s="7">
        <v>64.86</v>
      </c>
      <c r="E864" s="7">
        <v>62.61</v>
      </c>
      <c r="F864" s="7" t="s">
        <v>849</v>
      </c>
      <c r="G864" s="8">
        <v>0.0354</v>
      </c>
    </row>
    <row r="865" spans="1:7">
      <c r="A865" s="6">
        <v>45768</v>
      </c>
      <c r="B865" s="7">
        <v>63.08</v>
      </c>
      <c r="C865" s="7">
        <v>64.3</v>
      </c>
      <c r="D865" s="7">
        <v>64.42</v>
      </c>
      <c r="E865" s="7">
        <v>62.45</v>
      </c>
      <c r="F865" s="7" t="s">
        <v>850</v>
      </c>
      <c r="G865" s="8">
        <v>-0.0247</v>
      </c>
    </row>
    <row r="866" spans="1:7">
      <c r="A866" s="6">
        <v>45769</v>
      </c>
      <c r="B866" s="7">
        <v>64.31</v>
      </c>
      <c r="C866" s="7">
        <v>63.43</v>
      </c>
      <c r="D866" s="7">
        <v>65.09</v>
      </c>
      <c r="E866" s="7">
        <v>63.43</v>
      </c>
      <c r="F866" s="7" t="s">
        <v>851</v>
      </c>
      <c r="G866" s="8">
        <v>0.0195</v>
      </c>
    </row>
    <row r="867" spans="1:7">
      <c r="A867" s="6">
        <v>45770</v>
      </c>
      <c r="B867" s="7">
        <v>62.27</v>
      </c>
      <c r="C867" s="7">
        <v>64</v>
      </c>
      <c r="D867" s="7">
        <v>64.87</v>
      </c>
      <c r="E867" s="7">
        <v>61.53</v>
      </c>
      <c r="F867" s="7" t="s">
        <v>852</v>
      </c>
      <c r="G867" s="8">
        <v>-0.0317</v>
      </c>
    </row>
    <row r="868" spans="1:7">
      <c r="A868" s="6">
        <v>45771</v>
      </c>
      <c r="B868" s="7">
        <v>62.79</v>
      </c>
      <c r="C868" s="7">
        <v>62.34</v>
      </c>
      <c r="D868" s="7">
        <v>63.31</v>
      </c>
      <c r="E868" s="7">
        <v>61.99</v>
      </c>
      <c r="F868" s="7" t="s">
        <v>853</v>
      </c>
      <c r="G868" s="8">
        <v>0.0084</v>
      </c>
    </row>
    <row r="869" spans="1:7">
      <c r="A869" s="6">
        <v>45772</v>
      </c>
      <c r="B869" s="7">
        <v>63.02</v>
      </c>
      <c r="C869" s="7">
        <v>62.86</v>
      </c>
      <c r="D869" s="7">
        <v>63.41</v>
      </c>
      <c r="E869" s="7">
        <v>61.8</v>
      </c>
      <c r="F869" s="7" t="s">
        <v>854</v>
      </c>
      <c r="G869" s="8">
        <v>0.0037</v>
      </c>
    </row>
    <row r="870" spans="1:7">
      <c r="A870" s="6">
        <v>45775</v>
      </c>
      <c r="B870" s="7">
        <v>62.05</v>
      </c>
      <c r="C870" s="7">
        <v>63.49</v>
      </c>
      <c r="D870" s="7">
        <v>63.92</v>
      </c>
      <c r="E870" s="7">
        <v>61.48</v>
      </c>
      <c r="F870" s="7" t="s">
        <v>855</v>
      </c>
      <c r="G870" s="8">
        <v>-0.0154</v>
      </c>
    </row>
    <row r="871" spans="1:7">
      <c r="A871" s="6">
        <v>45776</v>
      </c>
      <c r="B871" s="7">
        <v>60.42</v>
      </c>
      <c r="C871" s="7">
        <v>61.87</v>
      </c>
      <c r="D871" s="7">
        <v>62.07</v>
      </c>
      <c r="E871" s="7">
        <v>60.12</v>
      </c>
      <c r="F871" s="7" t="s">
        <v>856</v>
      </c>
      <c r="G871" s="8">
        <v>-0.0263</v>
      </c>
    </row>
    <row r="872" spans="1:7">
      <c r="A872" s="6">
        <v>45777</v>
      </c>
      <c r="B872" s="7">
        <v>58.21</v>
      </c>
      <c r="C872" s="7">
        <v>60.16</v>
      </c>
      <c r="D872" s="7">
        <v>60.43</v>
      </c>
      <c r="E872" s="7">
        <v>57.91</v>
      </c>
      <c r="F872" s="7" t="s">
        <v>857</v>
      </c>
      <c r="G872" s="8">
        <v>-0.0366</v>
      </c>
    </row>
    <row r="873" spans="1:7">
      <c r="A873" s="6">
        <v>45778</v>
      </c>
      <c r="B873" s="7">
        <v>59.24</v>
      </c>
      <c r="C873" s="7">
        <v>58.16</v>
      </c>
      <c r="D873" s="7">
        <v>59.5</v>
      </c>
      <c r="E873" s="7">
        <v>56.39</v>
      </c>
      <c r="F873" s="7" t="s">
        <v>858</v>
      </c>
      <c r="G873" s="8">
        <v>0.0177</v>
      </c>
    </row>
    <row r="874" spans="1:7">
      <c r="A874" s="6">
        <v>45779</v>
      </c>
      <c r="B874" s="7">
        <v>58.29</v>
      </c>
      <c r="C874" s="7">
        <v>58.99</v>
      </c>
      <c r="D874" s="7">
        <v>59.87</v>
      </c>
      <c r="E874" s="7">
        <v>57.74</v>
      </c>
      <c r="F874" s="7" t="s">
        <v>859</v>
      </c>
      <c r="G874" s="8">
        <v>-0.016</v>
      </c>
    </row>
    <row r="875" spans="1:7">
      <c r="A875" s="6">
        <v>45782</v>
      </c>
      <c r="B875" s="7">
        <v>57.13</v>
      </c>
      <c r="C875" s="7">
        <v>56.76</v>
      </c>
      <c r="D875" s="7">
        <v>57.7</v>
      </c>
      <c r="E875" s="7">
        <v>55.3</v>
      </c>
      <c r="F875" s="7" t="s">
        <v>860</v>
      </c>
      <c r="G875" s="8">
        <v>-0.0199</v>
      </c>
    </row>
    <row r="876" spans="1:7">
      <c r="A876" s="6">
        <v>45783</v>
      </c>
      <c r="B876" s="7">
        <v>59.09</v>
      </c>
      <c r="C876" s="7">
        <v>57.25</v>
      </c>
      <c r="D876" s="7">
        <v>59.84</v>
      </c>
      <c r="E876" s="7">
        <v>57.03</v>
      </c>
      <c r="F876" s="7" t="s">
        <v>861</v>
      </c>
      <c r="G876" s="8">
        <v>0.0343</v>
      </c>
    </row>
    <row r="877" spans="1:7">
      <c r="A877" s="6">
        <v>45784</v>
      </c>
      <c r="B877" s="7">
        <v>58.07</v>
      </c>
      <c r="C877" s="7">
        <v>58.98</v>
      </c>
      <c r="D877" s="7">
        <v>60.26</v>
      </c>
      <c r="E877" s="7">
        <v>57.81</v>
      </c>
      <c r="F877" s="7" t="s">
        <v>862</v>
      </c>
      <c r="G877" s="8">
        <v>-0.0173</v>
      </c>
    </row>
    <row r="878" spans="1:7">
      <c r="A878" s="6">
        <v>45785</v>
      </c>
      <c r="B878" s="7">
        <v>59.91</v>
      </c>
      <c r="C878" s="7">
        <v>57.93</v>
      </c>
      <c r="D878" s="7">
        <v>60.29</v>
      </c>
      <c r="E878" s="7">
        <v>57.74</v>
      </c>
      <c r="F878" s="7" t="s">
        <v>863</v>
      </c>
      <c r="G878" s="8">
        <v>0.0317</v>
      </c>
    </row>
    <row r="879" spans="1:7">
      <c r="A879" s="6">
        <v>45786</v>
      </c>
      <c r="B879" s="7">
        <v>61.02</v>
      </c>
      <c r="C879" s="7">
        <v>60.25</v>
      </c>
      <c r="D879" s="7">
        <v>61.45</v>
      </c>
      <c r="E879" s="7">
        <v>59.89</v>
      </c>
      <c r="F879" s="7" t="s">
        <v>864</v>
      </c>
      <c r="G879" s="8">
        <v>0.0185</v>
      </c>
    </row>
    <row r="880" spans="1:7">
      <c r="A880" s="6">
        <v>45789</v>
      </c>
      <c r="B880" s="7">
        <v>61.56</v>
      </c>
      <c r="C880" s="7">
        <v>60.97</v>
      </c>
      <c r="D880" s="7">
        <v>63.13</v>
      </c>
      <c r="E880" s="7">
        <v>60.56</v>
      </c>
      <c r="F880" s="7" t="s">
        <v>865</v>
      </c>
      <c r="G880" s="8">
        <v>0.0088</v>
      </c>
    </row>
    <row r="881" spans="1:7">
      <c r="A881" s="6">
        <v>45790</v>
      </c>
      <c r="B881" s="7">
        <v>63.25</v>
      </c>
      <c r="C881" s="7">
        <v>61.55</v>
      </c>
      <c r="D881" s="7">
        <v>63.44</v>
      </c>
      <c r="E881" s="7">
        <v>61.23</v>
      </c>
      <c r="F881" s="7" t="s">
        <v>866</v>
      </c>
      <c r="G881" s="8">
        <v>0.0275</v>
      </c>
    </row>
    <row r="882" spans="1:7">
      <c r="A882" s="6">
        <v>45791</v>
      </c>
      <c r="B882" s="7">
        <v>62.68</v>
      </c>
      <c r="C882" s="7">
        <v>63.2</v>
      </c>
      <c r="D882" s="7">
        <v>63.23</v>
      </c>
      <c r="E882" s="7">
        <v>62.31</v>
      </c>
      <c r="F882" s="7" t="s">
        <v>76</v>
      </c>
      <c r="G882" s="8">
        <v>-0.009</v>
      </c>
    </row>
    <row r="883" spans="1:7">
      <c r="A883" s="6">
        <v>45792</v>
      </c>
      <c r="B883" s="7">
        <v>61.15</v>
      </c>
      <c r="C883" s="7">
        <v>62.4</v>
      </c>
      <c r="D883" s="7">
        <v>62.46</v>
      </c>
      <c r="E883" s="7">
        <v>60.08</v>
      </c>
      <c r="F883" s="7" t="s">
        <v>867</v>
      </c>
      <c r="G883" s="8">
        <v>-0.0244</v>
      </c>
    </row>
    <row r="884" spans="1:7">
      <c r="A884" s="6">
        <v>45793</v>
      </c>
      <c r="B884" s="7">
        <v>61.97</v>
      </c>
      <c r="C884" s="7">
        <v>61.22</v>
      </c>
      <c r="D884" s="7">
        <v>62.18</v>
      </c>
      <c r="E884" s="7">
        <v>60.78</v>
      </c>
      <c r="F884" s="7" t="s">
        <v>868</v>
      </c>
      <c r="G884" s="8">
        <v>0.0134</v>
      </c>
    </row>
    <row r="885" spans="1:7">
      <c r="A885" s="6">
        <v>45796</v>
      </c>
      <c r="B885" s="7">
        <v>62.69</v>
      </c>
      <c r="C885" s="7">
        <v>62.75</v>
      </c>
      <c r="D885" s="7">
        <v>63.4</v>
      </c>
      <c r="E885" s="7">
        <v>61.57</v>
      </c>
      <c r="F885" s="7" t="s">
        <v>869</v>
      </c>
      <c r="G885" s="8">
        <v>0.0116</v>
      </c>
    </row>
    <row r="886" spans="1:7">
      <c r="A886" s="6">
        <v>45797</v>
      </c>
      <c r="B886" s="7">
        <v>62.56</v>
      </c>
      <c r="C886" s="7">
        <v>62.68</v>
      </c>
      <c r="D886" s="7">
        <v>63.17</v>
      </c>
      <c r="E886" s="7">
        <v>62.19</v>
      </c>
      <c r="F886" s="7" t="s">
        <v>870</v>
      </c>
      <c r="G886" s="8">
        <v>-0.0021</v>
      </c>
    </row>
    <row r="887" spans="1:7">
      <c r="A887" s="6">
        <v>45798</v>
      </c>
      <c r="B887" s="7">
        <v>61.57</v>
      </c>
      <c r="C887" s="7">
        <v>62.27</v>
      </c>
      <c r="D887" s="7">
        <v>64.19</v>
      </c>
      <c r="E887" s="7">
        <v>61.28</v>
      </c>
      <c r="F887" s="7" t="s">
        <v>871</v>
      </c>
      <c r="G887" s="8">
        <v>-0.0158</v>
      </c>
    </row>
    <row r="888" spans="1:7">
      <c r="A888" s="6">
        <v>45799</v>
      </c>
      <c r="B888" s="7">
        <v>61.2</v>
      </c>
      <c r="C888" s="7">
        <v>61.33</v>
      </c>
      <c r="D888" s="7">
        <v>61.75</v>
      </c>
      <c r="E888" s="7">
        <v>60.25</v>
      </c>
      <c r="F888" s="7" t="s">
        <v>872</v>
      </c>
      <c r="G888" s="8">
        <v>-0.006</v>
      </c>
    </row>
    <row r="889" spans="1:7">
      <c r="A889" s="6">
        <v>45800</v>
      </c>
      <c r="B889" s="7">
        <v>61.53</v>
      </c>
      <c r="C889" s="7">
        <v>60.81</v>
      </c>
      <c r="D889" s="7">
        <v>61.88</v>
      </c>
      <c r="E889" s="7">
        <v>60.02</v>
      </c>
      <c r="F889" s="7" t="s">
        <v>873</v>
      </c>
      <c r="G889" s="8">
        <v>0.0054</v>
      </c>
    </row>
    <row r="890" spans="1:7">
      <c r="A890" s="6">
        <v>45802</v>
      </c>
      <c r="B890" s="7">
        <v>61.93</v>
      </c>
      <c r="C890" s="7">
        <v>61.73</v>
      </c>
      <c r="D890" s="7">
        <v>62.15</v>
      </c>
      <c r="E890" s="7">
        <v>61.58</v>
      </c>
      <c r="G890" s="8">
        <v>0.0065</v>
      </c>
    </row>
    <row r="891" spans="1:7">
      <c r="A891" s="6">
        <v>45803</v>
      </c>
      <c r="B891" s="7">
        <v>61.49</v>
      </c>
      <c r="C891" s="7">
        <v>61.53</v>
      </c>
      <c r="D891" s="7">
        <v>62.03</v>
      </c>
      <c r="E891" s="7">
        <v>61.26</v>
      </c>
      <c r="F891" s="7" t="s">
        <v>874</v>
      </c>
      <c r="G891" s="8">
        <v>-0.0071</v>
      </c>
    </row>
    <row r="892" spans="1:7">
      <c r="A892" s="6">
        <v>45804</v>
      </c>
      <c r="B892" s="7">
        <v>60.89</v>
      </c>
      <c r="C892" s="7">
        <v>61.7</v>
      </c>
      <c r="D892" s="7">
        <v>62.14</v>
      </c>
      <c r="E892" s="7">
        <v>60.26</v>
      </c>
      <c r="F892" s="7" t="s">
        <v>875</v>
      </c>
      <c r="G892" s="8">
        <v>-0.0098</v>
      </c>
    </row>
    <row r="893" spans="1:7">
      <c r="A893" s="6">
        <v>45805</v>
      </c>
      <c r="B893" s="7">
        <v>61.84</v>
      </c>
      <c r="C893" s="7">
        <v>61.04</v>
      </c>
      <c r="D893" s="7">
        <v>62.54</v>
      </c>
      <c r="E893" s="7">
        <v>60.85</v>
      </c>
      <c r="F893" s="7" t="s">
        <v>876</v>
      </c>
      <c r="G893" s="8">
        <v>0.0156</v>
      </c>
    </row>
    <row r="894" spans="1:7">
      <c r="A894" s="6">
        <v>45806</v>
      </c>
      <c r="B894" s="7">
        <v>60.94</v>
      </c>
      <c r="C894" s="7">
        <v>61.83</v>
      </c>
      <c r="D894" s="7">
        <v>63.07</v>
      </c>
      <c r="E894" s="7">
        <v>60.55</v>
      </c>
      <c r="F894" s="7" t="s">
        <v>877</v>
      </c>
      <c r="G894" s="8">
        <v>-0.0146</v>
      </c>
    </row>
    <row r="895" spans="1:7">
      <c r="A895" s="6">
        <v>45807</v>
      </c>
      <c r="B895" s="7">
        <v>60.79</v>
      </c>
      <c r="C895" s="7">
        <v>60.94</v>
      </c>
      <c r="D895" s="7">
        <v>61.72</v>
      </c>
      <c r="E895" s="7">
        <v>59.74</v>
      </c>
      <c r="F895" s="7" t="s">
        <v>878</v>
      </c>
      <c r="G895" s="8">
        <v>-0.0025</v>
      </c>
    </row>
    <row r="896" spans="1:7">
      <c r="A896" s="6">
        <v>45810</v>
      </c>
      <c r="B896" s="7">
        <v>62.52</v>
      </c>
      <c r="C896" s="7">
        <v>61.11</v>
      </c>
      <c r="D896" s="7">
        <v>63.88</v>
      </c>
      <c r="E896" s="7">
        <v>61.06</v>
      </c>
      <c r="F896" s="7" t="s">
        <v>879</v>
      </c>
      <c r="G896" s="8">
        <v>0.0285</v>
      </c>
    </row>
    <row r="897" spans="1:7">
      <c r="A897" s="6">
        <v>45811</v>
      </c>
      <c r="B897" s="7">
        <v>63.41</v>
      </c>
      <c r="C897" s="7">
        <v>63.02</v>
      </c>
      <c r="D897" s="7">
        <v>63.89</v>
      </c>
      <c r="E897" s="7">
        <v>62.4</v>
      </c>
      <c r="F897" s="7" t="s">
        <v>880</v>
      </c>
      <c r="G897" s="8">
        <v>0.0142</v>
      </c>
    </row>
    <row r="898" spans="1:7">
      <c r="A898" s="6">
        <v>45812</v>
      </c>
      <c r="B898" s="7">
        <v>62.85</v>
      </c>
      <c r="C898" s="7">
        <v>63.36</v>
      </c>
      <c r="D898" s="7">
        <v>63.96</v>
      </c>
      <c r="E898" s="7">
        <v>62.17</v>
      </c>
      <c r="F898" s="7" t="s">
        <v>292</v>
      </c>
      <c r="G898" s="8">
        <v>-0.0088</v>
      </c>
    </row>
    <row r="899" spans="1:7">
      <c r="A899" s="6">
        <v>45813</v>
      </c>
      <c r="B899" s="7">
        <v>63.37</v>
      </c>
      <c r="C899" s="7">
        <v>62.76</v>
      </c>
      <c r="D899" s="7">
        <v>63.98</v>
      </c>
      <c r="E899" s="7">
        <v>62.5</v>
      </c>
      <c r="F899" s="7" t="s">
        <v>881</v>
      </c>
      <c r="G899" s="8">
        <v>0.0083</v>
      </c>
    </row>
    <row r="900" spans="1:7">
      <c r="A900" s="6">
        <v>45814</v>
      </c>
      <c r="B900" s="7">
        <v>64.58</v>
      </c>
      <c r="C900" s="7">
        <v>63.33</v>
      </c>
      <c r="D900" s="7">
        <v>64.8</v>
      </c>
      <c r="E900" s="7">
        <v>62.82</v>
      </c>
      <c r="F900" s="7" t="s">
        <v>882</v>
      </c>
      <c r="G900" s="8">
        <v>0.0191</v>
      </c>
    </row>
    <row r="901" spans="1:7">
      <c r="A901" s="6">
        <v>45817</v>
      </c>
      <c r="B901" s="7">
        <v>64.22</v>
      </c>
      <c r="C901" s="7">
        <v>63.81</v>
      </c>
      <c r="D901" s="7">
        <v>64.34</v>
      </c>
      <c r="E901" s="7">
        <v>63.27</v>
      </c>
      <c r="F901" s="7" t="s">
        <v>883</v>
      </c>
      <c r="G901" s="8">
        <v>-0.0056</v>
      </c>
    </row>
    <row r="902" spans="1:7">
      <c r="A902" s="6">
        <v>45818</v>
      </c>
      <c r="B902" s="7">
        <v>63.91</v>
      </c>
      <c r="C902" s="7">
        <v>64.1</v>
      </c>
      <c r="D902" s="7">
        <v>65.1</v>
      </c>
      <c r="E902" s="7">
        <v>63.51</v>
      </c>
      <c r="F902" s="7" t="s">
        <v>884</v>
      </c>
      <c r="G902" s="8">
        <v>-0.0048</v>
      </c>
    </row>
    <row r="903" spans="1:7">
      <c r="A903" s="6">
        <v>45819</v>
      </c>
      <c r="B903" s="7">
        <v>66.9</v>
      </c>
      <c r="C903" s="7">
        <v>63.67</v>
      </c>
      <c r="D903" s="7">
        <v>67.11</v>
      </c>
      <c r="E903" s="7">
        <v>63.54</v>
      </c>
      <c r="F903" s="7" t="s">
        <v>885</v>
      </c>
      <c r="G903" s="8">
        <v>0.0468</v>
      </c>
    </row>
    <row r="904" spans="1:7">
      <c r="A904" s="6">
        <v>45820</v>
      </c>
      <c r="B904" s="7">
        <v>66.64</v>
      </c>
      <c r="C904" s="7">
        <v>67.68</v>
      </c>
      <c r="D904" s="7">
        <v>67.93</v>
      </c>
      <c r="E904" s="7">
        <v>65.51</v>
      </c>
      <c r="F904" s="7" t="s">
        <v>886</v>
      </c>
      <c r="G904" s="8">
        <v>-0.0039</v>
      </c>
    </row>
    <row r="905" spans="1:7">
      <c r="A905" s="6">
        <v>45821</v>
      </c>
      <c r="B905" s="7">
        <v>71.29</v>
      </c>
      <c r="C905" s="7">
        <v>67.5</v>
      </c>
      <c r="D905" s="7">
        <v>74.63</v>
      </c>
      <c r="E905" s="7">
        <v>67.11</v>
      </c>
      <c r="F905" s="7" t="s">
        <v>887</v>
      </c>
      <c r="G905" s="8">
        <v>0.0698</v>
      </c>
    </row>
    <row r="906" spans="1:7">
      <c r="A906" s="6">
        <v>45824</v>
      </c>
      <c r="B906" s="7">
        <v>71.77</v>
      </c>
      <c r="C906" s="7">
        <v>76.54</v>
      </c>
      <c r="D906" s="7">
        <v>77.49</v>
      </c>
      <c r="E906" s="7">
        <v>69.38</v>
      </c>
      <c r="F906" s="7" t="s">
        <v>888</v>
      </c>
      <c r="G906" s="8">
        <v>0.0067</v>
      </c>
    </row>
    <row r="907" spans="1:7">
      <c r="A907" s="6">
        <v>45825</v>
      </c>
      <c r="B907" s="7">
        <v>74.84</v>
      </c>
      <c r="C907" s="7">
        <v>71.11</v>
      </c>
      <c r="D907" s="7">
        <v>75.54</v>
      </c>
      <c r="E907" s="7">
        <v>71</v>
      </c>
      <c r="F907" s="7" t="s">
        <v>889</v>
      </c>
      <c r="G907" s="8">
        <v>0.0428</v>
      </c>
    </row>
    <row r="908" spans="1:7">
      <c r="A908" s="6">
        <v>45826</v>
      </c>
      <c r="B908" s="7">
        <v>75.14</v>
      </c>
      <c r="C908" s="7">
        <v>75.61</v>
      </c>
      <c r="D908" s="7">
        <v>76.07</v>
      </c>
      <c r="E908" s="7">
        <v>72.94</v>
      </c>
      <c r="F908" s="7" t="s">
        <v>890</v>
      </c>
      <c r="G908" s="8">
        <v>0.004</v>
      </c>
    </row>
    <row r="909" spans="1:7">
      <c r="A909" s="6">
        <v>45827</v>
      </c>
      <c r="B909" s="7">
        <v>73.82</v>
      </c>
      <c r="C909" s="7">
        <v>73.88</v>
      </c>
      <c r="D909" s="7">
        <v>75.73</v>
      </c>
      <c r="E909" s="7">
        <v>72.65</v>
      </c>
      <c r="F909" s="7" t="s">
        <v>891</v>
      </c>
      <c r="G909" s="8">
        <v>-0.0176</v>
      </c>
    </row>
    <row r="910" spans="1:7">
      <c r="A910" s="6">
        <v>45828</v>
      </c>
      <c r="B910" s="7">
        <v>74.93</v>
      </c>
      <c r="C910" s="7">
        <v>74.6</v>
      </c>
      <c r="D910" s="7">
        <v>77.58</v>
      </c>
      <c r="E910" s="7">
        <v>74.3</v>
      </c>
      <c r="F910" s="7" t="s">
        <v>892</v>
      </c>
      <c r="G910" s="8">
        <v>0.015</v>
      </c>
    </row>
    <row r="911" spans="1:7">
      <c r="A911" s="6">
        <v>45831</v>
      </c>
      <c r="B911" s="7">
        <v>68.51</v>
      </c>
      <c r="C911" s="7">
        <v>78</v>
      </c>
      <c r="D911" s="7">
        <v>78.4</v>
      </c>
      <c r="E911" s="7">
        <v>66.6</v>
      </c>
      <c r="F911" s="7" t="s">
        <v>893</v>
      </c>
      <c r="G911" s="8">
        <v>-0.0857</v>
      </c>
    </row>
    <row r="912" spans="1:7">
      <c r="A912" s="6">
        <v>45832</v>
      </c>
      <c r="B912" s="7">
        <v>64.37</v>
      </c>
      <c r="C912" s="7">
        <v>67.74</v>
      </c>
      <c r="D912" s="7">
        <v>67.83</v>
      </c>
      <c r="E912" s="7">
        <v>64</v>
      </c>
      <c r="F912" s="7" t="s">
        <v>894</v>
      </c>
      <c r="G912" s="8">
        <v>-0.0604</v>
      </c>
    </row>
    <row r="913" spans="1:7">
      <c r="A913" s="6">
        <v>45833</v>
      </c>
      <c r="B913" s="7">
        <v>64.92</v>
      </c>
      <c r="C913" s="7">
        <v>65.12</v>
      </c>
      <c r="D913" s="7">
        <v>66.03</v>
      </c>
      <c r="E913" s="7">
        <v>64.51</v>
      </c>
      <c r="F913" s="7" t="s">
        <v>895</v>
      </c>
      <c r="G913" s="8">
        <v>0.0085</v>
      </c>
    </row>
    <row r="914" spans="1:7">
      <c r="A914" s="6">
        <v>45834</v>
      </c>
      <c r="B914" s="7">
        <v>65.24</v>
      </c>
      <c r="C914" s="7">
        <v>64.98</v>
      </c>
      <c r="D914" s="7">
        <v>66.42</v>
      </c>
      <c r="E914" s="7">
        <v>64.66</v>
      </c>
      <c r="F914" s="7" t="s">
        <v>896</v>
      </c>
      <c r="G914" s="8">
        <v>0.0049</v>
      </c>
    </row>
    <row r="915" spans="1:7">
      <c r="A915" s="6">
        <v>45835</v>
      </c>
      <c r="B915" s="7">
        <v>65.52</v>
      </c>
      <c r="C915" s="7">
        <v>65.3</v>
      </c>
      <c r="D915" s="7">
        <v>66.09</v>
      </c>
      <c r="E915" s="7">
        <v>64.8</v>
      </c>
      <c r="F915" s="7" t="s">
        <v>897</v>
      </c>
      <c r="G915" s="8">
        <v>0.0043</v>
      </c>
    </row>
    <row r="916" spans="1:7">
      <c r="A916" s="6">
        <v>45838</v>
      </c>
      <c r="B916" s="7">
        <v>65.11</v>
      </c>
      <c r="C916" s="7">
        <v>65.15</v>
      </c>
      <c r="D916" s="7">
        <v>65.82</v>
      </c>
      <c r="E916" s="7">
        <v>64.5</v>
      </c>
      <c r="F916" s="7" t="s">
        <v>409</v>
      </c>
      <c r="G916" s="8">
        <v>-0.0063</v>
      </c>
    </row>
    <row r="917" spans="1:7">
      <c r="A917" s="6">
        <v>45839</v>
      </c>
      <c r="B917" s="7">
        <v>65.45</v>
      </c>
      <c r="C917" s="7">
        <v>64.96</v>
      </c>
      <c r="D917" s="7">
        <v>65.98</v>
      </c>
      <c r="E917" s="7">
        <v>64.67</v>
      </c>
      <c r="F917" s="7" t="s">
        <v>898</v>
      </c>
      <c r="G917" s="8">
        <v>0.0052</v>
      </c>
    </row>
    <row r="918" spans="1:7">
      <c r="A918" s="6">
        <v>45840</v>
      </c>
      <c r="B918" s="7">
        <v>67.45</v>
      </c>
      <c r="C918" s="7">
        <v>65.56</v>
      </c>
      <c r="D918" s="7">
        <v>67.58</v>
      </c>
      <c r="E918" s="7">
        <v>65.23</v>
      </c>
      <c r="F918" s="7" t="s">
        <v>899</v>
      </c>
      <c r="G918" s="8">
        <v>0.0306</v>
      </c>
    </row>
    <row r="919" spans="1:7">
      <c r="A919" s="6">
        <v>45841</v>
      </c>
      <c r="B919" s="7">
        <v>67</v>
      </c>
      <c r="C919" s="7">
        <v>67.5</v>
      </c>
      <c r="D919" s="7">
        <v>67.58</v>
      </c>
      <c r="E919" s="7">
        <v>66.53</v>
      </c>
      <c r="F919" s="7" t="s">
        <v>900</v>
      </c>
      <c r="G919" s="8">
        <v>-0.0067</v>
      </c>
    </row>
    <row r="920" spans="1:7">
      <c r="A920" s="6">
        <v>45842</v>
      </c>
      <c r="B920" s="7">
        <v>66.49</v>
      </c>
      <c r="C920" s="7">
        <v>67.13</v>
      </c>
      <c r="D920" s="7">
        <v>67.16</v>
      </c>
      <c r="E920" s="7">
        <v>66.05</v>
      </c>
      <c r="F920" s="7" t="s">
        <v>901</v>
      </c>
      <c r="G920" s="8">
        <v>-0.0076</v>
      </c>
    </row>
    <row r="921" spans="1:7">
      <c r="A921" s="6">
        <v>45845</v>
      </c>
      <c r="B921" s="7">
        <v>67.93</v>
      </c>
      <c r="C921" s="7">
        <v>65.7</v>
      </c>
      <c r="D921" s="7">
        <v>68.32</v>
      </c>
      <c r="E921" s="7">
        <v>65.4</v>
      </c>
      <c r="F921" s="7" t="s">
        <v>902</v>
      </c>
      <c r="G921" s="8">
        <v>0.0217</v>
      </c>
    </row>
    <row r="922" spans="1:7">
      <c r="A922" s="6">
        <v>45846</v>
      </c>
      <c r="B922" s="7">
        <v>68.33</v>
      </c>
      <c r="C922" s="7">
        <v>67.96</v>
      </c>
      <c r="D922" s="7">
        <v>68.91</v>
      </c>
      <c r="E922" s="7">
        <v>67.33</v>
      </c>
      <c r="F922" s="7" t="s">
        <v>903</v>
      </c>
      <c r="G922" s="8">
        <v>0.0059</v>
      </c>
    </row>
    <row r="923" spans="1:7">
      <c r="A923" s="6">
        <v>45847</v>
      </c>
      <c r="B923" s="7">
        <v>68.38</v>
      </c>
      <c r="C923" s="7">
        <v>68.18</v>
      </c>
      <c r="D923" s="7">
        <v>68.94</v>
      </c>
      <c r="E923" s="7">
        <v>67.7</v>
      </c>
      <c r="F923" s="7" t="s">
        <v>904</v>
      </c>
      <c r="G923" s="8">
        <v>0.0007</v>
      </c>
    </row>
    <row r="924" spans="1:7">
      <c r="A924" s="6">
        <v>45848</v>
      </c>
      <c r="B924" s="7">
        <v>66.57</v>
      </c>
      <c r="C924" s="7">
        <v>68.29</v>
      </c>
      <c r="D924" s="7">
        <v>68.65</v>
      </c>
      <c r="E924" s="7">
        <v>66.45</v>
      </c>
      <c r="F924" s="7" t="s">
        <v>905</v>
      </c>
      <c r="G924" s="8">
        <v>-0.0265</v>
      </c>
    </row>
    <row r="925" spans="1:7">
      <c r="A925" s="6">
        <v>45849</v>
      </c>
      <c r="B925" s="7">
        <v>68.45</v>
      </c>
      <c r="C925" s="7">
        <v>66.85</v>
      </c>
      <c r="D925" s="7">
        <v>68.77</v>
      </c>
      <c r="E925" s="7">
        <v>66.5</v>
      </c>
      <c r="F925" s="7" t="s">
        <v>906</v>
      </c>
      <c r="G925" s="8">
        <v>0.0282</v>
      </c>
    </row>
    <row r="926" spans="1:7">
      <c r="A926" s="6">
        <v>45852</v>
      </c>
      <c r="B926" s="7">
        <v>65.81</v>
      </c>
      <c r="C926" s="7">
        <v>67.35</v>
      </c>
      <c r="D926" s="7">
        <v>68.16</v>
      </c>
      <c r="E926" s="7">
        <v>65.64</v>
      </c>
      <c r="F926" s="7" t="s">
        <v>907</v>
      </c>
      <c r="G926" s="8">
        <v>-0.0386</v>
      </c>
    </row>
    <row r="927" spans="1:7">
      <c r="A927" s="6">
        <v>45853</v>
      </c>
      <c r="B927" s="7">
        <v>65.37</v>
      </c>
      <c r="C927" s="7">
        <v>65.67</v>
      </c>
      <c r="D927" s="7">
        <v>66.06</v>
      </c>
      <c r="E927" s="7">
        <v>65.18</v>
      </c>
      <c r="F927" s="7" t="s">
        <v>908</v>
      </c>
      <c r="G927" s="8">
        <v>-0.0067</v>
      </c>
    </row>
    <row r="928" spans="1:7">
      <c r="A928" s="6">
        <v>45854</v>
      </c>
      <c r="B928" s="7">
        <v>66.38</v>
      </c>
      <c r="C928" s="7">
        <v>66.73</v>
      </c>
      <c r="D928" s="7">
        <v>67.01</v>
      </c>
      <c r="E928" s="7">
        <v>65.42</v>
      </c>
      <c r="F928" s="7" t="s">
        <v>909</v>
      </c>
      <c r="G928" s="8">
        <v>0.0155</v>
      </c>
    </row>
    <row r="929" spans="1:7">
      <c r="A929" s="6">
        <v>45855</v>
      </c>
      <c r="B929" s="7">
        <v>67.54</v>
      </c>
      <c r="C929" s="7">
        <v>66.6</v>
      </c>
      <c r="D929" s="7">
        <v>67.69</v>
      </c>
      <c r="E929" s="7">
        <v>66.29</v>
      </c>
      <c r="F929" s="7" t="s">
        <v>910</v>
      </c>
      <c r="G929" s="8">
        <v>0.0175</v>
      </c>
    </row>
    <row r="930" spans="1:7">
      <c r="A930" s="6">
        <v>45856</v>
      </c>
      <c r="B930" s="7">
        <v>67.34</v>
      </c>
      <c r="C930" s="7">
        <v>67.6</v>
      </c>
      <c r="D930" s="7">
        <v>68.96</v>
      </c>
      <c r="E930" s="7">
        <v>67.2</v>
      </c>
      <c r="F930" s="7" t="s">
        <v>911</v>
      </c>
      <c r="G930" s="8">
        <v>-0.003</v>
      </c>
    </row>
    <row r="931" spans="1:7">
      <c r="A931" s="6">
        <v>45859</v>
      </c>
      <c r="B931" s="7">
        <v>67.2</v>
      </c>
      <c r="C931" s="7">
        <v>67.32</v>
      </c>
      <c r="D931" s="7">
        <v>67.76</v>
      </c>
      <c r="E931" s="7">
        <v>66.46</v>
      </c>
      <c r="F931" s="7" t="s">
        <v>912</v>
      </c>
      <c r="G931" s="8">
        <v>-0.0021</v>
      </c>
    </row>
    <row r="932" spans="1:7">
      <c r="A932" s="6">
        <v>45860</v>
      </c>
      <c r="B932" s="7">
        <v>66.21</v>
      </c>
      <c r="C932" s="7">
        <v>67.12</v>
      </c>
      <c r="D932" s="7">
        <v>67.13</v>
      </c>
      <c r="E932" s="7">
        <v>65.99</v>
      </c>
      <c r="F932" s="7" t="s">
        <v>913</v>
      </c>
      <c r="G932" s="8">
        <v>-0.0147</v>
      </c>
    </row>
    <row r="933" spans="1:7">
      <c r="A933" s="6">
        <v>45861</v>
      </c>
      <c r="B933" s="7">
        <v>65.25</v>
      </c>
      <c r="C933" s="7">
        <v>65.49</v>
      </c>
      <c r="D933" s="7">
        <v>65.78</v>
      </c>
      <c r="E933" s="7">
        <v>64.71</v>
      </c>
      <c r="F933" s="7" t="s">
        <v>914</v>
      </c>
      <c r="G933" s="8">
        <v>-0.0145</v>
      </c>
    </row>
    <row r="934" spans="1:7">
      <c r="A934" s="6">
        <v>45862</v>
      </c>
      <c r="B934" s="7">
        <v>66.03</v>
      </c>
      <c r="C934" s="7">
        <v>65.42</v>
      </c>
      <c r="D934" s="7">
        <v>66.39</v>
      </c>
      <c r="E934" s="7">
        <v>65.33</v>
      </c>
      <c r="F934" s="7" t="s">
        <v>915</v>
      </c>
      <c r="G934" s="8">
        <v>0.012</v>
      </c>
    </row>
    <row r="935" spans="1:7">
      <c r="A935" s="6">
        <v>45863</v>
      </c>
      <c r="B935" s="7">
        <v>65.16</v>
      </c>
      <c r="C935" s="7">
        <v>66.15</v>
      </c>
      <c r="D935" s="7">
        <v>66.74</v>
      </c>
      <c r="E935" s="7">
        <v>65</v>
      </c>
      <c r="F935" s="7" t="s">
        <v>916</v>
      </c>
      <c r="G935" s="8">
        <v>-0.0132</v>
      </c>
    </row>
    <row r="936" spans="1:7">
      <c r="A936" s="6">
        <v>45866</v>
      </c>
      <c r="B936" s="7">
        <v>66.71</v>
      </c>
      <c r="C936" s="7">
        <v>65.15</v>
      </c>
      <c r="D936" s="7">
        <v>67.14</v>
      </c>
      <c r="E936" s="7">
        <v>65.05</v>
      </c>
      <c r="F936" s="7" t="s">
        <v>717</v>
      </c>
      <c r="G936" s="8">
        <v>0.0238</v>
      </c>
    </row>
    <row r="937" spans="1:7">
      <c r="A937" s="6">
        <v>45867</v>
      </c>
      <c r="B937" s="7">
        <v>69.21</v>
      </c>
      <c r="C937" s="7">
        <v>67.04</v>
      </c>
      <c r="D937" s="7">
        <v>69.76</v>
      </c>
      <c r="E937" s="7">
        <v>66.53</v>
      </c>
      <c r="F937" s="7" t="s">
        <v>917</v>
      </c>
      <c r="G937" s="8">
        <v>0.0375</v>
      </c>
    </row>
    <row r="938" spans="1:7">
      <c r="A938" s="6">
        <v>45868</v>
      </c>
      <c r="B938" s="7">
        <v>70</v>
      </c>
      <c r="C938" s="7">
        <v>69.34</v>
      </c>
      <c r="D938" s="7">
        <v>70.51</v>
      </c>
      <c r="E938" s="7">
        <v>68.45</v>
      </c>
      <c r="F938" s="7" t="s">
        <v>918</v>
      </c>
      <c r="G938" s="8">
        <v>0.0114</v>
      </c>
    </row>
    <row r="939" spans="1:7">
      <c r="A939" s="6">
        <v>45869</v>
      </c>
      <c r="B939" s="7">
        <v>69.26</v>
      </c>
      <c r="C939" s="7">
        <v>70.3</v>
      </c>
      <c r="D939" s="7">
        <v>70.41</v>
      </c>
      <c r="E939" s="7">
        <v>68.56</v>
      </c>
      <c r="F939" s="7" t="s">
        <v>919</v>
      </c>
      <c r="G939" s="8">
        <v>-0.0106</v>
      </c>
    </row>
    <row r="940" spans="1:7">
      <c r="A940" s="6">
        <v>45870</v>
      </c>
      <c r="B940" s="7">
        <v>67.33</v>
      </c>
      <c r="C940" s="7">
        <v>69.35</v>
      </c>
      <c r="D940" s="7">
        <v>69.58</v>
      </c>
      <c r="E940" s="7">
        <v>67.05</v>
      </c>
      <c r="F940" s="7" t="s">
        <v>920</v>
      </c>
      <c r="G940" s="8">
        <v>-0.0279</v>
      </c>
    </row>
    <row r="941" spans="1:7">
      <c r="A941" s="6">
        <v>45873</v>
      </c>
      <c r="B941" s="7">
        <v>66.29</v>
      </c>
      <c r="C941" s="7">
        <v>66.85</v>
      </c>
      <c r="D941" s="7">
        <v>67.74</v>
      </c>
      <c r="E941" s="7">
        <v>65.46</v>
      </c>
      <c r="F941" s="7" t="s">
        <v>921</v>
      </c>
      <c r="G941" s="8">
        <v>-0.0154</v>
      </c>
    </row>
    <row r="942" spans="1:7">
      <c r="A942" s="6">
        <v>45874</v>
      </c>
      <c r="B942" s="7">
        <v>65.16</v>
      </c>
      <c r="C942" s="7">
        <v>66.21</v>
      </c>
      <c r="D942" s="7">
        <v>66.39</v>
      </c>
      <c r="E942" s="7">
        <v>65.03</v>
      </c>
      <c r="F942" s="7" t="s">
        <v>922</v>
      </c>
      <c r="G942" s="8">
        <v>-0.017</v>
      </c>
    </row>
    <row r="943" spans="1:7">
      <c r="A943" s="6">
        <v>45875</v>
      </c>
      <c r="B943" s="7">
        <v>64.35</v>
      </c>
      <c r="C943" s="7">
        <v>65.15</v>
      </c>
      <c r="D943" s="7">
        <v>66.75</v>
      </c>
      <c r="E943" s="7">
        <v>63.64</v>
      </c>
      <c r="F943" s="7" t="s">
        <v>923</v>
      </c>
      <c r="G943" s="8">
        <v>-0.0124</v>
      </c>
    </row>
    <row r="944" spans="1:7">
      <c r="A944" s="6">
        <v>45876</v>
      </c>
      <c r="B944" s="7">
        <v>63.88</v>
      </c>
      <c r="C944" s="7">
        <v>64.36</v>
      </c>
      <c r="D944" s="7">
        <v>65.11</v>
      </c>
      <c r="E944" s="7">
        <v>63.7</v>
      </c>
      <c r="F944" s="7" t="s">
        <v>924</v>
      </c>
      <c r="G944" s="8">
        <v>-0.0073</v>
      </c>
    </row>
    <row r="945" spans="1:7">
      <c r="A945" s="6">
        <v>45877</v>
      </c>
      <c r="B945" s="7">
        <v>63.88</v>
      </c>
      <c r="C945" s="7">
        <v>63.85</v>
      </c>
      <c r="D945" s="7">
        <v>64.58</v>
      </c>
      <c r="E945" s="7">
        <v>62.77</v>
      </c>
      <c r="F945" s="7" t="s">
        <v>925</v>
      </c>
      <c r="G945" s="8">
        <v>0</v>
      </c>
    </row>
    <row r="946" spans="1:7">
      <c r="A946" s="6">
        <v>45880</v>
      </c>
      <c r="B946" s="7">
        <v>63.09</v>
      </c>
      <c r="C946" s="7">
        <v>62.65</v>
      </c>
      <c r="D946" s="7">
        <v>63.54</v>
      </c>
      <c r="E946" s="7">
        <v>62.21</v>
      </c>
      <c r="F946" s="7" t="s">
        <v>926</v>
      </c>
      <c r="G946" s="8">
        <v>-0.0124</v>
      </c>
    </row>
    <row r="947" spans="1:7">
      <c r="A947" s="6">
        <v>45881</v>
      </c>
      <c r="B947" s="7">
        <v>62.48</v>
      </c>
      <c r="C947" s="7">
        <v>63.2</v>
      </c>
      <c r="D947" s="7">
        <v>63.48</v>
      </c>
      <c r="E947" s="7">
        <v>62.35</v>
      </c>
      <c r="F947" s="7" t="s">
        <v>927</v>
      </c>
      <c r="G947" s="8">
        <v>-0.0097</v>
      </c>
    </row>
    <row r="948" spans="1:7">
      <c r="A948" s="6">
        <v>45882</v>
      </c>
      <c r="B948" s="7">
        <v>61.93</v>
      </c>
      <c r="C948" s="7">
        <v>62.38</v>
      </c>
      <c r="D948" s="7">
        <v>62.59</v>
      </c>
      <c r="E948" s="7">
        <v>61.29</v>
      </c>
      <c r="F948" s="7" t="s">
        <v>928</v>
      </c>
      <c r="G948" s="8">
        <v>-0.0088</v>
      </c>
    </row>
    <row r="949" spans="1:7">
      <c r="A949" s="6">
        <v>45883</v>
      </c>
      <c r="B949" s="7">
        <v>63.96</v>
      </c>
      <c r="C949" s="7">
        <v>62.79</v>
      </c>
      <c r="D949" s="7">
        <v>64.1</v>
      </c>
      <c r="E949" s="7">
        <v>62.58</v>
      </c>
      <c r="F949" s="7" t="s">
        <v>929</v>
      </c>
      <c r="G949" s="8">
        <v>0.0328</v>
      </c>
    </row>
    <row r="950" spans="1:7">
      <c r="A950" s="6">
        <v>45884</v>
      </c>
      <c r="B950" s="7">
        <v>62.8</v>
      </c>
      <c r="C950" s="7">
        <v>63.91</v>
      </c>
      <c r="D950" s="7">
        <v>64.15</v>
      </c>
      <c r="E950" s="7">
        <v>62.68</v>
      </c>
      <c r="F950" s="7" t="s">
        <v>930</v>
      </c>
      <c r="G950" s="8">
        <v>-0.0181</v>
      </c>
    </row>
    <row r="951" spans="1:7">
      <c r="A951" s="6">
        <v>45887</v>
      </c>
      <c r="B951" s="7">
        <v>63.42</v>
      </c>
      <c r="C951" s="7">
        <v>63</v>
      </c>
      <c r="D951" s="7">
        <v>63.79</v>
      </c>
      <c r="E951" s="7">
        <v>62.18</v>
      </c>
      <c r="F951" s="7" t="s">
        <v>931</v>
      </c>
      <c r="G951" s="8">
        <v>0.0099</v>
      </c>
    </row>
    <row r="952" spans="1:7">
      <c r="A952" s="6">
        <v>45888</v>
      </c>
      <c r="B952" s="7">
        <v>62.35</v>
      </c>
      <c r="C952" s="7">
        <v>63.27</v>
      </c>
      <c r="D952" s="7">
        <v>63.39</v>
      </c>
      <c r="E952" s="7">
        <v>62.25</v>
      </c>
      <c r="F952" s="7" t="s">
        <v>932</v>
      </c>
      <c r="G952" s="8">
        <v>-0.0169</v>
      </c>
    </row>
    <row r="953" spans="1:7">
      <c r="A953" s="6">
        <v>45889</v>
      </c>
      <c r="B953" s="7">
        <v>63.21</v>
      </c>
      <c r="C953" s="7">
        <v>62.6</v>
      </c>
      <c r="D953" s="7">
        <v>63.55</v>
      </c>
      <c r="E953" s="7">
        <v>62.39</v>
      </c>
      <c r="F953" s="7" t="s">
        <v>933</v>
      </c>
      <c r="G953" s="8">
        <v>0.0138</v>
      </c>
    </row>
    <row r="954" spans="1:7">
      <c r="A954" s="6">
        <v>45890</v>
      </c>
      <c r="B954" s="7">
        <v>63.52</v>
      </c>
      <c r="C954" s="7">
        <v>62.85</v>
      </c>
      <c r="D954" s="7">
        <v>63.67</v>
      </c>
      <c r="E954" s="7">
        <v>62.52</v>
      </c>
      <c r="F954" s="7" t="s">
        <v>934</v>
      </c>
      <c r="G954" s="8">
        <v>0.0049</v>
      </c>
    </row>
    <row r="955" spans="1:7">
      <c r="A955" s="6">
        <v>45891</v>
      </c>
      <c r="B955" s="7">
        <v>63.66</v>
      </c>
      <c r="C955" s="7">
        <v>63.5</v>
      </c>
      <c r="D955" s="7">
        <v>63.93</v>
      </c>
      <c r="E955" s="7">
        <v>63.31</v>
      </c>
      <c r="F955" s="7" t="s">
        <v>935</v>
      </c>
      <c r="G955" s="8">
        <v>0.0022</v>
      </c>
    </row>
    <row r="956" spans="1:7">
      <c r="A956" s="6">
        <v>45894</v>
      </c>
      <c r="B956" s="7">
        <v>64.8</v>
      </c>
      <c r="C956" s="7">
        <v>63.88</v>
      </c>
      <c r="D956" s="7">
        <v>65.1</v>
      </c>
      <c r="E956" s="7">
        <v>63.53</v>
      </c>
      <c r="F956" s="7" t="s">
        <v>936</v>
      </c>
      <c r="G956" s="8">
        <v>0.0179</v>
      </c>
    </row>
    <row r="957" spans="1:7">
      <c r="A957" s="6">
        <v>45895</v>
      </c>
      <c r="B957" s="7">
        <v>63.25</v>
      </c>
      <c r="C957" s="7">
        <v>64.75</v>
      </c>
      <c r="D957" s="7">
        <v>64.76</v>
      </c>
      <c r="E957" s="7">
        <v>63.13</v>
      </c>
      <c r="F957" s="7" t="s">
        <v>937</v>
      </c>
      <c r="G957" s="8">
        <v>-0.0239</v>
      </c>
    </row>
    <row r="958" spans="1:7">
      <c r="A958" s="6">
        <v>45896</v>
      </c>
      <c r="B958" s="7">
        <v>64.15</v>
      </c>
      <c r="C958" s="7">
        <v>63.31</v>
      </c>
      <c r="D958" s="7">
        <v>64.23</v>
      </c>
      <c r="E958" s="7">
        <v>62.95</v>
      </c>
      <c r="F958" s="7" t="s">
        <v>938</v>
      </c>
      <c r="G958" s="8">
        <v>0.0142</v>
      </c>
    </row>
    <row r="959" spans="1:7">
      <c r="A959" s="6">
        <v>45897</v>
      </c>
      <c r="B959" s="7">
        <v>64.6</v>
      </c>
      <c r="C959" s="7">
        <v>63.87</v>
      </c>
      <c r="D959" s="7">
        <v>64.7</v>
      </c>
      <c r="E959" s="7">
        <v>63.35</v>
      </c>
      <c r="F959" s="7" t="s">
        <v>939</v>
      </c>
      <c r="G959" s="8">
        <v>0.007</v>
      </c>
    </row>
    <row r="960" spans="1:7">
      <c r="A960" s="6">
        <v>45898</v>
      </c>
      <c r="B960" s="7">
        <v>64.01</v>
      </c>
      <c r="C960" s="7">
        <v>64.26</v>
      </c>
      <c r="D960" s="7">
        <v>64.55</v>
      </c>
      <c r="E960" s="7">
        <v>63.88</v>
      </c>
      <c r="F960" s="7" t="s">
        <v>940</v>
      </c>
      <c r="G960" s="8">
        <v>-0.0091</v>
      </c>
    </row>
    <row r="961" spans="1:7">
      <c r="A961" s="6">
        <v>45900</v>
      </c>
      <c r="B961" s="7">
        <v>63.96</v>
      </c>
      <c r="C961" s="7">
        <v>63.98</v>
      </c>
      <c r="D961" s="7">
        <v>64.01</v>
      </c>
      <c r="E961" s="7">
        <v>63.92</v>
      </c>
      <c r="G961" s="8">
        <v>-0.0008</v>
      </c>
    </row>
    <row r="962" spans="1:7">
      <c r="A962" s="6">
        <v>45901</v>
      </c>
      <c r="B962" s="7">
        <v>64.64</v>
      </c>
      <c r="C962" s="7">
        <v>64.61</v>
      </c>
      <c r="D962" s="7">
        <v>64.88</v>
      </c>
      <c r="E962" s="7">
        <v>63.67</v>
      </c>
      <c r="F962" s="7" t="s">
        <v>941</v>
      </c>
      <c r="G962" s="8">
        <v>0.0106</v>
      </c>
    </row>
    <row r="963" spans="1:7">
      <c r="A963" s="6">
        <v>45902</v>
      </c>
      <c r="B963" s="7">
        <v>65.59</v>
      </c>
      <c r="C963" s="7">
        <v>63.95</v>
      </c>
      <c r="D963" s="7">
        <v>66.03</v>
      </c>
      <c r="E963" s="7">
        <v>63.66</v>
      </c>
      <c r="F963" s="7" t="s">
        <v>942</v>
      </c>
      <c r="G963" s="8">
        <v>0.0147</v>
      </c>
    </row>
    <row r="964" spans="1:7">
      <c r="A964" s="6">
        <v>45903</v>
      </c>
      <c r="B964" s="7">
        <v>63.97</v>
      </c>
      <c r="C964" s="7">
        <v>65.62</v>
      </c>
      <c r="D964" s="7">
        <v>65.72</v>
      </c>
      <c r="E964" s="7">
        <v>63.72</v>
      </c>
      <c r="F964" s="7" t="s">
        <v>943</v>
      </c>
      <c r="G964" s="8">
        <v>-0.0247</v>
      </c>
    </row>
    <row r="965" spans="1:7">
      <c r="A965" s="6">
        <v>45904</v>
      </c>
      <c r="B965" s="7">
        <v>63.48</v>
      </c>
      <c r="C965" s="7">
        <v>63.82</v>
      </c>
      <c r="D965" s="7">
        <v>63.84</v>
      </c>
      <c r="E965" s="7">
        <v>62.72</v>
      </c>
      <c r="F965" s="7" t="s">
        <v>944</v>
      </c>
      <c r="G965" s="8">
        <v>-0.0077</v>
      </c>
    </row>
    <row r="966" spans="1:7">
      <c r="A966" s="6">
        <v>45905</v>
      </c>
      <c r="B966" s="7">
        <v>61.87</v>
      </c>
      <c r="C966" s="7">
        <v>63.33</v>
      </c>
      <c r="D966" s="7">
        <v>63.49</v>
      </c>
      <c r="E966" s="7">
        <v>61.45</v>
      </c>
      <c r="F966" s="7" t="s">
        <v>945</v>
      </c>
      <c r="G966" s="8">
        <v>-0.0254</v>
      </c>
    </row>
    <row r="967" spans="1:7">
      <c r="A967" s="6">
        <v>45907</v>
      </c>
      <c r="B967" s="7">
        <v>62.23</v>
      </c>
      <c r="C967" s="7">
        <v>62.34</v>
      </c>
      <c r="D967" s="7">
        <v>62.34</v>
      </c>
      <c r="E967" s="7">
        <v>61.87</v>
      </c>
      <c r="F967" s="7" t="s">
        <v>946</v>
      </c>
      <c r="G967" s="8">
        <v>0.0058</v>
      </c>
    </row>
    <row r="968" spans="1:7">
      <c r="A968" s="6">
        <v>45908</v>
      </c>
      <c r="B968" s="7">
        <v>62.26</v>
      </c>
      <c r="C968" s="7">
        <v>62</v>
      </c>
      <c r="D968" s="7">
        <v>63.34</v>
      </c>
      <c r="E968" s="7">
        <v>61.85</v>
      </c>
      <c r="F968" s="7" t="s">
        <v>947</v>
      </c>
      <c r="G968" s="8">
        <v>0.0005</v>
      </c>
    </row>
    <row r="969" spans="1:7">
      <c r="A969" s="6">
        <v>45909</v>
      </c>
      <c r="B969" s="7">
        <v>62.63</v>
      </c>
      <c r="C969" s="7">
        <v>62.43</v>
      </c>
      <c r="D969" s="7">
        <v>63.67</v>
      </c>
      <c r="E969" s="7">
        <v>62.37</v>
      </c>
      <c r="F969" s="7" t="s">
        <v>948</v>
      </c>
      <c r="G969" s="8">
        <v>0.0059</v>
      </c>
    </row>
    <row r="970" spans="1:7">
      <c r="A970" s="6">
        <v>45910</v>
      </c>
      <c r="B970" s="7">
        <v>63.76</v>
      </c>
      <c r="C970" s="7">
        <v>62.74</v>
      </c>
      <c r="D970" s="7">
        <v>64.08</v>
      </c>
      <c r="E970" s="7">
        <v>62.72</v>
      </c>
      <c r="F970" s="7" t="s">
        <v>949</v>
      </c>
      <c r="G970" s="8">
        <v>0.018</v>
      </c>
    </row>
    <row r="971" spans="1:7">
      <c r="A971" s="6">
        <v>45911</v>
      </c>
      <c r="B971" s="7">
        <v>62.57</v>
      </c>
      <c r="C971" s="7">
        <v>63.76</v>
      </c>
      <c r="D971" s="7">
        <v>63.8</v>
      </c>
      <c r="E971" s="7">
        <v>62.3</v>
      </c>
      <c r="F971" s="7" t="s">
        <v>950</v>
      </c>
      <c r="G971" s="8">
        <v>-0.0187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54"/>
  <sheetViews>
    <sheetView workbookViewId="0">
      <selection activeCell="A1" sqref="A$1:A$1048576"/>
    </sheetView>
  </sheetViews>
  <sheetFormatPr defaultColWidth="9" defaultRowHeight="14.25" outlineLevelCol="6"/>
  <cols>
    <col min="1" max="1" width="11.625" style="6" customWidth="1"/>
    <col min="2" max="16384" width="9" style="7"/>
  </cols>
  <sheetData>
    <row r="1" spans="1:7">
      <c r="A1" s="6" t="s">
        <v>13</v>
      </c>
      <c r="B1" s="7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26</v>
      </c>
    </row>
    <row r="2" spans="1:7">
      <c r="A2" s="6">
        <v>44564</v>
      </c>
      <c r="B2" s="9">
        <v>1800.1</v>
      </c>
      <c r="C2" s="9">
        <v>1830.1</v>
      </c>
      <c r="D2" s="9">
        <v>1833</v>
      </c>
      <c r="E2" s="9">
        <v>1798.2</v>
      </c>
      <c r="F2" s="7" t="s">
        <v>951</v>
      </c>
      <c r="G2" s="8">
        <v>-0.0156</v>
      </c>
    </row>
    <row r="3" spans="1:7">
      <c r="A3" s="6">
        <v>44565</v>
      </c>
      <c r="B3" s="9">
        <v>1814.6</v>
      </c>
      <c r="C3" s="9">
        <v>1801.1</v>
      </c>
      <c r="D3" s="9">
        <v>1817.2</v>
      </c>
      <c r="E3" s="9">
        <v>1798.1</v>
      </c>
      <c r="F3" s="7" t="s">
        <v>952</v>
      </c>
      <c r="G3" s="8">
        <v>0.0081</v>
      </c>
    </row>
    <row r="4" spans="1:7">
      <c r="A4" s="6">
        <v>44566</v>
      </c>
      <c r="B4" s="9">
        <v>1825.1</v>
      </c>
      <c r="C4" s="9">
        <v>1815.2</v>
      </c>
      <c r="D4" s="9">
        <v>1830.7</v>
      </c>
      <c r="E4" s="9">
        <v>1808.2</v>
      </c>
      <c r="F4" s="7" t="s">
        <v>953</v>
      </c>
      <c r="G4" s="8">
        <v>0.0058</v>
      </c>
    </row>
    <row r="5" spans="1:7">
      <c r="A5" s="6">
        <v>44567</v>
      </c>
      <c r="B5" s="9">
        <v>1789.2</v>
      </c>
      <c r="C5" s="9">
        <v>1810.6</v>
      </c>
      <c r="D5" s="9">
        <v>1811.6</v>
      </c>
      <c r="E5" s="9">
        <v>1785.4</v>
      </c>
      <c r="F5" s="7" t="s">
        <v>954</v>
      </c>
      <c r="G5" s="8">
        <v>-0.0197</v>
      </c>
    </row>
    <row r="6" spans="1:7">
      <c r="A6" s="6">
        <v>44568</v>
      </c>
      <c r="B6" s="9">
        <v>1797.4</v>
      </c>
      <c r="C6" s="9">
        <v>1791</v>
      </c>
      <c r="D6" s="9">
        <v>1798.4</v>
      </c>
      <c r="E6" s="9">
        <v>1781.3</v>
      </c>
      <c r="F6" s="7" t="s">
        <v>955</v>
      </c>
      <c r="G6" s="8">
        <v>0.0046</v>
      </c>
    </row>
    <row r="7" spans="1:7">
      <c r="A7" s="6">
        <v>44571</v>
      </c>
      <c r="B7" s="9">
        <v>1798.8</v>
      </c>
      <c r="C7" s="9">
        <v>1796.4</v>
      </c>
      <c r="D7" s="9">
        <v>1802</v>
      </c>
      <c r="E7" s="9">
        <v>1789.3</v>
      </c>
      <c r="F7" s="7" t="s">
        <v>956</v>
      </c>
      <c r="G7" s="8">
        <v>0.0008</v>
      </c>
    </row>
    <row r="8" spans="1:7">
      <c r="A8" s="6">
        <v>44572</v>
      </c>
      <c r="B8" s="9">
        <v>1818.5</v>
      </c>
      <c r="C8" s="9">
        <v>1801.3</v>
      </c>
      <c r="D8" s="9">
        <v>1823.1</v>
      </c>
      <c r="E8" s="9">
        <v>1799.7</v>
      </c>
      <c r="F8" s="7" t="s">
        <v>957</v>
      </c>
      <c r="G8" s="8">
        <v>0.011</v>
      </c>
    </row>
    <row r="9" spans="1:7">
      <c r="A9" s="6">
        <v>44573</v>
      </c>
      <c r="B9" s="9">
        <v>1827.3</v>
      </c>
      <c r="C9" s="9">
        <v>1821.3</v>
      </c>
      <c r="D9" s="9">
        <v>1828.2</v>
      </c>
      <c r="E9" s="9">
        <v>1814.4</v>
      </c>
      <c r="F9" s="7" t="s">
        <v>958</v>
      </c>
      <c r="G9" s="8">
        <v>0.0048</v>
      </c>
    </row>
    <row r="10" spans="1:7">
      <c r="A10" s="6">
        <v>44574</v>
      </c>
      <c r="B10" s="9">
        <v>1821.4</v>
      </c>
      <c r="C10" s="9">
        <v>1825.7</v>
      </c>
      <c r="D10" s="9">
        <v>1828.3</v>
      </c>
      <c r="E10" s="9">
        <v>1811.8</v>
      </c>
      <c r="F10" s="7" t="s">
        <v>959</v>
      </c>
      <c r="G10" s="8">
        <v>-0.0032</v>
      </c>
    </row>
    <row r="11" spans="1:7">
      <c r="A11" s="6">
        <v>44575</v>
      </c>
      <c r="B11" s="9">
        <v>1816.5</v>
      </c>
      <c r="C11" s="9">
        <v>1822.1</v>
      </c>
      <c r="D11" s="9">
        <v>1829.3</v>
      </c>
      <c r="E11" s="9">
        <v>1814.2</v>
      </c>
      <c r="F11" s="7" t="s">
        <v>960</v>
      </c>
      <c r="G11" s="8">
        <v>-0.0027</v>
      </c>
    </row>
    <row r="12" spans="1:7">
      <c r="A12" s="6">
        <v>44578</v>
      </c>
      <c r="B12" s="9">
        <v>1812.4</v>
      </c>
      <c r="C12" s="9">
        <v>1818.7</v>
      </c>
      <c r="D12" s="9">
        <v>1822.9</v>
      </c>
      <c r="E12" s="9">
        <v>1804.7</v>
      </c>
      <c r="F12" s="7" t="s">
        <v>961</v>
      </c>
      <c r="G12" s="8">
        <v>-0.0023</v>
      </c>
    </row>
    <row r="13" spans="1:7">
      <c r="A13" s="6">
        <v>44579</v>
      </c>
      <c r="B13" s="9">
        <v>1812.4</v>
      </c>
      <c r="C13" s="9">
        <v>1818.7</v>
      </c>
      <c r="D13" s="9">
        <v>1822.9</v>
      </c>
      <c r="E13" s="9">
        <v>1804.7</v>
      </c>
      <c r="F13" s="7" t="s">
        <v>961</v>
      </c>
      <c r="G13" s="8">
        <v>0</v>
      </c>
    </row>
    <row r="14" spans="1:7">
      <c r="A14" s="6">
        <v>44580</v>
      </c>
      <c r="B14" s="9">
        <v>1843.2</v>
      </c>
      <c r="C14" s="9">
        <v>1812.9</v>
      </c>
      <c r="D14" s="9">
        <v>1843.9</v>
      </c>
      <c r="E14" s="9">
        <v>1809</v>
      </c>
      <c r="F14" s="7" t="s">
        <v>962</v>
      </c>
      <c r="G14" s="8">
        <v>0.017</v>
      </c>
    </row>
    <row r="15" spans="1:7">
      <c r="A15" s="6">
        <v>44581</v>
      </c>
      <c r="B15" s="9">
        <v>1842.6</v>
      </c>
      <c r="C15" s="9">
        <v>1840.1</v>
      </c>
      <c r="D15" s="9">
        <v>1848.5</v>
      </c>
      <c r="E15" s="9">
        <v>1836.2</v>
      </c>
      <c r="F15" s="7" t="s">
        <v>963</v>
      </c>
      <c r="G15" s="8">
        <v>-0.0003</v>
      </c>
    </row>
    <row r="16" spans="1:7">
      <c r="A16" s="6">
        <v>44582</v>
      </c>
      <c r="B16" s="9">
        <v>1831.8</v>
      </c>
      <c r="C16" s="9">
        <v>1840.6</v>
      </c>
      <c r="D16" s="9">
        <v>1843.7</v>
      </c>
      <c r="E16" s="9">
        <v>1828.4</v>
      </c>
      <c r="F16" s="7" t="s">
        <v>964</v>
      </c>
      <c r="G16" s="8">
        <v>-0.0059</v>
      </c>
    </row>
    <row r="17" spans="1:7">
      <c r="A17" s="6">
        <v>44585</v>
      </c>
      <c r="B17" s="9">
        <v>1841.7</v>
      </c>
      <c r="C17" s="9">
        <v>1835.2</v>
      </c>
      <c r="D17" s="9">
        <v>1844.9</v>
      </c>
      <c r="E17" s="9">
        <v>1829.3</v>
      </c>
      <c r="F17" s="7" t="s">
        <v>965</v>
      </c>
      <c r="G17" s="8">
        <v>0.0054</v>
      </c>
    </row>
    <row r="18" spans="1:7">
      <c r="A18" s="6">
        <v>44586</v>
      </c>
      <c r="B18" s="9">
        <v>1852.5</v>
      </c>
      <c r="C18" s="9">
        <v>1843.6</v>
      </c>
      <c r="D18" s="9">
        <v>1854.2</v>
      </c>
      <c r="E18" s="9">
        <v>1834.4</v>
      </c>
      <c r="F18" s="7" t="s">
        <v>966</v>
      </c>
      <c r="G18" s="8">
        <v>0.0059</v>
      </c>
    </row>
    <row r="19" spans="1:7">
      <c r="A19" s="6">
        <v>44587</v>
      </c>
      <c r="B19" s="9">
        <v>1829.7</v>
      </c>
      <c r="C19" s="9">
        <v>1848</v>
      </c>
      <c r="D19" s="9">
        <v>1850.2</v>
      </c>
      <c r="E19" s="9">
        <v>1814.1</v>
      </c>
      <c r="F19" s="7" t="s">
        <v>967</v>
      </c>
      <c r="G19" s="8">
        <v>-0.0123</v>
      </c>
    </row>
    <row r="20" spans="1:7">
      <c r="A20" s="6">
        <v>44588</v>
      </c>
      <c r="B20" s="9">
        <v>1793.1</v>
      </c>
      <c r="C20" s="9">
        <v>1819</v>
      </c>
      <c r="D20" s="9">
        <v>1821.4</v>
      </c>
      <c r="E20" s="9">
        <v>1790.6</v>
      </c>
      <c r="F20" s="7" t="s">
        <v>968</v>
      </c>
      <c r="G20" s="8">
        <v>-0.02</v>
      </c>
    </row>
    <row r="21" spans="1:7">
      <c r="A21" s="6">
        <v>44589</v>
      </c>
      <c r="B21" s="9">
        <v>1785.8</v>
      </c>
      <c r="C21" s="9">
        <v>1798.4</v>
      </c>
      <c r="D21" s="9">
        <v>1799.1</v>
      </c>
      <c r="E21" s="9">
        <v>1779.7</v>
      </c>
      <c r="F21" s="7" t="s">
        <v>969</v>
      </c>
      <c r="G21" s="8">
        <v>-0.0041</v>
      </c>
    </row>
    <row r="22" spans="1:7">
      <c r="A22" s="6">
        <v>44592</v>
      </c>
      <c r="B22" s="9">
        <v>1796</v>
      </c>
      <c r="C22" s="9">
        <v>1791.8</v>
      </c>
      <c r="D22" s="9">
        <v>1800</v>
      </c>
      <c r="E22" s="9">
        <v>1785.7</v>
      </c>
      <c r="F22" s="7" t="s">
        <v>970</v>
      </c>
      <c r="G22" s="8">
        <v>0.0057</v>
      </c>
    </row>
    <row r="23" spans="1:7">
      <c r="A23" s="6">
        <v>44593</v>
      </c>
      <c r="B23" s="9">
        <v>1800.8</v>
      </c>
      <c r="C23" s="9">
        <v>1798.1</v>
      </c>
      <c r="D23" s="9">
        <v>1808.7</v>
      </c>
      <c r="E23" s="9">
        <v>1796</v>
      </c>
      <c r="F23" s="7" t="s">
        <v>971</v>
      </c>
      <c r="G23" s="8">
        <v>0.0027</v>
      </c>
    </row>
    <row r="24" spans="1:7">
      <c r="A24" s="6">
        <v>44594</v>
      </c>
      <c r="B24" s="9">
        <v>1809.5</v>
      </c>
      <c r="C24" s="9">
        <v>1800.3</v>
      </c>
      <c r="D24" s="9">
        <v>1810.5</v>
      </c>
      <c r="E24" s="9">
        <v>1794.5</v>
      </c>
      <c r="F24" s="7" t="s">
        <v>972</v>
      </c>
      <c r="G24" s="8">
        <v>0.0048</v>
      </c>
    </row>
    <row r="25" spans="1:7">
      <c r="A25" s="6">
        <v>44595</v>
      </c>
      <c r="B25" s="9">
        <v>1803.2</v>
      </c>
      <c r="C25" s="9">
        <v>1806.8</v>
      </c>
      <c r="D25" s="9">
        <v>1807.6</v>
      </c>
      <c r="E25" s="9">
        <v>1787.8</v>
      </c>
      <c r="F25" s="7" t="s">
        <v>973</v>
      </c>
      <c r="G25" s="8">
        <v>-0.0035</v>
      </c>
    </row>
    <row r="26" spans="1:7">
      <c r="A26" s="6">
        <v>44596</v>
      </c>
      <c r="B26" s="9">
        <v>1806.8</v>
      </c>
      <c r="C26" s="9">
        <v>1804.6</v>
      </c>
      <c r="D26" s="9">
        <v>1814.5</v>
      </c>
      <c r="E26" s="9">
        <v>1792.4</v>
      </c>
      <c r="F26" s="7" t="s">
        <v>974</v>
      </c>
      <c r="G26" s="8">
        <v>0.002</v>
      </c>
    </row>
    <row r="27" spans="1:7">
      <c r="A27" s="6">
        <v>44599</v>
      </c>
      <c r="B27" s="9">
        <v>1820.8</v>
      </c>
      <c r="C27" s="9">
        <v>1807.8</v>
      </c>
      <c r="D27" s="9">
        <v>1823.3</v>
      </c>
      <c r="E27" s="9">
        <v>1807.8</v>
      </c>
      <c r="F27" s="7" t="s">
        <v>975</v>
      </c>
      <c r="G27" s="8">
        <v>0.0077</v>
      </c>
    </row>
    <row r="28" spans="1:7">
      <c r="A28" s="6">
        <v>44600</v>
      </c>
      <c r="B28" s="9">
        <v>1826.8</v>
      </c>
      <c r="C28" s="9">
        <v>1820.7</v>
      </c>
      <c r="D28" s="9">
        <v>1828.7</v>
      </c>
      <c r="E28" s="9">
        <v>1815.7</v>
      </c>
      <c r="F28" s="7" t="s">
        <v>976</v>
      </c>
      <c r="G28" s="8">
        <v>0.0033</v>
      </c>
    </row>
    <row r="29" spans="1:7">
      <c r="A29" s="6">
        <v>44601</v>
      </c>
      <c r="B29" s="9">
        <v>1835.6</v>
      </c>
      <c r="C29" s="9">
        <v>1826.1</v>
      </c>
      <c r="D29" s="9">
        <v>1835.8</v>
      </c>
      <c r="E29" s="9">
        <v>1824.7</v>
      </c>
      <c r="F29" s="7" t="s">
        <v>977</v>
      </c>
      <c r="G29" s="8">
        <v>0.0048</v>
      </c>
    </row>
    <row r="30" spans="1:7">
      <c r="A30" s="6">
        <v>44602</v>
      </c>
      <c r="B30" s="9">
        <v>1836.4</v>
      </c>
      <c r="C30" s="9">
        <v>1833.1</v>
      </c>
      <c r="D30" s="9">
        <v>1842.2</v>
      </c>
      <c r="E30" s="9">
        <v>1821</v>
      </c>
      <c r="F30" s="7" t="s">
        <v>978</v>
      </c>
      <c r="G30" s="8">
        <v>0.0004</v>
      </c>
    </row>
    <row r="31" spans="1:7">
      <c r="A31" s="6">
        <v>44603</v>
      </c>
      <c r="B31" s="9">
        <v>1841.1</v>
      </c>
      <c r="C31" s="9">
        <v>1827.4</v>
      </c>
      <c r="D31" s="9">
        <v>1866.4</v>
      </c>
      <c r="E31" s="9">
        <v>1821.5</v>
      </c>
      <c r="F31" s="7" t="s">
        <v>979</v>
      </c>
      <c r="G31" s="8">
        <v>0.0026</v>
      </c>
    </row>
    <row r="32" spans="1:7">
      <c r="A32" s="6">
        <v>44606</v>
      </c>
      <c r="B32" s="9">
        <v>1868.3</v>
      </c>
      <c r="C32" s="9">
        <v>1861.4</v>
      </c>
      <c r="D32" s="9">
        <v>1875</v>
      </c>
      <c r="E32" s="9">
        <v>1851.1</v>
      </c>
      <c r="F32" s="7" t="s">
        <v>980</v>
      </c>
      <c r="G32" s="8">
        <v>0.0148</v>
      </c>
    </row>
    <row r="33" spans="1:7">
      <c r="A33" s="6">
        <v>44607</v>
      </c>
      <c r="B33" s="9">
        <v>1855.1</v>
      </c>
      <c r="C33" s="9">
        <v>1872</v>
      </c>
      <c r="D33" s="9">
        <v>1880.1</v>
      </c>
      <c r="E33" s="9">
        <v>1844.7</v>
      </c>
      <c r="F33" s="7" t="s">
        <v>977</v>
      </c>
      <c r="G33" s="8">
        <v>-0.0071</v>
      </c>
    </row>
    <row r="34" spans="1:7">
      <c r="A34" s="6">
        <v>44608</v>
      </c>
      <c r="B34" s="9">
        <v>1870.5</v>
      </c>
      <c r="C34" s="9">
        <v>1854.3</v>
      </c>
      <c r="D34" s="9">
        <v>1873.4</v>
      </c>
      <c r="E34" s="9">
        <v>1851.7</v>
      </c>
      <c r="F34" s="7" t="s">
        <v>981</v>
      </c>
      <c r="G34" s="8">
        <v>0.0083</v>
      </c>
    </row>
    <row r="35" spans="1:7">
      <c r="A35" s="6">
        <v>44609</v>
      </c>
      <c r="B35" s="9">
        <v>1901</v>
      </c>
      <c r="C35" s="9">
        <v>1870.6</v>
      </c>
      <c r="D35" s="9">
        <v>1902.3</v>
      </c>
      <c r="E35" s="9">
        <v>1869.9</v>
      </c>
      <c r="F35" s="7" t="s">
        <v>982</v>
      </c>
      <c r="G35" s="8">
        <v>0.0163</v>
      </c>
    </row>
    <row r="36" spans="1:7">
      <c r="A36" s="6">
        <v>44610</v>
      </c>
      <c r="B36" s="9">
        <v>1898.8</v>
      </c>
      <c r="C36" s="9">
        <v>1901.2</v>
      </c>
      <c r="D36" s="9">
        <v>1903.5</v>
      </c>
      <c r="E36" s="9">
        <v>1887.5</v>
      </c>
      <c r="F36" s="7" t="s">
        <v>983</v>
      </c>
      <c r="G36" s="8">
        <v>-0.0012</v>
      </c>
    </row>
    <row r="37" spans="1:7">
      <c r="A37" s="6">
        <v>44613</v>
      </c>
      <c r="B37" s="9">
        <v>1907.4</v>
      </c>
      <c r="C37" s="9">
        <v>1903.5</v>
      </c>
      <c r="D37" s="9">
        <v>1918.3</v>
      </c>
      <c r="E37" s="9">
        <v>1889.7</v>
      </c>
      <c r="F37" s="7" t="s">
        <v>984</v>
      </c>
      <c r="G37" s="8">
        <v>0.0045</v>
      </c>
    </row>
    <row r="38" spans="1:7">
      <c r="A38" s="6">
        <v>44614</v>
      </c>
      <c r="B38" s="9">
        <v>1906.4</v>
      </c>
      <c r="C38" s="9">
        <v>1902.5</v>
      </c>
      <c r="D38" s="9">
        <v>1916.8</v>
      </c>
      <c r="E38" s="9">
        <v>1888.7</v>
      </c>
      <c r="F38" s="7" t="s">
        <v>985</v>
      </c>
      <c r="G38" s="8">
        <v>-0.0005</v>
      </c>
    </row>
    <row r="39" spans="1:7">
      <c r="A39" s="6">
        <v>44615</v>
      </c>
      <c r="B39" s="9">
        <v>1909.4</v>
      </c>
      <c r="C39" s="9">
        <v>1900.3</v>
      </c>
      <c r="D39" s="9">
        <v>1911.5</v>
      </c>
      <c r="E39" s="9">
        <v>1890.4</v>
      </c>
      <c r="F39" s="7" t="s">
        <v>986</v>
      </c>
      <c r="G39" s="8">
        <v>0.0016</v>
      </c>
    </row>
    <row r="40" spans="1:7">
      <c r="A40" s="6">
        <v>44616</v>
      </c>
      <c r="B40" s="9">
        <v>1925.4</v>
      </c>
      <c r="C40" s="9">
        <v>1911.1</v>
      </c>
      <c r="D40" s="9">
        <v>1975</v>
      </c>
      <c r="E40" s="9">
        <v>1880</v>
      </c>
      <c r="F40" s="7" t="s">
        <v>987</v>
      </c>
      <c r="G40" s="8">
        <v>0.0084</v>
      </c>
    </row>
    <row r="41" spans="1:7">
      <c r="A41" s="6">
        <v>44617</v>
      </c>
      <c r="B41" s="9">
        <v>1887.6</v>
      </c>
      <c r="C41" s="9">
        <v>1906.5</v>
      </c>
      <c r="D41" s="9">
        <v>1925</v>
      </c>
      <c r="E41" s="9">
        <v>1884.4</v>
      </c>
      <c r="F41" s="7" t="s">
        <v>988</v>
      </c>
      <c r="G41" s="8">
        <v>-0.0196</v>
      </c>
    </row>
    <row r="42" spans="1:7">
      <c r="A42" s="6">
        <v>44620</v>
      </c>
      <c r="B42" s="9">
        <v>1900.7</v>
      </c>
      <c r="C42" s="9">
        <v>1921</v>
      </c>
      <c r="D42" s="9">
        <v>1935.2</v>
      </c>
      <c r="E42" s="9">
        <v>1892.2</v>
      </c>
      <c r="F42" s="7" t="s">
        <v>989</v>
      </c>
      <c r="G42" s="8">
        <v>0.0069</v>
      </c>
    </row>
    <row r="43" spans="1:7">
      <c r="A43" s="6">
        <v>44621</v>
      </c>
      <c r="B43" s="9">
        <v>1943.8</v>
      </c>
      <c r="C43" s="9">
        <v>1908.4</v>
      </c>
      <c r="D43" s="9">
        <v>1952.6</v>
      </c>
      <c r="E43" s="9">
        <v>1903</v>
      </c>
      <c r="F43" s="7" t="s">
        <v>990</v>
      </c>
      <c r="G43" s="8">
        <v>0.0227</v>
      </c>
    </row>
    <row r="44" spans="1:7">
      <c r="A44" s="6">
        <v>44622</v>
      </c>
      <c r="B44" s="9">
        <v>1922.3</v>
      </c>
      <c r="C44" s="9">
        <v>1945.3</v>
      </c>
      <c r="D44" s="9">
        <v>1951.4</v>
      </c>
      <c r="E44" s="9">
        <v>1916</v>
      </c>
      <c r="F44" s="7" t="s">
        <v>991</v>
      </c>
      <c r="G44" s="8">
        <v>-0.0111</v>
      </c>
    </row>
    <row r="45" spans="1:7">
      <c r="A45" s="6">
        <v>44623</v>
      </c>
      <c r="B45" s="9">
        <v>1935.9</v>
      </c>
      <c r="C45" s="9">
        <v>1931.7</v>
      </c>
      <c r="D45" s="9">
        <v>1944.6</v>
      </c>
      <c r="E45" s="9">
        <v>1923.1</v>
      </c>
      <c r="F45" s="7" t="s">
        <v>992</v>
      </c>
      <c r="G45" s="8">
        <v>0.0071</v>
      </c>
    </row>
    <row r="46" spans="1:7">
      <c r="A46" s="6">
        <v>44624</v>
      </c>
      <c r="B46" s="9">
        <v>1966.6</v>
      </c>
      <c r="C46" s="9">
        <v>1938.5</v>
      </c>
      <c r="D46" s="9">
        <v>1974.9</v>
      </c>
      <c r="E46" s="9">
        <v>1931.5</v>
      </c>
      <c r="F46" s="7" t="s">
        <v>993</v>
      </c>
      <c r="G46" s="8">
        <v>0.0159</v>
      </c>
    </row>
    <row r="47" spans="1:7">
      <c r="A47" s="6">
        <v>44627</v>
      </c>
      <c r="B47" s="9">
        <v>1995.9</v>
      </c>
      <c r="C47" s="9">
        <v>1978.5</v>
      </c>
      <c r="D47" s="9">
        <v>2007.5</v>
      </c>
      <c r="E47" s="9">
        <v>1964.2</v>
      </c>
      <c r="F47" s="7" t="s">
        <v>994</v>
      </c>
      <c r="G47" s="8">
        <v>0.0149</v>
      </c>
    </row>
    <row r="48" spans="1:7">
      <c r="A48" s="6">
        <v>44628</v>
      </c>
      <c r="B48" s="9">
        <v>2043.3</v>
      </c>
      <c r="C48" s="9">
        <v>2001</v>
      </c>
      <c r="D48" s="9">
        <v>2078.8</v>
      </c>
      <c r="E48" s="9">
        <v>1985.8</v>
      </c>
      <c r="F48" s="7" t="s">
        <v>995</v>
      </c>
      <c r="G48" s="8">
        <v>0.0237</v>
      </c>
    </row>
    <row r="49" spans="1:7">
      <c r="A49" s="6">
        <v>44629</v>
      </c>
      <c r="B49" s="9">
        <v>1988.2</v>
      </c>
      <c r="C49" s="9">
        <v>2060.2</v>
      </c>
      <c r="D49" s="9">
        <v>2068.5</v>
      </c>
      <c r="E49" s="9">
        <v>1981</v>
      </c>
      <c r="F49" s="7" t="s">
        <v>996</v>
      </c>
      <c r="G49" s="8">
        <v>-0.027</v>
      </c>
    </row>
    <row r="50" spans="1:7">
      <c r="A50" s="6">
        <v>44630</v>
      </c>
      <c r="B50" s="9">
        <v>2000.4</v>
      </c>
      <c r="C50" s="9">
        <v>1992.8</v>
      </c>
      <c r="D50" s="9">
        <v>2015.1</v>
      </c>
      <c r="E50" s="9">
        <v>1975</v>
      </c>
      <c r="F50" s="7" t="s">
        <v>997</v>
      </c>
      <c r="G50" s="8">
        <v>0.0061</v>
      </c>
    </row>
    <row r="51" spans="1:7">
      <c r="A51" s="6">
        <v>44631</v>
      </c>
      <c r="B51" s="9">
        <v>1985</v>
      </c>
      <c r="C51" s="9">
        <v>2000.3</v>
      </c>
      <c r="D51" s="9">
        <v>2004</v>
      </c>
      <c r="E51" s="9">
        <v>1960.6</v>
      </c>
      <c r="F51" s="7" t="s">
        <v>998</v>
      </c>
      <c r="G51" s="8">
        <v>-0.0077</v>
      </c>
    </row>
    <row r="52" spans="1:7">
      <c r="A52" s="6">
        <v>44634</v>
      </c>
      <c r="B52" s="9">
        <v>1960.8</v>
      </c>
      <c r="C52" s="9">
        <v>1988.7</v>
      </c>
      <c r="D52" s="9">
        <v>1994.8</v>
      </c>
      <c r="E52" s="9">
        <v>1952</v>
      </c>
      <c r="F52" s="7" t="s">
        <v>999</v>
      </c>
      <c r="G52" s="8">
        <v>-0.0122</v>
      </c>
    </row>
    <row r="53" spans="1:7">
      <c r="A53" s="6">
        <v>44635</v>
      </c>
      <c r="B53" s="9">
        <v>1929.7</v>
      </c>
      <c r="C53" s="9">
        <v>1953.7</v>
      </c>
      <c r="D53" s="9">
        <v>1956.9</v>
      </c>
      <c r="E53" s="9">
        <v>1908.1</v>
      </c>
      <c r="F53" s="7" t="s">
        <v>1000</v>
      </c>
      <c r="G53" s="8">
        <v>-0.0159</v>
      </c>
    </row>
    <row r="54" spans="1:7">
      <c r="A54" s="6">
        <v>44636</v>
      </c>
      <c r="B54" s="9">
        <v>1909.2</v>
      </c>
      <c r="C54" s="9">
        <v>1920.1</v>
      </c>
      <c r="D54" s="9">
        <v>1930.1</v>
      </c>
      <c r="E54" s="9">
        <v>1895.2</v>
      </c>
      <c r="F54" s="7" t="s">
        <v>1001</v>
      </c>
      <c r="G54" s="8">
        <v>-0.0106</v>
      </c>
    </row>
    <row r="55" spans="1:7">
      <c r="A55" s="6">
        <v>44637</v>
      </c>
      <c r="B55" s="9">
        <v>1943.2</v>
      </c>
      <c r="C55" s="9">
        <v>1928.4</v>
      </c>
      <c r="D55" s="9">
        <v>1951</v>
      </c>
      <c r="E55" s="9">
        <v>1924</v>
      </c>
      <c r="F55" s="7" t="s">
        <v>1002</v>
      </c>
      <c r="G55" s="8">
        <v>0.0178</v>
      </c>
    </row>
    <row r="56" spans="1:7">
      <c r="A56" s="6">
        <v>44638</v>
      </c>
      <c r="B56" s="9">
        <v>1929.3</v>
      </c>
      <c r="C56" s="9">
        <v>1943.9</v>
      </c>
      <c r="D56" s="9">
        <v>1946.2</v>
      </c>
      <c r="E56" s="9">
        <v>1918</v>
      </c>
      <c r="F56" s="7" t="s">
        <v>1003</v>
      </c>
      <c r="G56" s="8">
        <v>-0.0072</v>
      </c>
    </row>
    <row r="57" spans="1:7">
      <c r="A57" s="6">
        <v>44641</v>
      </c>
      <c r="B57" s="9">
        <v>1929.5</v>
      </c>
      <c r="C57" s="9">
        <v>1922.4</v>
      </c>
      <c r="D57" s="9">
        <v>1941.8</v>
      </c>
      <c r="E57" s="9">
        <v>1917.2</v>
      </c>
      <c r="F57" s="7" t="s">
        <v>1004</v>
      </c>
      <c r="G57" s="8">
        <v>0.0001</v>
      </c>
    </row>
    <row r="58" spans="1:7">
      <c r="A58" s="6">
        <v>44642</v>
      </c>
      <c r="B58" s="9">
        <v>1921.5</v>
      </c>
      <c r="C58" s="9">
        <v>1936.1</v>
      </c>
      <c r="D58" s="9">
        <v>1939.5</v>
      </c>
      <c r="E58" s="9">
        <v>1909.8</v>
      </c>
      <c r="F58" s="7" t="s">
        <v>1005</v>
      </c>
      <c r="G58" s="8">
        <v>-0.0041</v>
      </c>
    </row>
    <row r="59" spans="1:7">
      <c r="A59" s="6">
        <v>44643</v>
      </c>
      <c r="B59" s="9">
        <v>1937.3</v>
      </c>
      <c r="C59" s="9">
        <v>1920.9</v>
      </c>
      <c r="D59" s="9">
        <v>1948.8</v>
      </c>
      <c r="E59" s="9">
        <v>1915.6</v>
      </c>
      <c r="F59" s="7" t="s">
        <v>1006</v>
      </c>
      <c r="G59" s="8">
        <v>0.0082</v>
      </c>
    </row>
    <row r="60" spans="1:7">
      <c r="A60" s="6">
        <v>44644</v>
      </c>
      <c r="B60" s="9">
        <v>1962.2</v>
      </c>
      <c r="C60" s="9">
        <v>1944.1</v>
      </c>
      <c r="D60" s="9">
        <v>1967.2</v>
      </c>
      <c r="E60" s="9">
        <v>1937.4</v>
      </c>
      <c r="F60" s="7" t="s">
        <v>1007</v>
      </c>
      <c r="G60" s="8">
        <v>0.0129</v>
      </c>
    </row>
    <row r="61" spans="1:7">
      <c r="A61" s="6">
        <v>44645</v>
      </c>
      <c r="B61" s="9">
        <v>1954.2</v>
      </c>
      <c r="C61" s="9">
        <v>1957.8</v>
      </c>
      <c r="D61" s="9">
        <v>1965.1</v>
      </c>
      <c r="E61" s="9">
        <v>1942.6</v>
      </c>
      <c r="F61" s="7" t="s">
        <v>1008</v>
      </c>
      <c r="G61" s="8">
        <v>-0.0041</v>
      </c>
    </row>
    <row r="62" spans="1:7">
      <c r="A62" s="6">
        <v>44648</v>
      </c>
      <c r="B62" s="9">
        <v>1939.8</v>
      </c>
      <c r="C62" s="9">
        <v>1958.7</v>
      </c>
      <c r="D62" s="9">
        <v>1959.8</v>
      </c>
      <c r="E62" s="9">
        <v>1915.7</v>
      </c>
      <c r="F62" s="7" t="s">
        <v>1009</v>
      </c>
      <c r="G62" s="8">
        <v>-0.0074</v>
      </c>
    </row>
    <row r="63" spans="1:7">
      <c r="A63" s="6">
        <v>44649</v>
      </c>
      <c r="B63" s="9">
        <v>1912.2</v>
      </c>
      <c r="C63" s="9">
        <v>1922.4</v>
      </c>
      <c r="D63" s="9">
        <v>1929.4</v>
      </c>
      <c r="E63" s="9">
        <v>1888.3</v>
      </c>
      <c r="F63" s="7" t="s">
        <v>1010</v>
      </c>
      <c r="G63" s="8">
        <v>-0.0142</v>
      </c>
    </row>
    <row r="64" spans="1:7">
      <c r="A64" s="6">
        <v>44650</v>
      </c>
      <c r="B64" s="9">
        <v>1936.1</v>
      </c>
      <c r="C64" s="9">
        <v>1922.4</v>
      </c>
      <c r="D64" s="9">
        <v>1940</v>
      </c>
      <c r="E64" s="9">
        <v>1917.8</v>
      </c>
      <c r="F64" s="7" t="s">
        <v>1011</v>
      </c>
      <c r="G64" s="8">
        <v>0.0125</v>
      </c>
    </row>
    <row r="65" spans="1:7">
      <c r="A65" s="6">
        <v>44651</v>
      </c>
      <c r="B65" s="9">
        <v>1951.1</v>
      </c>
      <c r="C65" s="9">
        <v>1935.4</v>
      </c>
      <c r="D65" s="9">
        <v>1951.9</v>
      </c>
      <c r="E65" s="9">
        <v>1921.5</v>
      </c>
      <c r="F65" s="7" t="s">
        <v>1012</v>
      </c>
      <c r="G65" s="8">
        <v>0.0077</v>
      </c>
    </row>
    <row r="66" spans="1:7">
      <c r="A66" s="6">
        <v>44652</v>
      </c>
      <c r="B66" s="9">
        <v>1920.9</v>
      </c>
      <c r="C66" s="9">
        <v>1939.3</v>
      </c>
      <c r="D66" s="9">
        <v>1940.9</v>
      </c>
      <c r="E66" s="9">
        <v>1919</v>
      </c>
      <c r="F66" s="7" t="s">
        <v>1013</v>
      </c>
      <c r="G66" s="8">
        <v>-0.0155</v>
      </c>
    </row>
    <row r="67" spans="1:7">
      <c r="A67" s="6">
        <v>44655</v>
      </c>
      <c r="B67" s="9">
        <v>1930.6</v>
      </c>
      <c r="C67" s="9">
        <v>1924.5</v>
      </c>
      <c r="D67" s="9">
        <v>1938</v>
      </c>
      <c r="E67" s="9">
        <v>1917.8</v>
      </c>
      <c r="F67" s="7" t="s">
        <v>1014</v>
      </c>
      <c r="G67" s="8">
        <v>0.005</v>
      </c>
    </row>
    <row r="68" spans="1:7">
      <c r="A68" s="6">
        <v>44656</v>
      </c>
      <c r="B68" s="9">
        <v>1924.1</v>
      </c>
      <c r="C68" s="9">
        <v>1934.4</v>
      </c>
      <c r="D68" s="9">
        <v>1945</v>
      </c>
      <c r="E68" s="9">
        <v>1918.1</v>
      </c>
      <c r="F68" s="7" t="s">
        <v>1015</v>
      </c>
      <c r="G68" s="8">
        <v>-0.0034</v>
      </c>
    </row>
    <row r="69" spans="1:7">
      <c r="A69" s="6">
        <v>44657</v>
      </c>
      <c r="B69" s="9">
        <v>1919.7</v>
      </c>
      <c r="C69" s="9">
        <v>1924.8</v>
      </c>
      <c r="D69" s="9">
        <v>1932</v>
      </c>
      <c r="E69" s="9">
        <v>1914</v>
      </c>
      <c r="F69" s="7" t="s">
        <v>1016</v>
      </c>
      <c r="G69" s="8">
        <v>-0.0023</v>
      </c>
    </row>
    <row r="70" spans="1:7">
      <c r="A70" s="6">
        <v>44658</v>
      </c>
      <c r="B70" s="9">
        <v>1934.7</v>
      </c>
      <c r="C70" s="9">
        <v>1923.8</v>
      </c>
      <c r="D70" s="9">
        <v>1937.1</v>
      </c>
      <c r="E70" s="9">
        <v>1920.4</v>
      </c>
      <c r="F70" s="7" t="s">
        <v>1015</v>
      </c>
      <c r="G70" s="8">
        <v>0.0078</v>
      </c>
    </row>
    <row r="71" spans="1:7">
      <c r="A71" s="6">
        <v>44659</v>
      </c>
      <c r="B71" s="9">
        <v>1942.4</v>
      </c>
      <c r="C71" s="9">
        <v>1931.3</v>
      </c>
      <c r="D71" s="9">
        <v>1948.9</v>
      </c>
      <c r="E71" s="9">
        <v>1928.7</v>
      </c>
      <c r="F71" s="7" t="s">
        <v>982</v>
      </c>
      <c r="G71" s="8">
        <v>0.004</v>
      </c>
    </row>
    <row r="72" spans="1:7">
      <c r="A72" s="6">
        <v>44662</v>
      </c>
      <c r="B72" s="9">
        <v>1945.1</v>
      </c>
      <c r="C72" s="9">
        <v>1949.5</v>
      </c>
      <c r="D72" s="9">
        <v>1970.8</v>
      </c>
      <c r="E72" s="9">
        <v>1940.8</v>
      </c>
      <c r="F72" s="7" t="s">
        <v>1017</v>
      </c>
      <c r="G72" s="8">
        <v>0.0014</v>
      </c>
    </row>
    <row r="73" spans="1:7">
      <c r="A73" s="6">
        <v>44663</v>
      </c>
      <c r="B73" s="9">
        <v>1973.2</v>
      </c>
      <c r="C73" s="9">
        <v>1953.5</v>
      </c>
      <c r="D73" s="9">
        <v>1979.2</v>
      </c>
      <c r="E73" s="9">
        <v>1951</v>
      </c>
      <c r="F73" s="7" t="s">
        <v>1018</v>
      </c>
      <c r="G73" s="8">
        <v>0.0144</v>
      </c>
    </row>
    <row r="74" spans="1:7">
      <c r="A74" s="6">
        <v>44664</v>
      </c>
      <c r="B74" s="9">
        <v>1981.9</v>
      </c>
      <c r="C74" s="9">
        <v>1968.6</v>
      </c>
      <c r="D74" s="9">
        <v>1982.4</v>
      </c>
      <c r="E74" s="9">
        <v>1963.7</v>
      </c>
      <c r="F74" s="7" t="s">
        <v>1019</v>
      </c>
      <c r="G74" s="8">
        <v>0.0044</v>
      </c>
    </row>
    <row r="75" spans="1:7">
      <c r="A75" s="6">
        <v>44665</v>
      </c>
      <c r="B75" s="9">
        <v>1972.2</v>
      </c>
      <c r="C75" s="9">
        <v>1977.5</v>
      </c>
      <c r="D75" s="9">
        <v>1981.1</v>
      </c>
      <c r="E75" s="9">
        <v>1961.2</v>
      </c>
      <c r="F75" s="7" t="s">
        <v>1020</v>
      </c>
      <c r="G75" s="8">
        <v>-0.0049</v>
      </c>
    </row>
    <row r="76" spans="1:7">
      <c r="A76" s="6">
        <v>44669</v>
      </c>
      <c r="B76" s="9">
        <v>1983.6</v>
      </c>
      <c r="C76" s="9">
        <v>1974.8</v>
      </c>
      <c r="D76" s="9">
        <v>2000</v>
      </c>
      <c r="E76" s="9">
        <v>1972.5</v>
      </c>
      <c r="F76" s="7" t="s">
        <v>1021</v>
      </c>
      <c r="G76" s="8">
        <v>0.0058</v>
      </c>
    </row>
    <row r="77" spans="1:7">
      <c r="A77" s="6">
        <v>44670</v>
      </c>
      <c r="B77" s="9">
        <v>1956.3</v>
      </c>
      <c r="C77" s="9">
        <v>1978.6</v>
      </c>
      <c r="D77" s="9">
        <v>1981</v>
      </c>
      <c r="E77" s="9">
        <v>1943.5</v>
      </c>
      <c r="F77" s="7" t="s">
        <v>1022</v>
      </c>
      <c r="G77" s="8">
        <v>-0.0138</v>
      </c>
    </row>
    <row r="78" spans="1:7">
      <c r="A78" s="6">
        <v>44671</v>
      </c>
      <c r="B78" s="9">
        <v>1952.9</v>
      </c>
      <c r="C78" s="9">
        <v>1949.9</v>
      </c>
      <c r="D78" s="9">
        <v>1957.8</v>
      </c>
      <c r="E78" s="9">
        <v>1938.7</v>
      </c>
      <c r="F78" s="7" t="s">
        <v>1023</v>
      </c>
      <c r="G78" s="8">
        <v>-0.0017</v>
      </c>
    </row>
    <row r="79" spans="1:7">
      <c r="A79" s="6">
        <v>44672</v>
      </c>
      <c r="B79" s="9">
        <v>1945.4</v>
      </c>
      <c r="C79" s="9">
        <v>1955</v>
      </c>
      <c r="D79" s="9">
        <v>1955.2</v>
      </c>
      <c r="E79" s="9">
        <v>1935.8</v>
      </c>
      <c r="F79" s="7" t="s">
        <v>1024</v>
      </c>
      <c r="G79" s="8">
        <v>-0.0038</v>
      </c>
    </row>
    <row r="80" spans="1:7">
      <c r="A80" s="6">
        <v>44673</v>
      </c>
      <c r="B80" s="9">
        <v>1931.6</v>
      </c>
      <c r="C80" s="9">
        <v>1949.5</v>
      </c>
      <c r="D80" s="9">
        <v>1954.2</v>
      </c>
      <c r="E80" s="9">
        <v>1926.7</v>
      </c>
      <c r="F80" s="7" t="s">
        <v>1025</v>
      </c>
      <c r="G80" s="8">
        <v>-0.0071</v>
      </c>
    </row>
    <row r="81" spans="1:7">
      <c r="A81" s="6">
        <v>44676</v>
      </c>
      <c r="B81" s="9">
        <v>1893.3</v>
      </c>
      <c r="C81" s="9">
        <v>1932.3</v>
      </c>
      <c r="D81" s="9">
        <v>1932.3</v>
      </c>
      <c r="E81" s="9">
        <v>1890</v>
      </c>
      <c r="F81" s="7" t="s">
        <v>974</v>
      </c>
      <c r="G81" s="8">
        <v>-0.0198</v>
      </c>
    </row>
    <row r="82" spans="1:7">
      <c r="A82" s="6">
        <v>44677</v>
      </c>
      <c r="B82" s="9">
        <v>1901.5</v>
      </c>
      <c r="C82" s="9">
        <v>1898.5</v>
      </c>
      <c r="D82" s="9">
        <v>1908.5</v>
      </c>
      <c r="E82" s="9">
        <v>1894</v>
      </c>
      <c r="F82" s="7" t="s">
        <v>1026</v>
      </c>
      <c r="G82" s="8">
        <v>0.0043</v>
      </c>
    </row>
    <row r="83" spans="1:7">
      <c r="A83" s="6">
        <v>44678</v>
      </c>
      <c r="B83" s="9">
        <v>1885.8</v>
      </c>
      <c r="C83" s="9">
        <v>1903.1</v>
      </c>
      <c r="D83" s="9">
        <v>1903.1</v>
      </c>
      <c r="E83" s="9">
        <v>1879.2</v>
      </c>
      <c r="F83" s="7" t="s">
        <v>1027</v>
      </c>
      <c r="G83" s="8">
        <v>-0.0083</v>
      </c>
    </row>
    <row r="84" spans="1:7">
      <c r="A84" s="6">
        <v>44679</v>
      </c>
      <c r="B84" s="9">
        <v>1891.3</v>
      </c>
      <c r="C84" s="9">
        <v>1886.8</v>
      </c>
      <c r="D84" s="9">
        <v>1897.8</v>
      </c>
      <c r="E84" s="9">
        <v>1870.9</v>
      </c>
      <c r="F84" s="7" t="s">
        <v>1028</v>
      </c>
      <c r="G84" s="8">
        <v>0.0029</v>
      </c>
    </row>
    <row r="85" spans="1:7">
      <c r="A85" s="6">
        <v>44680</v>
      </c>
      <c r="B85" s="9">
        <v>1911.7</v>
      </c>
      <c r="C85" s="9">
        <v>1895.8</v>
      </c>
      <c r="D85" s="9">
        <v>1921.3</v>
      </c>
      <c r="E85" s="9">
        <v>1893.5</v>
      </c>
      <c r="F85" s="7" t="s">
        <v>1029</v>
      </c>
      <c r="G85" s="8">
        <v>0.0108</v>
      </c>
    </row>
    <row r="86" spans="1:7">
      <c r="A86" s="6">
        <v>44683</v>
      </c>
      <c r="B86" s="9">
        <v>1863.6</v>
      </c>
      <c r="C86" s="9">
        <v>1896.2</v>
      </c>
      <c r="D86" s="9">
        <v>1900.4</v>
      </c>
      <c r="E86" s="9">
        <v>1853.4</v>
      </c>
      <c r="F86" s="7" t="s">
        <v>1030</v>
      </c>
      <c r="G86" s="8">
        <v>-0.0252</v>
      </c>
    </row>
    <row r="87" spans="1:7">
      <c r="A87" s="6">
        <v>44684</v>
      </c>
      <c r="B87" s="9">
        <v>1870.6</v>
      </c>
      <c r="C87" s="9">
        <v>1863.6</v>
      </c>
      <c r="D87" s="9">
        <v>1878.4</v>
      </c>
      <c r="E87" s="9">
        <v>1849.7</v>
      </c>
      <c r="F87" s="7" t="s">
        <v>1031</v>
      </c>
      <c r="G87" s="8">
        <v>0.0038</v>
      </c>
    </row>
    <row r="88" spans="1:7">
      <c r="A88" s="6">
        <v>44685</v>
      </c>
      <c r="B88" s="9">
        <v>1868.8</v>
      </c>
      <c r="C88" s="9">
        <v>1868.3</v>
      </c>
      <c r="D88" s="9">
        <v>1892</v>
      </c>
      <c r="E88" s="9">
        <v>1861.1</v>
      </c>
      <c r="F88" s="7" t="s">
        <v>1032</v>
      </c>
      <c r="G88" s="8">
        <v>-0.001</v>
      </c>
    </row>
    <row r="89" spans="1:7">
      <c r="A89" s="6">
        <v>44686</v>
      </c>
      <c r="B89" s="9">
        <v>1875.7</v>
      </c>
      <c r="C89" s="9">
        <v>1884.1</v>
      </c>
      <c r="D89" s="9">
        <v>1910.7</v>
      </c>
      <c r="E89" s="9">
        <v>1872.3</v>
      </c>
      <c r="F89" s="7" t="s">
        <v>1033</v>
      </c>
      <c r="G89" s="8">
        <v>0.0037</v>
      </c>
    </row>
    <row r="90" spans="1:7">
      <c r="A90" s="6">
        <v>44687</v>
      </c>
      <c r="B90" s="9">
        <v>1882.8</v>
      </c>
      <c r="C90" s="9">
        <v>1877.5</v>
      </c>
      <c r="D90" s="9">
        <v>1894</v>
      </c>
      <c r="E90" s="9">
        <v>1865</v>
      </c>
      <c r="F90" s="7" t="s">
        <v>1034</v>
      </c>
      <c r="G90" s="8">
        <v>0.0038</v>
      </c>
    </row>
    <row r="91" spans="1:7">
      <c r="A91" s="6">
        <v>44690</v>
      </c>
      <c r="B91" s="9">
        <v>1858.6</v>
      </c>
      <c r="C91" s="9">
        <v>1883.7</v>
      </c>
      <c r="D91" s="9">
        <v>1885.6</v>
      </c>
      <c r="E91" s="9">
        <v>1851</v>
      </c>
      <c r="F91" s="7" t="s">
        <v>1035</v>
      </c>
      <c r="G91" s="8">
        <v>-0.0129</v>
      </c>
    </row>
    <row r="92" spans="1:7">
      <c r="A92" s="6">
        <v>44691</v>
      </c>
      <c r="B92" s="9">
        <v>1841</v>
      </c>
      <c r="C92" s="9">
        <v>1853.9</v>
      </c>
      <c r="D92" s="9">
        <v>1864.7</v>
      </c>
      <c r="E92" s="9">
        <v>1834.5</v>
      </c>
      <c r="F92" s="7" t="s">
        <v>1036</v>
      </c>
      <c r="G92" s="8">
        <v>-0.0095</v>
      </c>
    </row>
    <row r="93" spans="1:7">
      <c r="A93" s="6">
        <v>44692</v>
      </c>
      <c r="B93" s="9">
        <v>1853.7</v>
      </c>
      <c r="C93" s="9">
        <v>1836.6</v>
      </c>
      <c r="D93" s="9">
        <v>1857.8</v>
      </c>
      <c r="E93" s="9">
        <v>1830.6</v>
      </c>
      <c r="F93" s="7" t="s">
        <v>1037</v>
      </c>
      <c r="G93" s="8">
        <v>0.0069</v>
      </c>
    </row>
    <row r="94" spans="1:7">
      <c r="A94" s="6">
        <v>44693</v>
      </c>
      <c r="B94" s="9">
        <v>1824.6</v>
      </c>
      <c r="C94" s="9">
        <v>1852.3</v>
      </c>
      <c r="D94" s="9">
        <v>1858.8</v>
      </c>
      <c r="E94" s="9">
        <v>1820.1</v>
      </c>
      <c r="F94" s="7" t="s">
        <v>1038</v>
      </c>
      <c r="G94" s="8">
        <v>-0.0157</v>
      </c>
    </row>
    <row r="95" spans="1:7">
      <c r="A95" s="6">
        <v>44694</v>
      </c>
      <c r="B95" s="9">
        <v>1808.2</v>
      </c>
      <c r="C95" s="9">
        <v>1821.4</v>
      </c>
      <c r="D95" s="9">
        <v>1827.6</v>
      </c>
      <c r="E95" s="9">
        <v>1797.2</v>
      </c>
      <c r="F95" s="7" t="s">
        <v>1039</v>
      </c>
      <c r="G95" s="8">
        <v>-0.009</v>
      </c>
    </row>
    <row r="96" spans="1:7">
      <c r="A96" s="6">
        <v>44697</v>
      </c>
      <c r="B96" s="9">
        <v>1814</v>
      </c>
      <c r="C96" s="9">
        <v>1809.4</v>
      </c>
      <c r="D96" s="9">
        <v>1826</v>
      </c>
      <c r="E96" s="9">
        <v>1785</v>
      </c>
      <c r="F96" s="7" t="s">
        <v>1040</v>
      </c>
      <c r="G96" s="8">
        <v>0.0032</v>
      </c>
    </row>
    <row r="97" spans="1:7">
      <c r="A97" s="6">
        <v>44698</v>
      </c>
      <c r="B97" s="9">
        <v>1818.9</v>
      </c>
      <c r="C97" s="9">
        <v>1823.9</v>
      </c>
      <c r="D97" s="9">
        <v>1834.8</v>
      </c>
      <c r="E97" s="9">
        <v>1811</v>
      </c>
      <c r="F97" s="7" t="s">
        <v>1041</v>
      </c>
      <c r="G97" s="8">
        <v>0.0027</v>
      </c>
    </row>
    <row r="98" spans="1:7">
      <c r="A98" s="6">
        <v>44699</v>
      </c>
      <c r="B98" s="9">
        <v>1815.9</v>
      </c>
      <c r="C98" s="9">
        <v>1813.2</v>
      </c>
      <c r="D98" s="9">
        <v>1822.9</v>
      </c>
      <c r="E98" s="9">
        <v>1805</v>
      </c>
      <c r="F98" s="7" t="s">
        <v>1042</v>
      </c>
      <c r="G98" s="8">
        <v>-0.0016</v>
      </c>
    </row>
    <row r="99" spans="1:7">
      <c r="A99" s="6">
        <v>44700</v>
      </c>
      <c r="B99" s="9">
        <v>1841.2</v>
      </c>
      <c r="C99" s="9">
        <v>1815.1</v>
      </c>
      <c r="D99" s="9">
        <v>1848.2</v>
      </c>
      <c r="E99" s="9">
        <v>1808.4</v>
      </c>
      <c r="F99" s="7" t="s">
        <v>1043</v>
      </c>
      <c r="G99" s="8">
        <v>0.0139</v>
      </c>
    </row>
    <row r="100" spans="1:7">
      <c r="A100" s="6">
        <v>44701</v>
      </c>
      <c r="B100" s="9">
        <v>1842.1</v>
      </c>
      <c r="C100" s="9">
        <v>1839.6</v>
      </c>
      <c r="D100" s="9">
        <v>1847.8</v>
      </c>
      <c r="E100" s="9">
        <v>1830.6</v>
      </c>
      <c r="F100" s="7" t="s">
        <v>1044</v>
      </c>
      <c r="G100" s="8">
        <v>0.0005</v>
      </c>
    </row>
    <row r="101" spans="1:7">
      <c r="A101" s="6">
        <v>44704</v>
      </c>
      <c r="B101" s="9">
        <v>1847.8</v>
      </c>
      <c r="C101" s="9">
        <v>1844.4</v>
      </c>
      <c r="D101" s="9">
        <v>1864.3</v>
      </c>
      <c r="E101" s="9">
        <v>1843.3</v>
      </c>
      <c r="F101" s="7" t="s">
        <v>1045</v>
      </c>
      <c r="G101" s="8">
        <v>0.0031</v>
      </c>
    </row>
    <row r="102" spans="1:7">
      <c r="A102" s="6">
        <v>44705</v>
      </c>
      <c r="B102" s="9">
        <v>1865.4</v>
      </c>
      <c r="C102" s="9">
        <v>1852.3</v>
      </c>
      <c r="D102" s="9">
        <v>1869.1</v>
      </c>
      <c r="E102" s="9">
        <v>1847.6</v>
      </c>
      <c r="F102" s="7" t="s">
        <v>1046</v>
      </c>
      <c r="G102" s="8">
        <v>0.0095</v>
      </c>
    </row>
    <row r="103" spans="1:7">
      <c r="A103" s="6">
        <v>44706</v>
      </c>
      <c r="B103" s="9">
        <v>1846.3</v>
      </c>
      <c r="C103" s="9">
        <v>1865.4</v>
      </c>
      <c r="D103" s="9">
        <v>1866.7</v>
      </c>
      <c r="E103" s="9">
        <v>1838.7</v>
      </c>
      <c r="F103" s="7" t="s">
        <v>1047</v>
      </c>
      <c r="G103" s="8">
        <v>-0.0102</v>
      </c>
    </row>
    <row r="104" spans="1:7">
      <c r="A104" s="6">
        <v>44707</v>
      </c>
      <c r="B104" s="9">
        <v>1847.6</v>
      </c>
      <c r="C104" s="9">
        <v>1851.8</v>
      </c>
      <c r="D104" s="9">
        <v>1852.8</v>
      </c>
      <c r="E104" s="9">
        <v>1836.3</v>
      </c>
      <c r="F104" s="7" t="s">
        <v>1048</v>
      </c>
      <c r="G104" s="8">
        <v>0.0007</v>
      </c>
    </row>
    <row r="105" spans="1:7">
      <c r="A105" s="6">
        <v>44708</v>
      </c>
      <c r="B105" s="9">
        <v>1854</v>
      </c>
      <c r="C105" s="9">
        <v>1852</v>
      </c>
      <c r="D105" s="9">
        <v>1862.7</v>
      </c>
      <c r="E105" s="9">
        <v>1849.7</v>
      </c>
      <c r="F105" s="7" t="s">
        <v>1049</v>
      </c>
      <c r="G105" s="8">
        <v>0.0035</v>
      </c>
    </row>
    <row r="106" spans="1:7">
      <c r="A106" s="6">
        <v>44711</v>
      </c>
      <c r="B106" s="9">
        <v>1848.4</v>
      </c>
      <c r="C106" s="9">
        <v>1856.5</v>
      </c>
      <c r="D106" s="9">
        <v>1867.9</v>
      </c>
      <c r="E106" s="9">
        <v>1837.6</v>
      </c>
      <c r="F106" s="7" t="s">
        <v>1050</v>
      </c>
      <c r="G106" s="8">
        <v>-0.003</v>
      </c>
    </row>
    <row r="107" spans="1:7">
      <c r="A107" s="6">
        <v>44712</v>
      </c>
      <c r="B107" s="9">
        <v>1845.2</v>
      </c>
      <c r="C107" s="9">
        <v>1852.6</v>
      </c>
      <c r="D107" s="9">
        <v>1863.7</v>
      </c>
      <c r="E107" s="9">
        <v>1834.7</v>
      </c>
      <c r="F107" s="7" t="s">
        <v>1051</v>
      </c>
      <c r="G107" s="8">
        <v>-0.0017</v>
      </c>
    </row>
    <row r="108" spans="1:7">
      <c r="A108" s="6">
        <v>44713</v>
      </c>
      <c r="B108" s="9">
        <v>1845.8</v>
      </c>
      <c r="C108" s="9">
        <v>1837.1</v>
      </c>
      <c r="D108" s="9">
        <v>1850</v>
      </c>
      <c r="E108" s="9">
        <v>1827.9</v>
      </c>
      <c r="F108" s="7" t="s">
        <v>1052</v>
      </c>
      <c r="G108" s="8">
        <v>0.0003</v>
      </c>
    </row>
    <row r="109" spans="1:7">
      <c r="A109" s="6">
        <v>44714</v>
      </c>
      <c r="B109" s="9">
        <v>1868.4</v>
      </c>
      <c r="C109" s="9">
        <v>1846.8</v>
      </c>
      <c r="D109" s="9">
        <v>1870.7</v>
      </c>
      <c r="E109" s="9">
        <v>1844</v>
      </c>
      <c r="F109" s="7" t="s">
        <v>1053</v>
      </c>
      <c r="G109" s="8">
        <v>0.0122</v>
      </c>
    </row>
    <row r="110" spans="1:7">
      <c r="A110" s="6">
        <v>44715</v>
      </c>
      <c r="B110" s="9">
        <v>1847.3</v>
      </c>
      <c r="C110" s="9">
        <v>1869.8</v>
      </c>
      <c r="D110" s="9">
        <v>1875</v>
      </c>
      <c r="E110" s="9">
        <v>1847.2</v>
      </c>
      <c r="F110" s="7" t="s">
        <v>1020</v>
      </c>
      <c r="G110" s="8">
        <v>-0.0113</v>
      </c>
    </row>
    <row r="111" spans="1:7">
      <c r="A111" s="6">
        <v>44718</v>
      </c>
      <c r="B111" s="9">
        <v>1840.8</v>
      </c>
      <c r="C111" s="9">
        <v>1849.9</v>
      </c>
      <c r="D111" s="9">
        <v>1857.5</v>
      </c>
      <c r="E111" s="9">
        <v>1840.3</v>
      </c>
      <c r="F111" s="7" t="s">
        <v>1054</v>
      </c>
      <c r="G111" s="8">
        <v>-0.0035</v>
      </c>
    </row>
    <row r="112" spans="1:7">
      <c r="A112" s="6">
        <v>44719</v>
      </c>
      <c r="B112" s="9">
        <v>1849.2</v>
      </c>
      <c r="C112" s="9">
        <v>1841.1</v>
      </c>
      <c r="D112" s="9">
        <v>1855</v>
      </c>
      <c r="E112" s="9">
        <v>1836</v>
      </c>
      <c r="F112" s="7" t="s">
        <v>1055</v>
      </c>
      <c r="G112" s="8">
        <v>0.0046</v>
      </c>
    </row>
    <row r="113" spans="1:7">
      <c r="A113" s="6">
        <v>44720</v>
      </c>
      <c r="B113" s="9">
        <v>1853.6</v>
      </c>
      <c r="C113" s="9">
        <v>1852</v>
      </c>
      <c r="D113" s="9">
        <v>1859.1</v>
      </c>
      <c r="E113" s="9">
        <v>1844.4</v>
      </c>
      <c r="F113" s="7" t="s">
        <v>1056</v>
      </c>
      <c r="G113" s="8">
        <v>0.0024</v>
      </c>
    </row>
    <row r="114" spans="1:7">
      <c r="A114" s="6">
        <v>44721</v>
      </c>
      <c r="B114" s="9">
        <v>1850.1</v>
      </c>
      <c r="C114" s="9">
        <v>1853.2</v>
      </c>
      <c r="D114" s="9">
        <v>1853.8</v>
      </c>
      <c r="E114" s="9">
        <v>1839</v>
      </c>
      <c r="F114" s="7" t="s">
        <v>1057</v>
      </c>
      <c r="G114" s="8">
        <v>-0.0019</v>
      </c>
    </row>
    <row r="115" spans="1:7">
      <c r="A115" s="6">
        <v>44722</v>
      </c>
      <c r="B115" s="9">
        <v>1872.7</v>
      </c>
      <c r="C115" s="9">
        <v>1847.5</v>
      </c>
      <c r="D115" s="9">
        <v>1876.6</v>
      </c>
      <c r="E115" s="9">
        <v>1824.1</v>
      </c>
      <c r="F115" s="7" t="s">
        <v>1058</v>
      </c>
      <c r="G115" s="8">
        <v>0.0122</v>
      </c>
    </row>
    <row r="116" spans="1:7">
      <c r="A116" s="6">
        <v>44725</v>
      </c>
      <c r="B116" s="9">
        <v>1829.2</v>
      </c>
      <c r="C116" s="9">
        <v>1876.4</v>
      </c>
      <c r="D116" s="9">
        <v>1879.5</v>
      </c>
      <c r="E116" s="9">
        <v>1818.6</v>
      </c>
      <c r="F116" s="7" t="s">
        <v>1059</v>
      </c>
      <c r="G116" s="8">
        <v>-0.0232</v>
      </c>
    </row>
    <row r="117" spans="1:7">
      <c r="A117" s="6">
        <v>44726</v>
      </c>
      <c r="B117" s="9">
        <v>1810.5</v>
      </c>
      <c r="C117" s="9">
        <v>1810.7</v>
      </c>
      <c r="D117" s="9">
        <v>1830</v>
      </c>
      <c r="E117" s="9">
        <v>1803</v>
      </c>
      <c r="F117" s="7" t="s">
        <v>970</v>
      </c>
      <c r="G117" s="8">
        <v>-0.0102</v>
      </c>
    </row>
    <row r="118" spans="1:7">
      <c r="A118" s="6">
        <v>44727</v>
      </c>
      <c r="B118" s="9">
        <v>1816.3</v>
      </c>
      <c r="C118" s="9">
        <v>1806.6</v>
      </c>
      <c r="D118" s="9">
        <v>1840</v>
      </c>
      <c r="E118" s="9">
        <v>1805.6</v>
      </c>
      <c r="F118" s="7" t="s">
        <v>1060</v>
      </c>
      <c r="G118" s="8">
        <v>0.0032</v>
      </c>
    </row>
    <row r="119" spans="1:7">
      <c r="A119" s="6">
        <v>44728</v>
      </c>
      <c r="B119" s="9">
        <v>1846.6</v>
      </c>
      <c r="C119" s="9">
        <v>1831.9</v>
      </c>
      <c r="D119" s="9">
        <v>1855.8</v>
      </c>
      <c r="E119" s="9">
        <v>1815.8</v>
      </c>
      <c r="F119" s="7" t="s">
        <v>1061</v>
      </c>
      <c r="G119" s="8">
        <v>0.0167</v>
      </c>
    </row>
    <row r="120" spans="1:7">
      <c r="A120" s="6">
        <v>44729</v>
      </c>
      <c r="B120" s="9">
        <v>1836.5</v>
      </c>
      <c r="C120" s="9">
        <v>1851.8</v>
      </c>
      <c r="D120" s="9">
        <v>1851.8</v>
      </c>
      <c r="E120" s="9">
        <v>1832</v>
      </c>
      <c r="F120" s="7" t="s">
        <v>1062</v>
      </c>
      <c r="G120" s="8">
        <v>-0.0055</v>
      </c>
    </row>
    <row r="121" spans="1:7">
      <c r="A121" s="6">
        <v>44732</v>
      </c>
      <c r="B121" s="9">
        <v>1838.8</v>
      </c>
      <c r="C121" s="9">
        <v>1840.6</v>
      </c>
      <c r="D121" s="9">
        <v>1848.4</v>
      </c>
      <c r="E121" s="9">
        <v>1830.7</v>
      </c>
      <c r="F121" s="7" t="s">
        <v>1063</v>
      </c>
      <c r="G121" s="8">
        <v>0.0013</v>
      </c>
    </row>
    <row r="122" spans="1:7">
      <c r="A122" s="6">
        <v>44733</v>
      </c>
      <c r="B122" s="9">
        <v>1835.4</v>
      </c>
      <c r="C122" s="9">
        <v>1834.7</v>
      </c>
      <c r="D122" s="9">
        <v>1842.4</v>
      </c>
      <c r="E122" s="9">
        <v>1831</v>
      </c>
      <c r="F122" s="7" t="s">
        <v>1064</v>
      </c>
      <c r="G122" s="8">
        <v>-0.0018</v>
      </c>
    </row>
    <row r="123" spans="1:7">
      <c r="A123" s="6">
        <v>44734</v>
      </c>
      <c r="B123" s="9">
        <v>1835.2</v>
      </c>
      <c r="C123" s="9">
        <v>1829.3</v>
      </c>
      <c r="D123" s="9">
        <v>1845.1</v>
      </c>
      <c r="E123" s="9">
        <v>1822.3</v>
      </c>
      <c r="F123" s="7" t="s">
        <v>1019</v>
      </c>
      <c r="G123" s="8">
        <v>-0.0001</v>
      </c>
    </row>
    <row r="124" spans="1:7">
      <c r="A124" s="6">
        <v>44735</v>
      </c>
      <c r="B124" s="9">
        <v>1826.3</v>
      </c>
      <c r="C124" s="9">
        <v>1835</v>
      </c>
      <c r="D124" s="9">
        <v>1842.9</v>
      </c>
      <c r="E124" s="9">
        <v>1822.4</v>
      </c>
      <c r="F124" s="7" t="s">
        <v>1065</v>
      </c>
      <c r="G124" s="8">
        <v>-0.0048</v>
      </c>
    </row>
    <row r="125" spans="1:7">
      <c r="A125" s="6">
        <v>44736</v>
      </c>
      <c r="B125" s="9">
        <v>1827</v>
      </c>
      <c r="C125" s="9">
        <v>1822.6</v>
      </c>
      <c r="D125" s="9">
        <v>1829</v>
      </c>
      <c r="E125" s="9">
        <v>1814.6</v>
      </c>
      <c r="F125" s="7" t="s">
        <v>1020</v>
      </c>
      <c r="G125" s="8">
        <v>0.0004</v>
      </c>
    </row>
    <row r="126" spans="1:7">
      <c r="A126" s="6">
        <v>44739</v>
      </c>
      <c r="B126" s="9">
        <v>1821</v>
      </c>
      <c r="C126" s="9">
        <v>1833.4</v>
      </c>
      <c r="D126" s="9">
        <v>1837.3</v>
      </c>
      <c r="E126" s="9">
        <v>1818</v>
      </c>
      <c r="F126" s="7" t="s">
        <v>1066</v>
      </c>
      <c r="G126" s="8">
        <v>-0.0033</v>
      </c>
    </row>
    <row r="127" spans="1:7">
      <c r="A127" s="6">
        <v>44740</v>
      </c>
      <c r="B127" s="9">
        <v>1817.5</v>
      </c>
      <c r="C127" s="9">
        <v>1820.1</v>
      </c>
      <c r="D127" s="9">
        <v>1825.3</v>
      </c>
      <c r="E127" s="9">
        <v>1816.4</v>
      </c>
      <c r="F127" s="7" t="s">
        <v>1067</v>
      </c>
      <c r="G127" s="8">
        <v>-0.0019</v>
      </c>
    </row>
    <row r="128" spans="1:7">
      <c r="A128" s="6">
        <v>44741</v>
      </c>
      <c r="B128" s="9">
        <v>1817.5</v>
      </c>
      <c r="C128" s="9">
        <v>1821.4</v>
      </c>
      <c r="D128" s="9">
        <v>1834.9</v>
      </c>
      <c r="E128" s="9">
        <v>1810.7</v>
      </c>
      <c r="F128" s="7" t="s">
        <v>1068</v>
      </c>
      <c r="G128" s="8">
        <v>0</v>
      </c>
    </row>
    <row r="129" spans="1:7">
      <c r="A129" s="6">
        <v>44742</v>
      </c>
      <c r="B129" s="9">
        <v>1807.3</v>
      </c>
      <c r="C129" s="9">
        <v>1819.2</v>
      </c>
      <c r="D129" s="9">
        <v>1826.8</v>
      </c>
      <c r="E129" s="9">
        <v>1802.5</v>
      </c>
      <c r="F129" s="7" t="s">
        <v>1069</v>
      </c>
      <c r="G129" s="8">
        <v>-0.0056</v>
      </c>
    </row>
    <row r="130" spans="1:7">
      <c r="A130" s="6">
        <v>44743</v>
      </c>
      <c r="B130" s="9">
        <v>1801.5</v>
      </c>
      <c r="C130" s="9">
        <v>1808.1</v>
      </c>
      <c r="D130" s="9">
        <v>1813.6</v>
      </c>
      <c r="E130" s="9">
        <v>1783.4</v>
      </c>
      <c r="F130" s="7" t="s">
        <v>1070</v>
      </c>
      <c r="G130" s="8">
        <v>-0.0032</v>
      </c>
    </row>
    <row r="131" spans="1:7">
      <c r="A131" s="6">
        <v>44746</v>
      </c>
      <c r="B131" s="9">
        <v>1763.9</v>
      </c>
      <c r="C131" s="9">
        <v>1814.4</v>
      </c>
      <c r="D131" s="9">
        <v>1815.2</v>
      </c>
      <c r="E131" s="9">
        <v>1763</v>
      </c>
      <c r="F131" s="7" t="s">
        <v>1071</v>
      </c>
      <c r="G131" s="8">
        <v>-0.0209</v>
      </c>
    </row>
    <row r="132" spans="1:7">
      <c r="A132" s="6">
        <v>44747</v>
      </c>
      <c r="B132" s="9">
        <v>1763.9</v>
      </c>
      <c r="C132" s="9">
        <v>1814.4</v>
      </c>
      <c r="D132" s="9">
        <v>1815.2</v>
      </c>
      <c r="E132" s="9">
        <v>1763</v>
      </c>
      <c r="F132" s="7" t="s">
        <v>1071</v>
      </c>
      <c r="G132" s="8">
        <v>0</v>
      </c>
    </row>
    <row r="133" spans="1:7">
      <c r="A133" s="6">
        <v>44748</v>
      </c>
      <c r="B133" s="9">
        <v>1736.5</v>
      </c>
      <c r="C133" s="9">
        <v>1764.2</v>
      </c>
      <c r="D133" s="9">
        <v>1771.5</v>
      </c>
      <c r="E133" s="9">
        <v>1730.7</v>
      </c>
      <c r="F133" s="7" t="s">
        <v>1072</v>
      </c>
      <c r="G133" s="8">
        <v>-0.0155</v>
      </c>
    </row>
    <row r="134" spans="1:7">
      <c r="A134" s="6">
        <v>44749</v>
      </c>
      <c r="B134" s="9">
        <v>1739.7</v>
      </c>
      <c r="C134" s="9">
        <v>1737.2</v>
      </c>
      <c r="D134" s="9">
        <v>1748.2</v>
      </c>
      <c r="E134" s="9">
        <v>1734.7</v>
      </c>
      <c r="F134" s="7" t="s">
        <v>1073</v>
      </c>
      <c r="G134" s="8">
        <v>0.0018</v>
      </c>
    </row>
    <row r="135" spans="1:7">
      <c r="A135" s="6">
        <v>44750</v>
      </c>
      <c r="B135" s="9">
        <v>1742.3</v>
      </c>
      <c r="C135" s="9">
        <v>1738.7</v>
      </c>
      <c r="D135" s="9">
        <v>1751.7</v>
      </c>
      <c r="E135" s="9">
        <v>1726</v>
      </c>
      <c r="F135" s="7" t="s">
        <v>1074</v>
      </c>
      <c r="G135" s="8">
        <v>0.0015</v>
      </c>
    </row>
    <row r="136" spans="1:7">
      <c r="A136" s="6">
        <v>44753</v>
      </c>
      <c r="B136" s="9">
        <v>1731.7</v>
      </c>
      <c r="C136" s="9">
        <v>1741.5</v>
      </c>
      <c r="D136" s="9">
        <v>1743</v>
      </c>
      <c r="E136" s="9">
        <v>1729</v>
      </c>
      <c r="F136" s="7" t="s">
        <v>1075</v>
      </c>
      <c r="G136" s="8">
        <v>-0.0061</v>
      </c>
    </row>
    <row r="137" spans="1:7">
      <c r="A137" s="6">
        <v>44754</v>
      </c>
      <c r="B137" s="9">
        <v>1724.8</v>
      </c>
      <c r="C137" s="9">
        <v>1731.3</v>
      </c>
      <c r="D137" s="9">
        <v>1742.2</v>
      </c>
      <c r="E137" s="9">
        <v>1721.6</v>
      </c>
      <c r="F137" s="7" t="s">
        <v>56</v>
      </c>
      <c r="G137" s="8">
        <v>-0.004</v>
      </c>
    </row>
    <row r="138" spans="1:7">
      <c r="A138" s="6">
        <v>44755</v>
      </c>
      <c r="B138" s="9">
        <v>1735.5</v>
      </c>
      <c r="C138" s="9">
        <v>1723.6</v>
      </c>
      <c r="D138" s="9">
        <v>1744.3</v>
      </c>
      <c r="E138" s="9">
        <v>1704.5</v>
      </c>
      <c r="F138" s="7" t="s">
        <v>748</v>
      </c>
      <c r="G138" s="8">
        <v>0.0062</v>
      </c>
    </row>
    <row r="139" spans="1:7">
      <c r="A139" s="6">
        <v>44756</v>
      </c>
      <c r="B139" s="9">
        <v>1705.8</v>
      </c>
      <c r="C139" s="9">
        <v>1733.6</v>
      </c>
      <c r="D139" s="9">
        <v>1734.8</v>
      </c>
      <c r="E139" s="9">
        <v>1695</v>
      </c>
      <c r="F139" s="7" t="s">
        <v>1076</v>
      </c>
      <c r="G139" s="8">
        <v>-0.0171</v>
      </c>
    </row>
    <row r="140" spans="1:7">
      <c r="A140" s="6">
        <v>44757</v>
      </c>
      <c r="B140" s="9">
        <v>1703.6</v>
      </c>
      <c r="C140" s="9">
        <v>1708.2</v>
      </c>
      <c r="D140" s="9">
        <v>1714.2</v>
      </c>
      <c r="E140" s="9">
        <v>1696.6</v>
      </c>
      <c r="F140" s="7" t="s">
        <v>1077</v>
      </c>
      <c r="G140" s="8">
        <v>-0.0013</v>
      </c>
    </row>
    <row r="141" spans="1:7">
      <c r="A141" s="6">
        <v>44760</v>
      </c>
      <c r="B141" s="9">
        <v>1710.2</v>
      </c>
      <c r="C141" s="9">
        <v>1706.4</v>
      </c>
      <c r="D141" s="9">
        <v>1722</v>
      </c>
      <c r="E141" s="9">
        <v>1704.4</v>
      </c>
      <c r="F141" s="7" t="s">
        <v>1078</v>
      </c>
      <c r="G141" s="8">
        <v>0.0039</v>
      </c>
    </row>
    <row r="142" spans="1:7">
      <c r="A142" s="6">
        <v>44761</v>
      </c>
      <c r="B142" s="9">
        <v>1710.7</v>
      </c>
      <c r="C142" s="9">
        <v>1707.2</v>
      </c>
      <c r="D142" s="9">
        <v>1716.5</v>
      </c>
      <c r="E142" s="9">
        <v>1702.6</v>
      </c>
      <c r="F142" s="7" t="s">
        <v>1079</v>
      </c>
      <c r="G142" s="8">
        <v>0.0003</v>
      </c>
    </row>
    <row r="143" spans="1:7">
      <c r="A143" s="6">
        <v>44762</v>
      </c>
      <c r="B143" s="9">
        <v>1700.2</v>
      </c>
      <c r="C143" s="9">
        <v>1709.5</v>
      </c>
      <c r="D143" s="9">
        <v>1712.7</v>
      </c>
      <c r="E143" s="9">
        <v>1690.1</v>
      </c>
      <c r="F143" s="7" t="s">
        <v>723</v>
      </c>
      <c r="G143" s="8">
        <v>-0.0061</v>
      </c>
    </row>
    <row r="144" spans="1:7">
      <c r="A144" s="6">
        <v>44763</v>
      </c>
      <c r="B144" s="9">
        <v>1713.4</v>
      </c>
      <c r="C144" s="9">
        <v>1693.7</v>
      </c>
      <c r="D144" s="9">
        <v>1719.5</v>
      </c>
      <c r="E144" s="9">
        <v>1678.4</v>
      </c>
      <c r="F144" s="7" t="s">
        <v>1080</v>
      </c>
      <c r="G144" s="8">
        <v>0.0078</v>
      </c>
    </row>
    <row r="145" spans="1:7">
      <c r="A145" s="6">
        <v>44764</v>
      </c>
      <c r="B145" s="9">
        <v>1727.4</v>
      </c>
      <c r="C145" s="9">
        <v>1717.2</v>
      </c>
      <c r="D145" s="9">
        <v>1738.3</v>
      </c>
      <c r="E145" s="9">
        <v>1711.7</v>
      </c>
      <c r="F145" s="7" t="s">
        <v>1081</v>
      </c>
      <c r="G145" s="8">
        <v>0.0082</v>
      </c>
    </row>
    <row r="146" spans="1:7">
      <c r="A146" s="6">
        <v>44767</v>
      </c>
      <c r="B146" s="9">
        <v>1719.1</v>
      </c>
      <c r="C146" s="9">
        <v>1726.3</v>
      </c>
      <c r="D146" s="9">
        <v>1734.6</v>
      </c>
      <c r="E146" s="9">
        <v>1712.9</v>
      </c>
      <c r="F146" s="7" t="s">
        <v>1082</v>
      </c>
      <c r="G146" s="8">
        <v>-0.0048</v>
      </c>
    </row>
    <row r="147" spans="1:7">
      <c r="A147" s="6">
        <v>44768</v>
      </c>
      <c r="B147" s="9">
        <v>1717.7</v>
      </c>
      <c r="C147" s="9">
        <v>1717.9</v>
      </c>
      <c r="D147" s="9">
        <v>1726.4</v>
      </c>
      <c r="E147" s="9">
        <v>1711.5</v>
      </c>
      <c r="F147" s="7" t="s">
        <v>1083</v>
      </c>
      <c r="G147" s="8">
        <v>-0.0008</v>
      </c>
    </row>
    <row r="148" spans="1:7">
      <c r="A148" s="6">
        <v>44769</v>
      </c>
      <c r="B148" s="9">
        <v>1719.1</v>
      </c>
      <c r="C148" s="9">
        <v>1715.2</v>
      </c>
      <c r="D148" s="9">
        <v>1739.6</v>
      </c>
      <c r="E148" s="9">
        <v>1709.1</v>
      </c>
      <c r="F148" s="7" t="s">
        <v>1084</v>
      </c>
      <c r="G148" s="8">
        <v>0.0008</v>
      </c>
    </row>
    <row r="149" spans="1:7">
      <c r="A149" s="6">
        <v>44770</v>
      </c>
      <c r="B149" s="9">
        <v>1754.4</v>
      </c>
      <c r="C149" s="9">
        <v>1737</v>
      </c>
      <c r="D149" s="9">
        <v>1759</v>
      </c>
      <c r="E149" s="9">
        <v>1736.5</v>
      </c>
      <c r="F149" s="7" t="s">
        <v>1085</v>
      </c>
      <c r="G149" s="8">
        <v>0.0205</v>
      </c>
    </row>
    <row r="150" spans="1:7">
      <c r="A150" s="6">
        <v>44771</v>
      </c>
      <c r="B150" s="9">
        <v>1766.9</v>
      </c>
      <c r="C150" s="9">
        <v>1758.5</v>
      </c>
      <c r="D150" s="9">
        <v>1769.7</v>
      </c>
      <c r="E150" s="9">
        <v>1754</v>
      </c>
      <c r="F150" s="7" t="s">
        <v>980</v>
      </c>
      <c r="G150" s="8">
        <v>0.0071</v>
      </c>
    </row>
    <row r="151" spans="1:7">
      <c r="A151" s="6">
        <v>44774</v>
      </c>
      <c r="B151" s="9">
        <v>1772.7</v>
      </c>
      <c r="C151" s="9">
        <v>1767.7</v>
      </c>
      <c r="D151" s="9">
        <v>1777</v>
      </c>
      <c r="E151" s="9">
        <v>1759.8</v>
      </c>
      <c r="F151" s="7" t="s">
        <v>1086</v>
      </c>
      <c r="G151" s="8">
        <v>0.0033</v>
      </c>
    </row>
    <row r="152" spans="1:7">
      <c r="A152" s="6">
        <v>44775</v>
      </c>
      <c r="B152" s="9">
        <v>1774.8</v>
      </c>
      <c r="C152" s="9">
        <v>1773.9</v>
      </c>
      <c r="D152" s="9">
        <v>1790.5</v>
      </c>
      <c r="E152" s="9">
        <v>1762</v>
      </c>
      <c r="F152" s="7" t="s">
        <v>1087</v>
      </c>
      <c r="G152" s="8">
        <v>0.0012</v>
      </c>
    </row>
    <row r="153" spans="1:7">
      <c r="A153" s="6">
        <v>44776</v>
      </c>
      <c r="B153" s="9">
        <v>1760.9</v>
      </c>
      <c r="C153" s="9">
        <v>1763</v>
      </c>
      <c r="D153" s="9">
        <v>1774</v>
      </c>
      <c r="E153" s="9">
        <v>1754.8</v>
      </c>
      <c r="F153" s="7" t="s">
        <v>1088</v>
      </c>
      <c r="G153" s="8">
        <v>-0.0078</v>
      </c>
    </row>
    <row r="154" spans="1:7">
      <c r="A154" s="6">
        <v>44777</v>
      </c>
      <c r="B154" s="9">
        <v>1791.2</v>
      </c>
      <c r="C154" s="9">
        <v>1765.8</v>
      </c>
      <c r="D154" s="9">
        <v>1795.5</v>
      </c>
      <c r="E154" s="9">
        <v>1764.1</v>
      </c>
      <c r="F154" s="7" t="s">
        <v>1089</v>
      </c>
      <c r="G154" s="8">
        <v>0.0172</v>
      </c>
    </row>
    <row r="155" spans="1:7">
      <c r="A155" s="6">
        <v>44778</v>
      </c>
      <c r="B155" s="9">
        <v>1775.8</v>
      </c>
      <c r="C155" s="9">
        <v>1790.9</v>
      </c>
      <c r="D155" s="9">
        <v>1795.2</v>
      </c>
      <c r="E155" s="9">
        <v>1765</v>
      </c>
      <c r="F155" s="7" t="s">
        <v>1090</v>
      </c>
      <c r="G155" s="8">
        <v>-0.0086</v>
      </c>
    </row>
    <row r="156" spans="1:7">
      <c r="A156" s="6">
        <v>44781</v>
      </c>
      <c r="B156" s="9">
        <v>1789.6</v>
      </c>
      <c r="C156" s="9">
        <v>1776.3</v>
      </c>
      <c r="D156" s="9">
        <v>1790.3</v>
      </c>
      <c r="E156" s="9">
        <v>1771.5</v>
      </c>
      <c r="F156" s="7" t="s">
        <v>1091</v>
      </c>
      <c r="G156" s="8">
        <v>0.0078</v>
      </c>
    </row>
    <row r="157" spans="1:7">
      <c r="A157" s="6">
        <v>44782</v>
      </c>
      <c r="B157" s="9">
        <v>1796.8</v>
      </c>
      <c r="C157" s="9">
        <v>1789.5</v>
      </c>
      <c r="D157" s="9">
        <v>1801</v>
      </c>
      <c r="E157" s="9">
        <v>1784</v>
      </c>
      <c r="F157" s="7" t="s">
        <v>976</v>
      </c>
      <c r="G157" s="8">
        <v>0.004</v>
      </c>
    </row>
    <row r="158" spans="1:7">
      <c r="A158" s="6">
        <v>44783</v>
      </c>
      <c r="B158" s="9">
        <v>1798.5</v>
      </c>
      <c r="C158" s="9">
        <v>1796</v>
      </c>
      <c r="D158" s="9">
        <v>1809.1</v>
      </c>
      <c r="E158" s="9">
        <v>1788.2</v>
      </c>
      <c r="F158" s="7" t="s">
        <v>1092</v>
      </c>
      <c r="G158" s="8">
        <v>0.0009</v>
      </c>
    </row>
    <row r="159" spans="1:7">
      <c r="A159" s="6">
        <v>44784</v>
      </c>
      <c r="B159" s="9">
        <v>1792.1</v>
      </c>
      <c r="C159" s="9">
        <v>1792.3</v>
      </c>
      <c r="D159" s="9">
        <v>1799</v>
      </c>
      <c r="E159" s="9">
        <v>1784</v>
      </c>
      <c r="F159" s="7" t="s">
        <v>1093</v>
      </c>
      <c r="G159" s="8">
        <v>-0.0036</v>
      </c>
    </row>
    <row r="160" spans="1:7">
      <c r="A160" s="6">
        <v>44785</v>
      </c>
      <c r="B160" s="9">
        <v>1800.8</v>
      </c>
      <c r="C160" s="9">
        <v>1789</v>
      </c>
      <c r="D160" s="9">
        <v>1803.8</v>
      </c>
      <c r="E160" s="9">
        <v>1786</v>
      </c>
      <c r="F160" s="7" t="s">
        <v>1020</v>
      </c>
      <c r="G160" s="8">
        <v>0.0049</v>
      </c>
    </row>
    <row r="161" spans="1:7">
      <c r="A161" s="6">
        <v>44788</v>
      </c>
      <c r="B161" s="9">
        <v>1783.3</v>
      </c>
      <c r="C161" s="9">
        <v>1803.7</v>
      </c>
      <c r="D161" s="9">
        <v>1803.7</v>
      </c>
      <c r="E161" s="9">
        <v>1772.8</v>
      </c>
      <c r="F161" s="7" t="s">
        <v>1094</v>
      </c>
      <c r="G161" s="8">
        <v>-0.0097</v>
      </c>
    </row>
    <row r="162" spans="1:7">
      <c r="A162" s="6">
        <v>44789</v>
      </c>
      <c r="B162" s="9">
        <v>1774.9</v>
      </c>
      <c r="C162" s="9">
        <v>1780.1</v>
      </c>
      <c r="D162" s="9">
        <v>1783</v>
      </c>
      <c r="E162" s="9">
        <v>1770.5</v>
      </c>
      <c r="F162" s="7" t="s">
        <v>981</v>
      </c>
      <c r="G162" s="8">
        <v>-0.0047</v>
      </c>
    </row>
    <row r="163" spans="1:7">
      <c r="A163" s="6">
        <v>44790</v>
      </c>
      <c r="B163" s="9">
        <v>1761.9</v>
      </c>
      <c r="C163" s="9">
        <v>1775.5</v>
      </c>
      <c r="D163" s="9">
        <v>1781.7</v>
      </c>
      <c r="E163" s="9">
        <v>1759</v>
      </c>
      <c r="F163" s="7" t="s">
        <v>1055</v>
      </c>
      <c r="G163" s="8">
        <v>-0.0073</v>
      </c>
    </row>
    <row r="164" spans="1:7">
      <c r="A164" s="6">
        <v>44791</v>
      </c>
      <c r="B164" s="9">
        <v>1756.5</v>
      </c>
      <c r="C164" s="9">
        <v>1763</v>
      </c>
      <c r="D164" s="9">
        <v>1771</v>
      </c>
      <c r="E164" s="9">
        <v>1754.6</v>
      </c>
      <c r="F164" s="7" t="s">
        <v>1095</v>
      </c>
      <c r="G164" s="8">
        <v>-0.0031</v>
      </c>
    </row>
    <row r="165" spans="1:7">
      <c r="A165" s="6">
        <v>44792</v>
      </c>
      <c r="B165" s="9">
        <v>1748.4</v>
      </c>
      <c r="C165" s="9">
        <v>1757.7</v>
      </c>
      <c r="D165" s="9">
        <v>1757.7</v>
      </c>
      <c r="E165" s="9">
        <v>1744.8</v>
      </c>
      <c r="F165" s="7" t="s">
        <v>1055</v>
      </c>
      <c r="G165" s="8">
        <v>-0.0046</v>
      </c>
    </row>
    <row r="166" spans="1:7">
      <c r="A166" s="6">
        <v>44795</v>
      </c>
      <c r="B166" s="9">
        <v>1734.4</v>
      </c>
      <c r="C166" s="9">
        <v>1747</v>
      </c>
      <c r="D166" s="9">
        <v>1747</v>
      </c>
      <c r="E166" s="9">
        <v>1726</v>
      </c>
      <c r="F166" s="7" t="s">
        <v>1096</v>
      </c>
      <c r="G166" s="8">
        <v>-0.008</v>
      </c>
    </row>
    <row r="167" spans="1:7">
      <c r="A167" s="6">
        <v>44796</v>
      </c>
      <c r="B167" s="9">
        <v>1747.3</v>
      </c>
      <c r="C167" s="9">
        <v>1734.6</v>
      </c>
      <c r="D167" s="9">
        <v>1753</v>
      </c>
      <c r="E167" s="9">
        <v>1730</v>
      </c>
      <c r="F167" s="7" t="s">
        <v>1097</v>
      </c>
      <c r="G167" s="8">
        <v>0.0074</v>
      </c>
    </row>
    <row r="168" spans="1:7">
      <c r="A168" s="6">
        <v>44797</v>
      </c>
      <c r="B168" s="9">
        <v>1747.8</v>
      </c>
      <c r="C168" s="9">
        <v>1746</v>
      </c>
      <c r="D168" s="9">
        <v>1755.2</v>
      </c>
      <c r="E168" s="9">
        <v>1742</v>
      </c>
      <c r="F168" s="7" t="s">
        <v>1098</v>
      </c>
      <c r="G168" s="8">
        <v>0.0003</v>
      </c>
    </row>
    <row r="169" spans="1:7">
      <c r="A169" s="6">
        <v>44798</v>
      </c>
      <c r="B169" s="9">
        <v>1757.8</v>
      </c>
      <c r="C169" s="9">
        <v>1751.1</v>
      </c>
      <c r="D169" s="9">
        <v>1765.1</v>
      </c>
      <c r="E169" s="9">
        <v>1750</v>
      </c>
      <c r="F169" s="7" t="s">
        <v>1059</v>
      </c>
      <c r="G169" s="8">
        <v>0.0057</v>
      </c>
    </row>
    <row r="170" spans="1:7">
      <c r="A170" s="6">
        <v>44799</v>
      </c>
      <c r="B170" s="9">
        <v>1736.5</v>
      </c>
      <c r="C170" s="9">
        <v>1758</v>
      </c>
      <c r="D170" s="9">
        <v>1758</v>
      </c>
      <c r="E170" s="9">
        <v>1733.1</v>
      </c>
      <c r="F170" s="7" t="s">
        <v>1099</v>
      </c>
      <c r="G170" s="8">
        <v>-0.0121</v>
      </c>
    </row>
    <row r="171" spans="1:7">
      <c r="A171" s="6">
        <v>44802</v>
      </c>
      <c r="B171" s="9">
        <v>1736.7</v>
      </c>
      <c r="C171" s="9">
        <v>1736</v>
      </c>
      <c r="D171" s="9">
        <v>1741</v>
      </c>
      <c r="E171" s="9">
        <v>1718.2</v>
      </c>
      <c r="F171" s="7" t="s">
        <v>979</v>
      </c>
      <c r="G171" s="8">
        <v>0.0001</v>
      </c>
    </row>
    <row r="172" spans="1:7">
      <c r="A172" s="6">
        <v>44803</v>
      </c>
      <c r="B172" s="9">
        <v>1726.9</v>
      </c>
      <c r="C172" s="9">
        <v>1740.5</v>
      </c>
      <c r="D172" s="9">
        <v>1743.1</v>
      </c>
      <c r="E172" s="9">
        <v>1723.7</v>
      </c>
      <c r="F172" s="7" t="s">
        <v>1100</v>
      </c>
      <c r="G172" s="8">
        <v>-0.0056</v>
      </c>
    </row>
    <row r="173" spans="1:7">
      <c r="A173" s="6">
        <v>44804</v>
      </c>
      <c r="B173" s="9">
        <v>1716.9</v>
      </c>
      <c r="C173" s="9">
        <v>1725.8</v>
      </c>
      <c r="D173" s="9">
        <v>1728.7</v>
      </c>
      <c r="E173" s="9">
        <v>1711.7</v>
      </c>
      <c r="F173" s="7" t="s">
        <v>1101</v>
      </c>
      <c r="G173" s="8">
        <v>-0.0058</v>
      </c>
    </row>
    <row r="174" spans="1:7">
      <c r="A174" s="6">
        <v>44805</v>
      </c>
      <c r="B174" s="9">
        <v>1699.6</v>
      </c>
      <c r="C174" s="9">
        <v>1713.1</v>
      </c>
      <c r="D174" s="9">
        <v>1713.1</v>
      </c>
      <c r="E174" s="9">
        <v>1689.8</v>
      </c>
      <c r="F174" s="7" t="s">
        <v>1102</v>
      </c>
      <c r="G174" s="8">
        <v>-0.0101</v>
      </c>
    </row>
    <row r="175" spans="1:7">
      <c r="A175" s="6">
        <v>44806</v>
      </c>
      <c r="B175" s="9">
        <v>1713</v>
      </c>
      <c r="C175" s="9">
        <v>1698.6</v>
      </c>
      <c r="D175" s="9">
        <v>1719.8</v>
      </c>
      <c r="E175" s="9">
        <v>1696.9</v>
      </c>
      <c r="F175" s="7" t="s">
        <v>1103</v>
      </c>
      <c r="G175" s="8">
        <v>0.0079</v>
      </c>
    </row>
    <row r="176" spans="1:7">
      <c r="A176" s="6">
        <v>44809</v>
      </c>
      <c r="B176" s="9">
        <v>1712.9</v>
      </c>
      <c r="C176" s="9">
        <v>1724.2</v>
      </c>
      <c r="D176" s="9">
        <v>1737.4</v>
      </c>
      <c r="E176" s="9">
        <v>1710.6</v>
      </c>
      <c r="F176" s="7" t="s">
        <v>1104</v>
      </c>
      <c r="G176" s="8">
        <v>-0.0001</v>
      </c>
    </row>
    <row r="177" spans="1:7">
      <c r="A177" s="6">
        <v>44810</v>
      </c>
      <c r="B177" s="9">
        <v>1703.4</v>
      </c>
      <c r="C177" s="9">
        <v>1715</v>
      </c>
      <c r="D177" s="9">
        <v>1727</v>
      </c>
      <c r="E177" s="9">
        <v>1701</v>
      </c>
      <c r="F177" s="7" t="s">
        <v>1105</v>
      </c>
      <c r="G177" s="8">
        <v>-0.0055</v>
      </c>
    </row>
    <row r="178" spans="1:7">
      <c r="A178" s="6">
        <v>44811</v>
      </c>
      <c r="B178" s="9">
        <v>1718.2</v>
      </c>
      <c r="C178" s="9">
        <v>1703.2</v>
      </c>
      <c r="D178" s="9">
        <v>1721.4</v>
      </c>
      <c r="E178" s="9">
        <v>1692.5</v>
      </c>
      <c r="F178" s="7" t="s">
        <v>1106</v>
      </c>
      <c r="G178" s="8">
        <v>0.0087</v>
      </c>
    </row>
    <row r="179" spans="1:7">
      <c r="A179" s="6">
        <v>44812</v>
      </c>
      <c r="B179" s="9">
        <v>1710.6</v>
      </c>
      <c r="C179" s="9">
        <v>1720.3</v>
      </c>
      <c r="D179" s="9">
        <v>1729.3</v>
      </c>
      <c r="E179" s="9">
        <v>1704.4</v>
      </c>
      <c r="F179" s="7" t="s">
        <v>1107</v>
      </c>
      <c r="G179" s="8">
        <v>-0.0044</v>
      </c>
    </row>
    <row r="180" spans="1:7">
      <c r="A180" s="6">
        <v>44813</v>
      </c>
      <c r="B180" s="9">
        <v>1718.8</v>
      </c>
      <c r="C180" s="9">
        <v>1710.2</v>
      </c>
      <c r="D180" s="9">
        <v>1730.5</v>
      </c>
      <c r="E180" s="9">
        <v>1710</v>
      </c>
      <c r="F180" s="7" t="s">
        <v>1108</v>
      </c>
      <c r="G180" s="8">
        <v>0.0048</v>
      </c>
    </row>
    <row r="181" spans="1:7">
      <c r="A181" s="6">
        <v>44816</v>
      </c>
      <c r="B181" s="9">
        <v>1730.8</v>
      </c>
      <c r="C181" s="9">
        <v>1719.2</v>
      </c>
      <c r="D181" s="9">
        <v>1736.4</v>
      </c>
      <c r="E181" s="9">
        <v>1712.7</v>
      </c>
      <c r="F181" s="7" t="s">
        <v>1109</v>
      </c>
      <c r="G181" s="8">
        <v>0.007</v>
      </c>
    </row>
    <row r="182" spans="1:7">
      <c r="A182" s="6">
        <v>44817</v>
      </c>
      <c r="B182" s="9">
        <v>1707.1</v>
      </c>
      <c r="C182" s="9">
        <v>1725.8</v>
      </c>
      <c r="D182" s="9">
        <v>1732.8</v>
      </c>
      <c r="E182" s="9">
        <v>1696.9</v>
      </c>
      <c r="F182" s="7" t="s">
        <v>1110</v>
      </c>
      <c r="G182" s="8">
        <v>-0.0137</v>
      </c>
    </row>
    <row r="183" spans="1:7">
      <c r="A183" s="6">
        <v>44818</v>
      </c>
      <c r="B183" s="9">
        <v>1698.2</v>
      </c>
      <c r="C183" s="9">
        <v>1702.5</v>
      </c>
      <c r="D183" s="9">
        <v>1706.8</v>
      </c>
      <c r="E183" s="9">
        <v>1692.8</v>
      </c>
      <c r="F183" s="7" t="s">
        <v>1111</v>
      </c>
      <c r="G183" s="8">
        <v>-0.0052</v>
      </c>
    </row>
    <row r="184" spans="1:7">
      <c r="A184" s="6">
        <v>44819</v>
      </c>
      <c r="B184" s="9">
        <v>1666.8</v>
      </c>
      <c r="C184" s="9">
        <v>1696.8</v>
      </c>
      <c r="D184" s="9">
        <v>1696.8</v>
      </c>
      <c r="E184" s="9">
        <v>1658.7</v>
      </c>
      <c r="F184" s="7" t="s">
        <v>1112</v>
      </c>
      <c r="G184" s="8">
        <v>-0.0185</v>
      </c>
    </row>
    <row r="185" spans="1:7">
      <c r="A185" s="6">
        <v>44820</v>
      </c>
      <c r="B185" s="9">
        <v>1672.8</v>
      </c>
      <c r="C185" s="9">
        <v>1663.3</v>
      </c>
      <c r="D185" s="9">
        <v>1679.2</v>
      </c>
      <c r="E185" s="9">
        <v>1651.9</v>
      </c>
      <c r="F185" s="7" t="s">
        <v>1113</v>
      </c>
      <c r="G185" s="8">
        <v>0.0036</v>
      </c>
    </row>
    <row r="186" spans="1:7">
      <c r="A186" s="6">
        <v>44823</v>
      </c>
      <c r="B186" s="9">
        <v>1667.6</v>
      </c>
      <c r="C186" s="9">
        <v>1673</v>
      </c>
      <c r="D186" s="9">
        <v>1678</v>
      </c>
      <c r="E186" s="9">
        <v>1657.1</v>
      </c>
      <c r="F186" s="7" t="s">
        <v>1114</v>
      </c>
      <c r="G186" s="8">
        <v>-0.0031</v>
      </c>
    </row>
    <row r="187" spans="1:7">
      <c r="A187" s="6">
        <v>44824</v>
      </c>
      <c r="B187" s="9">
        <v>1661</v>
      </c>
      <c r="C187" s="9">
        <v>1674.6</v>
      </c>
      <c r="D187" s="9">
        <v>1678</v>
      </c>
      <c r="E187" s="9">
        <v>1657.8</v>
      </c>
      <c r="F187" s="7" t="s">
        <v>1115</v>
      </c>
      <c r="G187" s="8">
        <v>-0.004</v>
      </c>
    </row>
    <row r="188" spans="1:7">
      <c r="A188" s="6">
        <v>44825</v>
      </c>
      <c r="B188" s="9">
        <v>1665.8</v>
      </c>
      <c r="C188" s="9">
        <v>1664.6</v>
      </c>
      <c r="D188" s="9">
        <v>1687</v>
      </c>
      <c r="E188" s="9">
        <v>1651.5</v>
      </c>
      <c r="F188" s="7" t="s">
        <v>1116</v>
      </c>
      <c r="G188" s="8">
        <v>0.0029</v>
      </c>
    </row>
    <row r="189" spans="1:7">
      <c r="A189" s="6">
        <v>44826</v>
      </c>
      <c r="B189" s="9">
        <v>1671.4</v>
      </c>
      <c r="C189" s="9">
        <v>1670.4</v>
      </c>
      <c r="D189" s="9">
        <v>1683.6</v>
      </c>
      <c r="E189" s="9">
        <v>1653.7</v>
      </c>
      <c r="F189" s="7" t="s">
        <v>1117</v>
      </c>
      <c r="G189" s="8">
        <v>0.0034</v>
      </c>
    </row>
    <row r="190" spans="1:7">
      <c r="A190" s="6">
        <v>44827</v>
      </c>
      <c r="B190" s="9">
        <v>1645.3</v>
      </c>
      <c r="C190" s="9">
        <v>1670.1</v>
      </c>
      <c r="D190" s="9">
        <v>1674.5</v>
      </c>
      <c r="E190" s="9">
        <v>1636.1</v>
      </c>
      <c r="F190" s="7" t="s">
        <v>1118</v>
      </c>
      <c r="G190" s="8">
        <v>-0.0156</v>
      </c>
    </row>
    <row r="191" spans="1:7">
      <c r="A191" s="6">
        <v>44830</v>
      </c>
      <c r="B191" s="9">
        <v>1623.6</v>
      </c>
      <c r="C191" s="9">
        <v>1642.8</v>
      </c>
      <c r="D191" s="9">
        <v>1646.4</v>
      </c>
      <c r="E191" s="9">
        <v>1618.4</v>
      </c>
      <c r="F191" s="7" t="s">
        <v>1119</v>
      </c>
      <c r="G191" s="8">
        <v>-0.0132</v>
      </c>
    </row>
    <row r="192" spans="1:7">
      <c r="A192" s="6">
        <v>44831</v>
      </c>
      <c r="B192" s="9">
        <v>1626.5</v>
      </c>
      <c r="C192" s="9">
        <v>1621.5</v>
      </c>
      <c r="D192" s="9">
        <v>1640.2</v>
      </c>
      <c r="E192" s="9">
        <v>1620.9</v>
      </c>
      <c r="F192" s="7" t="s">
        <v>1120</v>
      </c>
      <c r="G192" s="8">
        <v>0.0018</v>
      </c>
    </row>
    <row r="193" spans="1:7">
      <c r="A193" s="6">
        <v>44832</v>
      </c>
      <c r="B193" s="9">
        <v>1660.3</v>
      </c>
      <c r="C193" s="9">
        <v>1627</v>
      </c>
      <c r="D193" s="9">
        <v>1661.5</v>
      </c>
      <c r="E193" s="9">
        <v>1613</v>
      </c>
      <c r="F193" s="7" t="s">
        <v>1121</v>
      </c>
      <c r="G193" s="8">
        <v>0.0208</v>
      </c>
    </row>
    <row r="194" spans="1:7">
      <c r="A194" s="6">
        <v>44833</v>
      </c>
      <c r="B194" s="9">
        <v>1663.6</v>
      </c>
      <c r="C194" s="9">
        <v>1662.2</v>
      </c>
      <c r="D194" s="9">
        <v>1667.5</v>
      </c>
      <c r="E194" s="9">
        <v>1644.5</v>
      </c>
      <c r="F194" s="7" t="s">
        <v>1122</v>
      </c>
      <c r="G194" s="8">
        <v>0.002</v>
      </c>
    </row>
    <row r="195" spans="1:7">
      <c r="A195" s="6">
        <v>44834</v>
      </c>
      <c r="B195" s="9">
        <v>1667.2</v>
      </c>
      <c r="C195" s="9">
        <v>1665.4</v>
      </c>
      <c r="D195" s="9">
        <v>1678.8</v>
      </c>
      <c r="E195" s="9">
        <v>1663.4</v>
      </c>
      <c r="F195" s="7" t="s">
        <v>1067</v>
      </c>
      <c r="G195" s="8">
        <v>0.0022</v>
      </c>
    </row>
    <row r="196" spans="1:7">
      <c r="A196" s="6">
        <v>44837</v>
      </c>
      <c r="B196" s="9">
        <v>1697.2</v>
      </c>
      <c r="C196" s="9">
        <v>1667.9</v>
      </c>
      <c r="D196" s="9">
        <v>1704</v>
      </c>
      <c r="E196" s="9">
        <v>1664.4</v>
      </c>
      <c r="F196" s="7" t="s">
        <v>983</v>
      </c>
      <c r="G196" s="8">
        <v>0.018</v>
      </c>
    </row>
    <row r="197" spans="1:7">
      <c r="A197" s="6">
        <v>44838</v>
      </c>
      <c r="B197" s="9">
        <v>1725.5</v>
      </c>
      <c r="C197" s="9">
        <v>1703.4</v>
      </c>
      <c r="D197" s="9">
        <v>1731.5</v>
      </c>
      <c r="E197" s="9">
        <v>1699.9</v>
      </c>
      <c r="F197" s="7" t="s">
        <v>1123</v>
      </c>
      <c r="G197" s="8">
        <v>0.0167</v>
      </c>
    </row>
    <row r="198" spans="1:7">
      <c r="A198" s="6">
        <v>44839</v>
      </c>
      <c r="B198" s="9">
        <v>1715.6</v>
      </c>
      <c r="C198" s="9">
        <v>1729.2</v>
      </c>
      <c r="D198" s="9">
        <v>1729.7</v>
      </c>
      <c r="E198" s="9">
        <v>1703.9</v>
      </c>
      <c r="F198" s="7" t="s">
        <v>1124</v>
      </c>
      <c r="G198" s="8">
        <v>-0.0057</v>
      </c>
    </row>
    <row r="199" spans="1:7">
      <c r="A199" s="6">
        <v>44840</v>
      </c>
      <c r="B199" s="9">
        <v>1715.5</v>
      </c>
      <c r="C199" s="9">
        <v>1719.4</v>
      </c>
      <c r="D199" s="9">
        <v>1728.7</v>
      </c>
      <c r="E199" s="9">
        <v>1710.2</v>
      </c>
      <c r="F199" s="7" t="s">
        <v>1065</v>
      </c>
      <c r="G199" s="8">
        <v>-0.0001</v>
      </c>
    </row>
    <row r="200" spans="1:7">
      <c r="A200" s="6">
        <v>44841</v>
      </c>
      <c r="B200" s="9">
        <v>1704</v>
      </c>
      <c r="C200" s="9">
        <v>1714.3</v>
      </c>
      <c r="D200" s="9">
        <v>1714.6</v>
      </c>
      <c r="E200" s="9">
        <v>1694.3</v>
      </c>
      <c r="F200" s="7" t="s">
        <v>1125</v>
      </c>
      <c r="G200" s="8">
        <v>-0.0067</v>
      </c>
    </row>
    <row r="201" spans="1:7">
      <c r="A201" s="6">
        <v>44844</v>
      </c>
      <c r="B201" s="9">
        <v>1670.1</v>
      </c>
      <c r="C201" s="9">
        <v>1698.7</v>
      </c>
      <c r="D201" s="9">
        <v>1700.9</v>
      </c>
      <c r="E201" s="9">
        <v>1667.5</v>
      </c>
      <c r="F201" s="7" t="s">
        <v>1126</v>
      </c>
      <c r="G201" s="8">
        <v>-0.0199</v>
      </c>
    </row>
    <row r="202" spans="1:7">
      <c r="A202" s="6">
        <v>44845</v>
      </c>
      <c r="B202" s="9">
        <v>1680.9</v>
      </c>
      <c r="C202" s="9">
        <v>1670.2</v>
      </c>
      <c r="D202" s="9">
        <v>1686</v>
      </c>
      <c r="E202" s="9">
        <v>1665</v>
      </c>
      <c r="F202" s="7" t="s">
        <v>1127</v>
      </c>
      <c r="G202" s="8">
        <v>0.0065</v>
      </c>
    </row>
    <row r="203" spans="1:7">
      <c r="A203" s="6">
        <v>44846</v>
      </c>
      <c r="B203" s="9">
        <v>1672.3</v>
      </c>
      <c r="C203" s="9">
        <v>1668.3</v>
      </c>
      <c r="D203" s="9">
        <v>1679.6</v>
      </c>
      <c r="E203" s="9">
        <v>1663</v>
      </c>
      <c r="F203" s="7" t="s">
        <v>1065</v>
      </c>
      <c r="G203" s="8">
        <v>-0.0051</v>
      </c>
    </row>
    <row r="204" spans="1:7">
      <c r="A204" s="6">
        <v>44847</v>
      </c>
      <c r="B204" s="9">
        <v>1671.8</v>
      </c>
      <c r="C204" s="9">
        <v>1675.3</v>
      </c>
      <c r="D204" s="9">
        <v>1680</v>
      </c>
      <c r="E204" s="9">
        <v>1644.5</v>
      </c>
      <c r="F204" s="7" t="s">
        <v>1128</v>
      </c>
      <c r="G204" s="8">
        <v>-0.0003</v>
      </c>
    </row>
    <row r="205" spans="1:7">
      <c r="A205" s="6">
        <v>44848</v>
      </c>
      <c r="B205" s="9">
        <v>1643.7</v>
      </c>
      <c r="C205" s="9">
        <v>1665.6</v>
      </c>
      <c r="D205" s="9">
        <v>1672.1</v>
      </c>
      <c r="E205" s="9">
        <v>1640.8</v>
      </c>
      <c r="F205" s="7" t="s">
        <v>983</v>
      </c>
      <c r="G205" s="8">
        <v>-0.0168</v>
      </c>
    </row>
    <row r="206" spans="1:7">
      <c r="A206" s="6">
        <v>44851</v>
      </c>
      <c r="B206" s="9">
        <v>1658.9</v>
      </c>
      <c r="C206" s="9">
        <v>1646.3</v>
      </c>
      <c r="D206" s="9">
        <v>1667.6</v>
      </c>
      <c r="E206" s="9">
        <v>1645.2</v>
      </c>
      <c r="F206" s="7" t="s">
        <v>1129</v>
      </c>
      <c r="G206" s="8">
        <v>0.0092</v>
      </c>
    </row>
    <row r="207" spans="1:7">
      <c r="A207" s="6">
        <v>44852</v>
      </c>
      <c r="B207" s="9">
        <v>1650.7</v>
      </c>
      <c r="C207" s="9">
        <v>1651</v>
      </c>
      <c r="D207" s="9">
        <v>1660.4</v>
      </c>
      <c r="E207" s="9">
        <v>1647</v>
      </c>
      <c r="F207" s="7" t="s">
        <v>1130</v>
      </c>
      <c r="G207" s="8">
        <v>-0.0049</v>
      </c>
    </row>
    <row r="208" spans="1:7">
      <c r="A208" s="6">
        <v>44853</v>
      </c>
      <c r="B208" s="9">
        <v>1629</v>
      </c>
      <c r="C208" s="9">
        <v>1652.4</v>
      </c>
      <c r="D208" s="9">
        <v>1654</v>
      </c>
      <c r="E208" s="9">
        <v>1628</v>
      </c>
      <c r="F208" s="7" t="s">
        <v>1131</v>
      </c>
      <c r="G208" s="8">
        <v>-0.0131</v>
      </c>
    </row>
    <row r="209" spans="1:7">
      <c r="A209" s="6">
        <v>44854</v>
      </c>
      <c r="B209" s="9">
        <v>1631.8</v>
      </c>
      <c r="C209" s="9">
        <v>1628.9</v>
      </c>
      <c r="D209" s="9">
        <v>1644.3</v>
      </c>
      <c r="E209" s="9">
        <v>1621.2</v>
      </c>
      <c r="F209" s="7" t="s">
        <v>1132</v>
      </c>
      <c r="G209" s="8">
        <v>0.0017</v>
      </c>
    </row>
    <row r="210" spans="1:7">
      <c r="A210" s="6">
        <v>44855</v>
      </c>
      <c r="B210" s="9">
        <v>1651.5</v>
      </c>
      <c r="C210" s="9">
        <v>1626.1</v>
      </c>
      <c r="D210" s="9">
        <v>1657.2</v>
      </c>
      <c r="E210" s="9">
        <v>1618.1</v>
      </c>
      <c r="F210" s="7" t="s">
        <v>983</v>
      </c>
      <c r="G210" s="8">
        <v>0.0121</v>
      </c>
    </row>
    <row r="211" spans="1:7">
      <c r="A211" s="6">
        <v>44858</v>
      </c>
      <c r="B211" s="9">
        <v>1649.2</v>
      </c>
      <c r="C211" s="9">
        <v>1662</v>
      </c>
      <c r="D211" s="9">
        <v>1666.3</v>
      </c>
      <c r="E211" s="9">
        <v>1643.6</v>
      </c>
      <c r="F211" s="7" t="s">
        <v>1133</v>
      </c>
      <c r="G211" s="8">
        <v>-0.0014</v>
      </c>
    </row>
    <row r="212" spans="1:7">
      <c r="A212" s="6">
        <v>44859</v>
      </c>
      <c r="B212" s="9">
        <v>1653.3</v>
      </c>
      <c r="C212" s="9">
        <v>1649.6</v>
      </c>
      <c r="D212" s="9">
        <v>1660.5</v>
      </c>
      <c r="E212" s="9">
        <v>1637</v>
      </c>
      <c r="F212" s="7" t="s">
        <v>1134</v>
      </c>
      <c r="G212" s="8">
        <v>0.0025</v>
      </c>
    </row>
    <row r="213" spans="1:7">
      <c r="A213" s="6">
        <v>44860</v>
      </c>
      <c r="B213" s="9">
        <v>1664.4</v>
      </c>
      <c r="C213" s="9">
        <v>1652.3</v>
      </c>
      <c r="D213" s="9">
        <v>1674</v>
      </c>
      <c r="E213" s="9">
        <v>1652.3</v>
      </c>
      <c r="F213" s="7" t="s">
        <v>1128</v>
      </c>
      <c r="G213" s="8">
        <v>0.0067</v>
      </c>
    </row>
    <row r="214" spans="1:7">
      <c r="A214" s="6">
        <v>44861</v>
      </c>
      <c r="B214" s="9">
        <v>1660.3</v>
      </c>
      <c r="C214" s="9">
        <v>1664.1</v>
      </c>
      <c r="D214" s="9">
        <v>1669.2</v>
      </c>
      <c r="E214" s="9">
        <v>1654.4</v>
      </c>
      <c r="F214" s="7" t="s">
        <v>1135</v>
      </c>
      <c r="G214" s="8">
        <v>-0.0025</v>
      </c>
    </row>
    <row r="215" spans="1:7">
      <c r="A215" s="6">
        <v>44862</v>
      </c>
      <c r="B215" s="9">
        <v>1644.8</v>
      </c>
      <c r="C215" s="9">
        <v>1667.2</v>
      </c>
      <c r="D215" s="9">
        <v>1670.9</v>
      </c>
      <c r="E215" s="9">
        <v>1640.7</v>
      </c>
      <c r="F215" s="7" t="s">
        <v>1136</v>
      </c>
      <c r="G215" s="8">
        <v>-0.0093</v>
      </c>
    </row>
    <row r="216" spans="1:7">
      <c r="A216" s="6">
        <v>44865</v>
      </c>
      <c r="B216" s="9">
        <v>1640.7</v>
      </c>
      <c r="C216" s="9">
        <v>1647.2</v>
      </c>
      <c r="D216" s="9">
        <v>1648.5</v>
      </c>
      <c r="E216" s="9">
        <v>1634.5</v>
      </c>
      <c r="F216" s="7" t="s">
        <v>1137</v>
      </c>
      <c r="G216" s="8">
        <v>-0.0025</v>
      </c>
    </row>
    <row r="217" spans="1:7">
      <c r="A217" s="6">
        <v>44866</v>
      </c>
      <c r="B217" s="9">
        <v>1649.7</v>
      </c>
      <c r="C217" s="9">
        <v>1636.1</v>
      </c>
      <c r="D217" s="9">
        <v>1660.3</v>
      </c>
      <c r="E217" s="9">
        <v>1633.6</v>
      </c>
      <c r="F217" s="7" t="s">
        <v>1138</v>
      </c>
      <c r="G217" s="8">
        <v>0.0055</v>
      </c>
    </row>
    <row r="218" spans="1:7">
      <c r="A218" s="6">
        <v>44867</v>
      </c>
      <c r="B218" s="9">
        <v>1650</v>
      </c>
      <c r="C218" s="9">
        <v>1651.4</v>
      </c>
      <c r="D218" s="9">
        <v>1673.1</v>
      </c>
      <c r="E218" s="9">
        <v>1637.4</v>
      </c>
      <c r="F218" s="7" t="s">
        <v>1139</v>
      </c>
      <c r="G218" s="8">
        <v>0.0002</v>
      </c>
    </row>
    <row r="219" spans="1:7">
      <c r="A219" s="6">
        <v>44868</v>
      </c>
      <c r="B219" s="9">
        <v>1630.9</v>
      </c>
      <c r="C219" s="9">
        <v>1639.1</v>
      </c>
      <c r="D219" s="9">
        <v>1643.2</v>
      </c>
      <c r="E219" s="9">
        <v>1618.3</v>
      </c>
      <c r="F219" s="7" t="s">
        <v>1140</v>
      </c>
      <c r="G219" s="8">
        <v>-0.0116</v>
      </c>
    </row>
    <row r="220" spans="1:7">
      <c r="A220" s="6">
        <v>44869</v>
      </c>
      <c r="B220" s="9">
        <v>1676.6</v>
      </c>
      <c r="C220" s="9">
        <v>1631.7</v>
      </c>
      <c r="D220" s="9">
        <v>1686.4</v>
      </c>
      <c r="E220" s="9">
        <v>1631.1</v>
      </c>
      <c r="F220" s="7" t="s">
        <v>1141</v>
      </c>
      <c r="G220" s="8">
        <v>0.028</v>
      </c>
    </row>
    <row r="221" spans="1:7">
      <c r="A221" s="6">
        <v>44872</v>
      </c>
      <c r="B221" s="9">
        <v>1680.5</v>
      </c>
      <c r="C221" s="9">
        <v>1678.6</v>
      </c>
      <c r="D221" s="9">
        <v>1685.6</v>
      </c>
      <c r="E221" s="9">
        <v>1670</v>
      </c>
      <c r="F221" s="7" t="s">
        <v>1142</v>
      </c>
      <c r="G221" s="8">
        <v>0.0023</v>
      </c>
    </row>
    <row r="222" spans="1:7">
      <c r="A222" s="6">
        <v>44873</v>
      </c>
      <c r="B222" s="9">
        <v>1716</v>
      </c>
      <c r="C222" s="9">
        <v>1678</v>
      </c>
      <c r="D222" s="9">
        <v>1720.4</v>
      </c>
      <c r="E222" s="9">
        <v>1667.1</v>
      </c>
      <c r="F222" s="7" t="s">
        <v>1143</v>
      </c>
      <c r="G222" s="8">
        <v>0.0211</v>
      </c>
    </row>
    <row r="223" spans="1:7">
      <c r="A223" s="6">
        <v>44874</v>
      </c>
      <c r="B223" s="9">
        <v>1713.7</v>
      </c>
      <c r="C223" s="9">
        <v>1715.2</v>
      </c>
      <c r="D223" s="9">
        <v>1725.8</v>
      </c>
      <c r="E223" s="9">
        <v>1705.1</v>
      </c>
      <c r="F223" s="7" t="s">
        <v>1144</v>
      </c>
      <c r="G223" s="8">
        <v>-0.0013</v>
      </c>
    </row>
    <row r="224" spans="1:7">
      <c r="A224" s="6">
        <v>44875</v>
      </c>
      <c r="B224" s="9">
        <v>1753.7</v>
      </c>
      <c r="C224" s="9">
        <v>1709.7</v>
      </c>
      <c r="D224" s="9">
        <v>1760.6</v>
      </c>
      <c r="E224" s="9">
        <v>1705.5</v>
      </c>
      <c r="F224" s="7" t="s">
        <v>1145</v>
      </c>
      <c r="G224" s="8">
        <v>0.0233</v>
      </c>
    </row>
    <row r="225" spans="1:7">
      <c r="A225" s="6">
        <v>44876</v>
      </c>
      <c r="B225" s="9">
        <v>1769.4</v>
      </c>
      <c r="C225" s="9">
        <v>1758.3</v>
      </c>
      <c r="D225" s="9">
        <v>1775.6</v>
      </c>
      <c r="E225" s="9">
        <v>1750.3</v>
      </c>
      <c r="F225" s="7" t="s">
        <v>1146</v>
      </c>
      <c r="G225" s="8">
        <v>0.009</v>
      </c>
    </row>
    <row r="226" spans="1:7">
      <c r="A226" s="6">
        <v>44879</v>
      </c>
      <c r="B226" s="9">
        <v>1776.9</v>
      </c>
      <c r="C226" s="9">
        <v>1769.4</v>
      </c>
      <c r="D226" s="9">
        <v>1778.4</v>
      </c>
      <c r="E226" s="9">
        <v>1755.8</v>
      </c>
      <c r="F226" s="7" t="s">
        <v>1147</v>
      </c>
      <c r="G226" s="8">
        <v>0.0042</v>
      </c>
    </row>
    <row r="227" spans="1:7">
      <c r="A227" s="6">
        <v>44880</v>
      </c>
      <c r="B227" s="9">
        <v>1776.8</v>
      </c>
      <c r="C227" s="9">
        <v>1774</v>
      </c>
      <c r="D227" s="9">
        <v>1791.8</v>
      </c>
      <c r="E227" s="9">
        <v>1770.2</v>
      </c>
      <c r="F227" s="7" t="s">
        <v>1148</v>
      </c>
      <c r="G227" s="8">
        <v>-0.0001</v>
      </c>
    </row>
    <row r="228" spans="1:7">
      <c r="A228" s="6">
        <v>44881</v>
      </c>
      <c r="B228" s="9">
        <v>1775.8</v>
      </c>
      <c r="C228" s="9">
        <v>1782</v>
      </c>
      <c r="D228" s="9">
        <v>1788.2</v>
      </c>
      <c r="E228" s="9">
        <v>1773.4</v>
      </c>
      <c r="F228" s="7" t="s">
        <v>1149</v>
      </c>
      <c r="G228" s="8">
        <v>-0.0006</v>
      </c>
    </row>
    <row r="229" spans="1:7">
      <c r="A229" s="6">
        <v>44882</v>
      </c>
      <c r="B229" s="9">
        <v>1763</v>
      </c>
      <c r="C229" s="9">
        <v>1777</v>
      </c>
      <c r="D229" s="9">
        <v>1777.6</v>
      </c>
      <c r="E229" s="9">
        <v>1756.6</v>
      </c>
      <c r="F229" s="7" t="s">
        <v>1150</v>
      </c>
      <c r="G229" s="8">
        <v>-0.0072</v>
      </c>
    </row>
    <row r="230" spans="1:7">
      <c r="A230" s="6">
        <v>44883</v>
      </c>
      <c r="B230" s="9">
        <v>1754.4</v>
      </c>
      <c r="C230" s="9">
        <v>1763.1</v>
      </c>
      <c r="D230" s="9">
        <v>1769.9</v>
      </c>
      <c r="E230" s="9">
        <v>1749.2</v>
      </c>
      <c r="F230" s="7" t="s">
        <v>1151</v>
      </c>
      <c r="G230" s="8">
        <v>-0.0049</v>
      </c>
    </row>
    <row r="231" spans="1:7">
      <c r="A231" s="6">
        <v>44886</v>
      </c>
      <c r="B231" s="9">
        <v>1739.6</v>
      </c>
      <c r="C231" s="9">
        <v>1752</v>
      </c>
      <c r="D231" s="9">
        <v>1755</v>
      </c>
      <c r="E231" s="9">
        <v>1733.9</v>
      </c>
      <c r="F231" s="7" t="s">
        <v>1152</v>
      </c>
      <c r="G231" s="8">
        <v>-0.0084</v>
      </c>
    </row>
    <row r="232" spans="1:7">
      <c r="A232" s="6">
        <v>44887</v>
      </c>
      <c r="B232" s="9">
        <v>1739.9</v>
      </c>
      <c r="C232" s="9">
        <v>1739.7</v>
      </c>
      <c r="D232" s="9">
        <v>1751</v>
      </c>
      <c r="E232" s="9">
        <v>1737.6</v>
      </c>
      <c r="F232" s="7" t="s">
        <v>1153</v>
      </c>
      <c r="G232" s="8">
        <v>0.0002</v>
      </c>
    </row>
    <row r="233" spans="1:7">
      <c r="A233" s="6">
        <v>44888</v>
      </c>
      <c r="B233" s="9">
        <v>1745.6</v>
      </c>
      <c r="C233" s="9">
        <v>1740.8</v>
      </c>
      <c r="D233" s="9">
        <v>1754.9</v>
      </c>
      <c r="E233" s="9">
        <v>1719</v>
      </c>
      <c r="F233" s="7" t="s">
        <v>1154</v>
      </c>
      <c r="G233" s="8">
        <v>0.0033</v>
      </c>
    </row>
    <row r="234" spans="1:7">
      <c r="A234" s="6">
        <v>44889</v>
      </c>
      <c r="B234" s="9">
        <v>1754</v>
      </c>
      <c r="C234" s="9">
        <v>1751</v>
      </c>
      <c r="D234" s="9">
        <v>1761.2</v>
      </c>
      <c r="E234" s="9">
        <v>1745.9</v>
      </c>
      <c r="F234" s="7" t="s">
        <v>1155</v>
      </c>
      <c r="G234" s="8">
        <v>0.0048</v>
      </c>
    </row>
    <row r="235" spans="1:7">
      <c r="A235" s="6">
        <v>44890</v>
      </c>
      <c r="B235" s="9">
        <v>1754</v>
      </c>
      <c r="C235" s="9">
        <v>1751</v>
      </c>
      <c r="D235" s="9">
        <v>1761.2</v>
      </c>
      <c r="E235" s="9">
        <v>1745.9</v>
      </c>
      <c r="F235" s="7" t="s">
        <v>1155</v>
      </c>
      <c r="G235" s="8">
        <v>0</v>
      </c>
    </row>
    <row r="236" spans="1:7">
      <c r="A236" s="6">
        <v>44893</v>
      </c>
      <c r="B236" s="9">
        <v>1740.3</v>
      </c>
      <c r="C236" s="9">
        <v>1755</v>
      </c>
      <c r="D236" s="9">
        <v>1763.5</v>
      </c>
      <c r="E236" s="9">
        <v>1738.2</v>
      </c>
      <c r="F236" s="7" t="s">
        <v>1156</v>
      </c>
      <c r="G236" s="8">
        <v>-0.0078</v>
      </c>
    </row>
    <row r="237" spans="1:7">
      <c r="A237" s="6">
        <v>44894</v>
      </c>
      <c r="B237" s="9">
        <v>1756.3</v>
      </c>
      <c r="C237" s="9">
        <v>1747.6</v>
      </c>
      <c r="D237" s="9">
        <v>1765</v>
      </c>
      <c r="E237" s="9">
        <v>1746</v>
      </c>
      <c r="F237" s="7" t="s">
        <v>1157</v>
      </c>
      <c r="G237" s="8">
        <v>0.0092</v>
      </c>
    </row>
    <row r="238" spans="1:7">
      <c r="A238" s="6">
        <v>44895</v>
      </c>
      <c r="B238" s="9">
        <v>1753.2</v>
      </c>
      <c r="C238" s="9">
        <v>1755.5</v>
      </c>
      <c r="D238" s="9">
        <v>1776.7</v>
      </c>
      <c r="E238" s="9">
        <v>1751.8</v>
      </c>
      <c r="F238" s="7" t="s">
        <v>1158</v>
      </c>
      <c r="G238" s="8">
        <v>-0.0018</v>
      </c>
    </row>
    <row r="239" spans="1:7">
      <c r="A239" s="6">
        <v>44896</v>
      </c>
      <c r="B239" s="9">
        <v>1808.2</v>
      </c>
      <c r="C239" s="9">
        <v>1778.4</v>
      </c>
      <c r="D239" s="9">
        <v>1810.9</v>
      </c>
      <c r="E239" s="9">
        <v>1777.7</v>
      </c>
      <c r="F239" s="7" t="s">
        <v>1159</v>
      </c>
      <c r="G239" s="8">
        <v>0.0314</v>
      </c>
    </row>
    <row r="240" spans="1:7">
      <c r="A240" s="6">
        <v>44897</v>
      </c>
      <c r="B240" s="9">
        <v>1802.6</v>
      </c>
      <c r="C240" s="9">
        <v>1809.5</v>
      </c>
      <c r="D240" s="9">
        <v>1811.5</v>
      </c>
      <c r="E240" s="9">
        <v>1786</v>
      </c>
      <c r="F240" s="7" t="s">
        <v>1160</v>
      </c>
      <c r="G240" s="8">
        <v>-0.0031</v>
      </c>
    </row>
    <row r="241" spans="1:7">
      <c r="A241" s="6">
        <v>44900</v>
      </c>
      <c r="B241" s="9">
        <v>1774.3</v>
      </c>
      <c r="C241" s="9">
        <v>1803.7</v>
      </c>
      <c r="D241" s="9">
        <v>1815</v>
      </c>
      <c r="E241" s="9">
        <v>1771.6</v>
      </c>
      <c r="F241" s="7" t="s">
        <v>1161</v>
      </c>
      <c r="G241" s="8">
        <v>-0.0157</v>
      </c>
    </row>
    <row r="242" spans="1:7">
      <c r="A242" s="6">
        <v>44901</v>
      </c>
      <c r="B242" s="9">
        <v>1775.5</v>
      </c>
      <c r="C242" s="9">
        <v>1775.3</v>
      </c>
      <c r="D242" s="9">
        <v>1786</v>
      </c>
      <c r="E242" s="9">
        <v>1772.5</v>
      </c>
      <c r="F242" s="7" t="s">
        <v>1162</v>
      </c>
      <c r="G242" s="8">
        <v>0.0007</v>
      </c>
    </row>
    <row r="243" spans="1:7">
      <c r="A243" s="6">
        <v>44902</v>
      </c>
      <c r="B243" s="9">
        <v>1791</v>
      </c>
      <c r="C243" s="9">
        <v>1774.7</v>
      </c>
      <c r="D243" s="9">
        <v>1795.9</v>
      </c>
      <c r="E243" s="9">
        <v>1774.3</v>
      </c>
      <c r="F243" s="7" t="s">
        <v>1163</v>
      </c>
      <c r="G243" s="8">
        <v>0.0087</v>
      </c>
    </row>
    <row r="244" spans="1:7">
      <c r="A244" s="6">
        <v>44903</v>
      </c>
      <c r="B244" s="9">
        <v>1794.2</v>
      </c>
      <c r="C244" s="9">
        <v>1792.5</v>
      </c>
      <c r="D244" s="9">
        <v>1799</v>
      </c>
      <c r="E244" s="9">
        <v>1786.7</v>
      </c>
      <c r="F244" s="7" t="s">
        <v>1164</v>
      </c>
      <c r="G244" s="8">
        <v>0.0018</v>
      </c>
    </row>
    <row r="245" spans="1:7">
      <c r="A245" s="6">
        <v>44904</v>
      </c>
      <c r="B245" s="9">
        <v>1803.5</v>
      </c>
      <c r="C245" s="9">
        <v>1793.5</v>
      </c>
      <c r="D245" s="9">
        <v>1810.8</v>
      </c>
      <c r="E245" s="9">
        <v>1793.5</v>
      </c>
      <c r="F245" s="7" t="s">
        <v>1132</v>
      </c>
      <c r="G245" s="8">
        <v>0.0052</v>
      </c>
    </row>
    <row r="246" spans="1:7">
      <c r="A246" s="6">
        <v>44907</v>
      </c>
      <c r="B246" s="9">
        <v>1785</v>
      </c>
      <c r="C246" s="9">
        <v>1801.6</v>
      </c>
      <c r="D246" s="9">
        <v>1801.6</v>
      </c>
      <c r="E246" s="9">
        <v>1782</v>
      </c>
      <c r="F246" s="7" t="s">
        <v>1054</v>
      </c>
      <c r="G246" s="8">
        <v>-0.0103</v>
      </c>
    </row>
    <row r="247" spans="1:7">
      <c r="A247" s="6">
        <v>44908</v>
      </c>
      <c r="B247" s="9">
        <v>1818.3</v>
      </c>
      <c r="C247" s="9">
        <v>1785.8</v>
      </c>
      <c r="D247" s="9">
        <v>1829</v>
      </c>
      <c r="E247" s="9">
        <v>1785</v>
      </c>
      <c r="F247" s="7" t="s">
        <v>1020</v>
      </c>
      <c r="G247" s="8">
        <v>0.0187</v>
      </c>
    </row>
    <row r="248" spans="1:7">
      <c r="A248" s="6">
        <v>44909</v>
      </c>
      <c r="B248" s="9">
        <v>1811.5</v>
      </c>
      <c r="C248" s="9">
        <v>1815.1</v>
      </c>
      <c r="D248" s="9">
        <v>1817.1</v>
      </c>
      <c r="E248" s="9">
        <v>1800</v>
      </c>
      <c r="F248" s="7" t="s">
        <v>1165</v>
      </c>
      <c r="G248" s="8">
        <v>-0.0037</v>
      </c>
    </row>
    <row r="249" spans="1:7">
      <c r="A249" s="6">
        <v>44910</v>
      </c>
      <c r="B249" s="9">
        <v>1780.6</v>
      </c>
      <c r="C249" s="9">
        <v>1811.8</v>
      </c>
      <c r="D249" s="9">
        <v>1812.1</v>
      </c>
      <c r="E249" s="9">
        <v>1775</v>
      </c>
      <c r="F249" s="7" t="s">
        <v>1166</v>
      </c>
      <c r="G249" s="8">
        <v>-0.0171</v>
      </c>
    </row>
    <row r="250" spans="1:7">
      <c r="A250" s="6">
        <v>44911</v>
      </c>
      <c r="B250" s="9">
        <v>1793.5</v>
      </c>
      <c r="C250" s="9">
        <v>1779.9</v>
      </c>
      <c r="D250" s="9">
        <v>1797.2</v>
      </c>
      <c r="E250" s="9">
        <v>1778.8</v>
      </c>
      <c r="F250" s="7" t="s">
        <v>981</v>
      </c>
      <c r="G250" s="8">
        <v>0.0072</v>
      </c>
    </row>
    <row r="251" spans="1:7">
      <c r="A251" s="6">
        <v>44914</v>
      </c>
      <c r="B251" s="9">
        <v>1791</v>
      </c>
      <c r="C251" s="9">
        <v>1795.2</v>
      </c>
      <c r="D251" s="9">
        <v>1801.4</v>
      </c>
      <c r="E251" s="9">
        <v>1788.6</v>
      </c>
      <c r="F251" s="7" t="s">
        <v>1167</v>
      </c>
      <c r="G251" s="8">
        <v>-0.0014</v>
      </c>
    </row>
    <row r="252" spans="1:7">
      <c r="A252" s="6">
        <v>44915</v>
      </c>
      <c r="B252" s="9">
        <v>1818.6</v>
      </c>
      <c r="C252" s="9">
        <v>1796.4</v>
      </c>
      <c r="D252" s="9">
        <v>1824.3</v>
      </c>
      <c r="E252" s="9">
        <v>1789.6</v>
      </c>
      <c r="F252" s="7" t="s">
        <v>1021</v>
      </c>
      <c r="G252" s="8">
        <v>0.0154</v>
      </c>
    </row>
    <row r="253" spans="1:7">
      <c r="A253" s="6">
        <v>44916</v>
      </c>
      <c r="B253" s="9">
        <v>1818.5</v>
      </c>
      <c r="C253" s="9">
        <v>1821.6</v>
      </c>
      <c r="D253" s="9">
        <v>1825.4</v>
      </c>
      <c r="E253" s="9">
        <v>1815.9</v>
      </c>
      <c r="F253" s="7" t="s">
        <v>1168</v>
      </c>
      <c r="G253" s="8">
        <v>-0.0001</v>
      </c>
    </row>
    <row r="254" spans="1:7">
      <c r="A254" s="6">
        <v>44917</v>
      </c>
      <c r="B254" s="9">
        <v>1788.5</v>
      </c>
      <c r="C254" s="9">
        <v>1818</v>
      </c>
      <c r="D254" s="9">
        <v>1822</v>
      </c>
      <c r="E254" s="9">
        <v>1787.1</v>
      </c>
      <c r="F254" s="7" t="s">
        <v>1169</v>
      </c>
      <c r="G254" s="8">
        <v>-0.0165</v>
      </c>
    </row>
    <row r="255" spans="1:7">
      <c r="A255" s="6">
        <v>44918</v>
      </c>
      <c r="B255" s="9">
        <v>1797.4</v>
      </c>
      <c r="C255" s="9">
        <v>1793.7</v>
      </c>
      <c r="D255" s="9">
        <v>1805.5</v>
      </c>
      <c r="E255" s="9">
        <v>1793.2</v>
      </c>
      <c r="F255" s="7" t="s">
        <v>1170</v>
      </c>
      <c r="G255" s="8">
        <v>0.005</v>
      </c>
    </row>
    <row r="256" spans="1:7">
      <c r="A256" s="6">
        <v>44922</v>
      </c>
      <c r="B256" s="9">
        <v>1816.3</v>
      </c>
      <c r="C256" s="9">
        <v>1799.7</v>
      </c>
      <c r="D256" s="9">
        <v>1834.1</v>
      </c>
      <c r="E256" s="9">
        <v>1799.7</v>
      </c>
      <c r="F256" s="7" t="s">
        <v>1171</v>
      </c>
      <c r="G256" s="8">
        <v>0.0105</v>
      </c>
    </row>
    <row r="257" spans="1:7">
      <c r="A257" s="6">
        <v>44923</v>
      </c>
      <c r="B257" s="9">
        <v>1808.8</v>
      </c>
      <c r="C257" s="9">
        <v>1812.4</v>
      </c>
      <c r="D257" s="9">
        <v>1812.4</v>
      </c>
      <c r="E257" s="9">
        <v>1801.3</v>
      </c>
      <c r="F257" s="7" t="s">
        <v>981</v>
      </c>
      <c r="G257" s="8">
        <v>-0.0041</v>
      </c>
    </row>
    <row r="258" spans="1:7">
      <c r="A258" s="6">
        <v>44924</v>
      </c>
      <c r="B258" s="9">
        <v>1826</v>
      </c>
      <c r="C258" s="9">
        <v>1812.3</v>
      </c>
      <c r="D258" s="9">
        <v>1827.3</v>
      </c>
      <c r="E258" s="9">
        <v>1811.2</v>
      </c>
      <c r="F258" s="7" t="s">
        <v>1172</v>
      </c>
      <c r="G258" s="8">
        <v>0.0095</v>
      </c>
    </row>
    <row r="259" spans="1:7">
      <c r="A259" s="6">
        <v>44925</v>
      </c>
      <c r="B259" s="9">
        <v>1826.2</v>
      </c>
      <c r="C259" s="9">
        <v>1821.8</v>
      </c>
      <c r="D259" s="9">
        <v>1832.4</v>
      </c>
      <c r="E259" s="9">
        <v>1819.8</v>
      </c>
      <c r="F259" s="7" t="s">
        <v>1173</v>
      </c>
      <c r="G259" s="8">
        <v>0.0001</v>
      </c>
    </row>
    <row r="260" spans="1:7">
      <c r="A260" s="6">
        <v>44929</v>
      </c>
      <c r="B260" s="9">
        <v>1846.1</v>
      </c>
      <c r="C260" s="9">
        <v>1831.8</v>
      </c>
      <c r="D260" s="9">
        <v>1856.6</v>
      </c>
      <c r="E260" s="9">
        <v>1831.3</v>
      </c>
      <c r="F260" s="7" t="s">
        <v>1174</v>
      </c>
      <c r="G260" s="8">
        <v>0.0109</v>
      </c>
    </row>
    <row r="261" spans="1:7">
      <c r="A261" s="6">
        <v>44930</v>
      </c>
      <c r="B261" s="9">
        <v>1859</v>
      </c>
      <c r="C261" s="9">
        <v>1845.2</v>
      </c>
      <c r="D261" s="9">
        <v>1871.3</v>
      </c>
      <c r="E261" s="9">
        <v>1842</v>
      </c>
      <c r="F261" s="7" t="s">
        <v>1175</v>
      </c>
      <c r="G261" s="8">
        <v>0.007</v>
      </c>
    </row>
    <row r="262" spans="1:7">
      <c r="A262" s="6">
        <v>44931</v>
      </c>
      <c r="B262" s="9">
        <v>1840.6</v>
      </c>
      <c r="C262" s="9">
        <v>1861.2</v>
      </c>
      <c r="D262" s="9">
        <v>1864.3</v>
      </c>
      <c r="E262" s="9">
        <v>1829.9</v>
      </c>
      <c r="F262" s="7" t="s">
        <v>1176</v>
      </c>
      <c r="G262" s="8">
        <v>-0.0099</v>
      </c>
    </row>
    <row r="263" spans="1:7">
      <c r="A263" s="6">
        <v>44932</v>
      </c>
      <c r="B263" s="9">
        <v>1869.7</v>
      </c>
      <c r="C263" s="9">
        <v>1835.9</v>
      </c>
      <c r="D263" s="9">
        <v>1875.2</v>
      </c>
      <c r="E263" s="9">
        <v>1835.2</v>
      </c>
      <c r="F263" s="7" t="s">
        <v>1177</v>
      </c>
      <c r="G263" s="8">
        <v>0.0158</v>
      </c>
    </row>
    <row r="264" spans="1:7">
      <c r="A264" s="6">
        <v>44935</v>
      </c>
      <c r="B264" s="9">
        <v>1877.8</v>
      </c>
      <c r="C264" s="9">
        <v>1872.8</v>
      </c>
      <c r="D264" s="9">
        <v>1886.4</v>
      </c>
      <c r="E264" s="9">
        <v>1869.3</v>
      </c>
      <c r="F264" s="7" t="s">
        <v>1178</v>
      </c>
      <c r="G264" s="8">
        <v>0.0043</v>
      </c>
    </row>
    <row r="265" spans="1:7">
      <c r="A265" s="6">
        <v>44936</v>
      </c>
      <c r="B265" s="9">
        <v>1876.5</v>
      </c>
      <c r="C265" s="9">
        <v>1875.7</v>
      </c>
      <c r="D265" s="9">
        <v>1885.2</v>
      </c>
      <c r="E265" s="9">
        <v>1872</v>
      </c>
      <c r="F265" s="7" t="s">
        <v>1179</v>
      </c>
      <c r="G265" s="8">
        <v>-0.0007</v>
      </c>
    </row>
    <row r="266" spans="1:7">
      <c r="A266" s="6">
        <v>44937</v>
      </c>
      <c r="B266" s="9">
        <v>1878.9</v>
      </c>
      <c r="C266" s="9">
        <v>1881.3</v>
      </c>
      <c r="D266" s="9">
        <v>1890.9</v>
      </c>
      <c r="E266" s="9">
        <v>1870.9</v>
      </c>
      <c r="F266" s="7" t="s">
        <v>1180</v>
      </c>
      <c r="G266" s="8">
        <v>0.0013</v>
      </c>
    </row>
    <row r="267" spans="1:7">
      <c r="A267" s="6">
        <v>44938</v>
      </c>
      <c r="B267" s="9">
        <v>1898.8</v>
      </c>
      <c r="C267" s="9">
        <v>1879.7</v>
      </c>
      <c r="D267" s="9">
        <v>1906.5</v>
      </c>
      <c r="E267" s="9">
        <v>1872.4</v>
      </c>
      <c r="F267" s="7" t="s">
        <v>1181</v>
      </c>
      <c r="G267" s="8">
        <v>0.0106</v>
      </c>
    </row>
    <row r="268" spans="1:7">
      <c r="A268" s="6">
        <v>44939</v>
      </c>
      <c r="B268" s="9">
        <v>1921.7</v>
      </c>
      <c r="C268" s="9">
        <v>1898.8</v>
      </c>
      <c r="D268" s="9">
        <v>1925.3</v>
      </c>
      <c r="E268" s="9">
        <v>1895.1</v>
      </c>
      <c r="F268" s="7" t="s">
        <v>1182</v>
      </c>
      <c r="G268" s="8">
        <v>0.0121</v>
      </c>
    </row>
    <row r="269" spans="1:7">
      <c r="A269" s="6">
        <v>44942</v>
      </c>
      <c r="B269" s="9">
        <v>1909.9</v>
      </c>
      <c r="C269" s="9">
        <v>1923.8</v>
      </c>
      <c r="D269" s="9">
        <v>1931.8</v>
      </c>
      <c r="E269" s="9">
        <v>1906.2</v>
      </c>
      <c r="F269" s="7" t="s">
        <v>1183</v>
      </c>
      <c r="G269" s="8">
        <v>-0.0061</v>
      </c>
    </row>
    <row r="270" spans="1:7">
      <c r="A270" s="6">
        <v>44943</v>
      </c>
      <c r="B270" s="9">
        <v>1909.9</v>
      </c>
      <c r="C270" s="9">
        <v>1923.8</v>
      </c>
      <c r="D270" s="9">
        <v>1931.8</v>
      </c>
      <c r="E270" s="9">
        <v>1906.2</v>
      </c>
      <c r="F270" s="7" t="s">
        <v>1183</v>
      </c>
      <c r="G270" s="8">
        <v>0</v>
      </c>
    </row>
    <row r="271" spans="1:7">
      <c r="A271" s="6">
        <v>44944</v>
      </c>
      <c r="B271" s="9">
        <v>1907</v>
      </c>
      <c r="C271" s="9">
        <v>1911.1</v>
      </c>
      <c r="D271" s="9">
        <v>1929.8</v>
      </c>
      <c r="E271" s="9">
        <v>1898.6</v>
      </c>
      <c r="F271" s="7" t="s">
        <v>1184</v>
      </c>
      <c r="G271" s="8">
        <v>-0.0015</v>
      </c>
    </row>
    <row r="272" spans="1:7">
      <c r="A272" s="6">
        <v>44945</v>
      </c>
      <c r="B272" s="9">
        <v>1923.9</v>
      </c>
      <c r="C272" s="9">
        <v>1907</v>
      </c>
      <c r="D272" s="9">
        <v>1936.9</v>
      </c>
      <c r="E272" s="9">
        <v>1902</v>
      </c>
      <c r="F272" s="7" t="s">
        <v>1185</v>
      </c>
      <c r="G272" s="8">
        <v>0.0089</v>
      </c>
    </row>
    <row r="273" spans="1:7">
      <c r="A273" s="6">
        <v>44946</v>
      </c>
      <c r="B273" s="9">
        <v>1928.2</v>
      </c>
      <c r="C273" s="9">
        <v>1933.7</v>
      </c>
      <c r="D273" s="9">
        <v>1939</v>
      </c>
      <c r="E273" s="9">
        <v>1922</v>
      </c>
      <c r="F273" s="7" t="s">
        <v>1186</v>
      </c>
      <c r="G273" s="8">
        <v>0.0022</v>
      </c>
    </row>
    <row r="274" spans="1:7">
      <c r="A274" s="6">
        <v>44949</v>
      </c>
      <c r="B274" s="9">
        <v>1928.6</v>
      </c>
      <c r="C274" s="9">
        <v>1928.4</v>
      </c>
      <c r="D274" s="9">
        <v>1936.7</v>
      </c>
      <c r="E274" s="9">
        <v>1912.5</v>
      </c>
      <c r="F274" s="7" t="s">
        <v>1187</v>
      </c>
      <c r="G274" s="8">
        <v>0.0002</v>
      </c>
    </row>
    <row r="275" spans="1:7">
      <c r="A275" s="6">
        <v>44950</v>
      </c>
      <c r="B275" s="9">
        <v>1935.4</v>
      </c>
      <c r="C275" s="9">
        <v>1932</v>
      </c>
      <c r="D275" s="9">
        <v>1943.8</v>
      </c>
      <c r="E275" s="9">
        <v>1918.2</v>
      </c>
      <c r="F275" s="7" t="s">
        <v>1188</v>
      </c>
      <c r="G275" s="8">
        <v>0.0035</v>
      </c>
    </row>
    <row r="276" spans="1:7">
      <c r="A276" s="6">
        <v>44951</v>
      </c>
      <c r="B276" s="9">
        <v>1942.6</v>
      </c>
      <c r="C276" s="9">
        <v>1938.7</v>
      </c>
      <c r="D276" s="9">
        <v>1949.5</v>
      </c>
      <c r="E276" s="9">
        <v>1920.6</v>
      </c>
      <c r="F276" s="7" t="s">
        <v>1189</v>
      </c>
      <c r="G276" s="8">
        <v>0.0037</v>
      </c>
    </row>
    <row r="277" spans="1:7">
      <c r="A277" s="6">
        <v>44952</v>
      </c>
      <c r="B277" s="9">
        <v>1930</v>
      </c>
      <c r="C277" s="9">
        <v>1948</v>
      </c>
      <c r="D277" s="9">
        <v>1949.8</v>
      </c>
      <c r="E277" s="9">
        <v>1918.4</v>
      </c>
      <c r="F277" s="7" t="s">
        <v>1190</v>
      </c>
      <c r="G277" s="8">
        <v>-0.0065</v>
      </c>
    </row>
    <row r="278" spans="1:7">
      <c r="A278" s="6">
        <v>44953</v>
      </c>
      <c r="B278" s="9">
        <v>1929.4</v>
      </c>
      <c r="C278" s="9">
        <v>1929.3</v>
      </c>
      <c r="D278" s="9">
        <v>1935.4</v>
      </c>
      <c r="E278" s="9">
        <v>1916.5</v>
      </c>
      <c r="F278" s="7" t="s">
        <v>1191</v>
      </c>
      <c r="G278" s="8">
        <v>-0.0003</v>
      </c>
    </row>
    <row r="279" spans="1:7">
      <c r="A279" s="6">
        <v>44956</v>
      </c>
      <c r="B279" s="9">
        <v>1930.2</v>
      </c>
      <c r="C279" s="9">
        <v>1936.2</v>
      </c>
      <c r="D279" s="9">
        <v>1940.8</v>
      </c>
      <c r="E279" s="9">
        <v>1927.3</v>
      </c>
      <c r="F279" s="7" t="s">
        <v>1192</v>
      </c>
      <c r="G279" s="8">
        <v>0.0004</v>
      </c>
    </row>
    <row r="280" spans="1:7">
      <c r="A280" s="6">
        <v>44957</v>
      </c>
      <c r="B280" s="9">
        <v>1936.6</v>
      </c>
      <c r="C280" s="9">
        <v>1929.5</v>
      </c>
      <c r="D280" s="9">
        <v>1938</v>
      </c>
      <c r="E280" s="9">
        <v>1907.4</v>
      </c>
      <c r="F280" s="7" t="s">
        <v>1051</v>
      </c>
      <c r="G280" s="8">
        <v>0.0033</v>
      </c>
    </row>
    <row r="281" spans="1:7">
      <c r="A281" s="6">
        <v>44958</v>
      </c>
      <c r="B281" s="9">
        <v>1934.3</v>
      </c>
      <c r="C281" s="9">
        <v>1935.1</v>
      </c>
      <c r="D281" s="9">
        <v>1961.7</v>
      </c>
      <c r="E281" s="9">
        <v>1928</v>
      </c>
      <c r="F281" s="7" t="s">
        <v>985</v>
      </c>
      <c r="G281" s="8">
        <v>-0.0012</v>
      </c>
    </row>
    <row r="282" spans="1:7">
      <c r="A282" s="6">
        <v>44959</v>
      </c>
      <c r="B282" s="9">
        <v>1922.2</v>
      </c>
      <c r="C282" s="9">
        <v>1959.3</v>
      </c>
      <c r="D282" s="9">
        <v>1966.3</v>
      </c>
      <c r="E282" s="9">
        <v>1917.1</v>
      </c>
      <c r="F282" s="7" t="s">
        <v>1193</v>
      </c>
      <c r="G282" s="8">
        <v>-0.0063</v>
      </c>
    </row>
    <row r="283" spans="1:7">
      <c r="A283" s="6">
        <v>44960</v>
      </c>
      <c r="B283" s="9">
        <v>1868.3</v>
      </c>
      <c r="C283" s="9">
        <v>1918.2</v>
      </c>
      <c r="D283" s="9">
        <v>1923.6</v>
      </c>
      <c r="E283" s="9">
        <v>1866.1</v>
      </c>
      <c r="F283" s="7" t="s">
        <v>1194</v>
      </c>
      <c r="G283" s="8">
        <v>-0.028</v>
      </c>
    </row>
    <row r="284" spans="1:7">
      <c r="A284" s="6">
        <v>44963</v>
      </c>
      <c r="B284" s="9">
        <v>1871.2</v>
      </c>
      <c r="C284" s="9">
        <v>1866.7</v>
      </c>
      <c r="D284" s="9">
        <v>1885.4</v>
      </c>
      <c r="E284" s="9">
        <v>1865.9</v>
      </c>
      <c r="F284" s="7" t="s">
        <v>1157</v>
      </c>
      <c r="G284" s="8">
        <v>0.0016</v>
      </c>
    </row>
    <row r="285" spans="1:7">
      <c r="A285" s="6">
        <v>44964</v>
      </c>
      <c r="B285" s="9">
        <v>1876.5</v>
      </c>
      <c r="C285" s="9">
        <v>1871.9</v>
      </c>
      <c r="D285" s="9">
        <v>1888.5</v>
      </c>
      <c r="E285" s="9">
        <v>1869.4</v>
      </c>
      <c r="F285" s="7" t="s">
        <v>1195</v>
      </c>
      <c r="G285" s="8">
        <v>0.0028</v>
      </c>
    </row>
    <row r="286" spans="1:7">
      <c r="A286" s="6">
        <v>44965</v>
      </c>
      <c r="B286" s="9">
        <v>1882.2</v>
      </c>
      <c r="C286" s="9">
        <v>1877.4</v>
      </c>
      <c r="D286" s="9">
        <v>1890</v>
      </c>
      <c r="E286" s="9">
        <v>1874</v>
      </c>
      <c r="F286" s="7" t="s">
        <v>1060</v>
      </c>
      <c r="G286" s="8">
        <v>0.003</v>
      </c>
    </row>
    <row r="287" spans="1:7">
      <c r="A287" s="6">
        <v>44966</v>
      </c>
      <c r="B287" s="9">
        <v>1870</v>
      </c>
      <c r="C287" s="9">
        <v>1879</v>
      </c>
      <c r="D287" s="9">
        <v>1893.7</v>
      </c>
      <c r="E287" s="9">
        <v>1862</v>
      </c>
      <c r="F287" s="7" t="s">
        <v>1196</v>
      </c>
      <c r="G287" s="8">
        <v>-0.0065</v>
      </c>
    </row>
    <row r="288" spans="1:7">
      <c r="A288" s="6">
        <v>44967</v>
      </c>
      <c r="B288" s="9">
        <v>1865.9</v>
      </c>
      <c r="C288" s="9">
        <v>1864.7</v>
      </c>
      <c r="D288" s="9">
        <v>1873.3</v>
      </c>
      <c r="E288" s="9">
        <v>1855</v>
      </c>
      <c r="F288" s="7" t="s">
        <v>949</v>
      </c>
      <c r="G288" s="8">
        <v>-0.0022</v>
      </c>
    </row>
    <row r="289" spans="1:7">
      <c r="A289" s="6">
        <v>44970</v>
      </c>
      <c r="B289" s="9">
        <v>1855.1</v>
      </c>
      <c r="C289" s="9">
        <v>1866.7</v>
      </c>
      <c r="D289" s="9">
        <v>1868.5</v>
      </c>
      <c r="E289" s="9">
        <v>1852.7</v>
      </c>
      <c r="F289" s="7" t="s">
        <v>1197</v>
      </c>
      <c r="G289" s="8">
        <v>-0.0058</v>
      </c>
    </row>
    <row r="290" spans="1:7">
      <c r="A290" s="6">
        <v>44971</v>
      </c>
      <c r="B290" s="9">
        <v>1857</v>
      </c>
      <c r="C290" s="9">
        <v>1856</v>
      </c>
      <c r="D290" s="9">
        <v>1871</v>
      </c>
      <c r="E290" s="9">
        <v>1845</v>
      </c>
      <c r="F290" s="7" t="s">
        <v>1130</v>
      </c>
      <c r="G290" s="8">
        <v>0.001</v>
      </c>
    </row>
    <row r="291" spans="1:7">
      <c r="A291" s="6">
        <v>44972</v>
      </c>
      <c r="B291" s="9">
        <v>1837</v>
      </c>
      <c r="C291" s="9">
        <v>1856.3</v>
      </c>
      <c r="D291" s="9">
        <v>1861.7</v>
      </c>
      <c r="E291" s="9">
        <v>1831.8</v>
      </c>
      <c r="F291" s="7" t="s">
        <v>1022</v>
      </c>
      <c r="G291" s="8">
        <v>-0.0108</v>
      </c>
    </row>
    <row r="292" spans="1:7">
      <c r="A292" s="6">
        <v>44973</v>
      </c>
      <c r="B292" s="9">
        <v>1843.4</v>
      </c>
      <c r="C292" s="9">
        <v>1838.9</v>
      </c>
      <c r="D292" s="9">
        <v>1846</v>
      </c>
      <c r="E292" s="9">
        <v>1828.3</v>
      </c>
      <c r="F292" s="7" t="s">
        <v>1198</v>
      </c>
      <c r="G292" s="8">
        <v>0.0035</v>
      </c>
    </row>
    <row r="293" spans="1:7">
      <c r="A293" s="6">
        <v>44974</v>
      </c>
      <c r="B293" s="9">
        <v>1842</v>
      </c>
      <c r="C293" s="9">
        <v>1835.5</v>
      </c>
      <c r="D293" s="9">
        <v>1844.6</v>
      </c>
      <c r="E293" s="9">
        <v>1819.8</v>
      </c>
      <c r="F293" s="7" t="s">
        <v>1059</v>
      </c>
      <c r="G293" s="8">
        <v>-0.0008</v>
      </c>
    </row>
    <row r="294" spans="1:7">
      <c r="A294" s="6">
        <v>44977</v>
      </c>
      <c r="B294" s="9">
        <v>1842.5</v>
      </c>
      <c r="C294" s="9">
        <v>1850.5</v>
      </c>
      <c r="D294" s="9">
        <v>1856.4</v>
      </c>
      <c r="E294" s="9">
        <v>1839</v>
      </c>
      <c r="F294" s="7" t="s">
        <v>1199</v>
      </c>
      <c r="G294" s="8">
        <v>0.0003</v>
      </c>
    </row>
    <row r="295" spans="1:7">
      <c r="A295" s="6">
        <v>44978</v>
      </c>
      <c r="B295" s="9">
        <v>1834.2</v>
      </c>
      <c r="C295" s="9">
        <v>1842</v>
      </c>
      <c r="D295" s="9">
        <v>1848</v>
      </c>
      <c r="E295" s="9">
        <v>1831.1</v>
      </c>
      <c r="F295" s="7" t="s">
        <v>1200</v>
      </c>
      <c r="G295" s="8">
        <v>-0.0045</v>
      </c>
    </row>
    <row r="296" spans="1:7">
      <c r="A296" s="6">
        <v>44979</v>
      </c>
      <c r="B296" s="9">
        <v>1833.3</v>
      </c>
      <c r="C296" s="9">
        <v>1837</v>
      </c>
      <c r="D296" s="9">
        <v>1846.4</v>
      </c>
      <c r="E296" s="9">
        <v>1825.1</v>
      </c>
      <c r="F296" s="7" t="s">
        <v>1020</v>
      </c>
      <c r="G296" s="8">
        <v>-0.0005</v>
      </c>
    </row>
    <row r="297" spans="1:7">
      <c r="A297" s="6">
        <v>44980</v>
      </c>
      <c r="B297" s="9">
        <v>1818.8</v>
      </c>
      <c r="C297" s="9">
        <v>1823.6</v>
      </c>
      <c r="D297" s="9">
        <v>1832.7</v>
      </c>
      <c r="E297" s="9">
        <v>1818.3</v>
      </c>
      <c r="F297" s="7" t="s">
        <v>1198</v>
      </c>
      <c r="G297" s="8">
        <v>-0.0079</v>
      </c>
    </row>
    <row r="298" spans="1:7">
      <c r="A298" s="6">
        <v>44981</v>
      </c>
      <c r="B298" s="9">
        <v>1809.2</v>
      </c>
      <c r="C298" s="9">
        <v>1825.2</v>
      </c>
      <c r="D298" s="9">
        <v>1827.1</v>
      </c>
      <c r="E298" s="9">
        <v>1808.8</v>
      </c>
      <c r="F298" s="7" t="s">
        <v>1017</v>
      </c>
      <c r="G298" s="8">
        <v>-0.0053</v>
      </c>
    </row>
    <row r="299" spans="1:7">
      <c r="A299" s="6">
        <v>44984</v>
      </c>
      <c r="B299" s="9">
        <v>1824.9</v>
      </c>
      <c r="C299" s="9">
        <v>1818</v>
      </c>
      <c r="D299" s="9">
        <v>1827.3</v>
      </c>
      <c r="E299" s="9">
        <v>1812</v>
      </c>
      <c r="F299" s="7" t="s">
        <v>1201</v>
      </c>
      <c r="G299" s="8">
        <v>0.0087</v>
      </c>
    </row>
    <row r="300" spans="1:7">
      <c r="A300" s="6">
        <v>44985</v>
      </c>
      <c r="B300" s="9">
        <v>1836.7</v>
      </c>
      <c r="C300" s="9">
        <v>1823.9</v>
      </c>
      <c r="D300" s="9">
        <v>1838.6</v>
      </c>
      <c r="E300" s="9">
        <v>1810.8</v>
      </c>
      <c r="F300" s="7" t="s">
        <v>1202</v>
      </c>
      <c r="G300" s="8">
        <v>0.0065</v>
      </c>
    </row>
    <row r="301" spans="1:7">
      <c r="A301" s="6">
        <v>44986</v>
      </c>
      <c r="B301" s="9">
        <v>1845.4</v>
      </c>
      <c r="C301" s="9">
        <v>1834</v>
      </c>
      <c r="D301" s="9">
        <v>1852.5</v>
      </c>
      <c r="E301" s="9">
        <v>1829.6</v>
      </c>
      <c r="F301" s="7" t="s">
        <v>1203</v>
      </c>
      <c r="G301" s="8">
        <v>0.0047</v>
      </c>
    </row>
    <row r="302" spans="1:7">
      <c r="A302" s="6">
        <v>44987</v>
      </c>
      <c r="B302" s="9">
        <v>1840.5</v>
      </c>
      <c r="C302" s="9">
        <v>1843.8</v>
      </c>
      <c r="D302" s="9">
        <v>1845.3</v>
      </c>
      <c r="E302" s="9">
        <v>1835.9</v>
      </c>
      <c r="F302" s="7" t="s">
        <v>1204</v>
      </c>
      <c r="G302" s="8">
        <v>-0.0027</v>
      </c>
    </row>
    <row r="303" spans="1:7">
      <c r="A303" s="6">
        <v>44988</v>
      </c>
      <c r="B303" s="9">
        <v>1854.6</v>
      </c>
      <c r="C303" s="9">
        <v>1842.1</v>
      </c>
      <c r="D303" s="9">
        <v>1864.4</v>
      </c>
      <c r="E303" s="9">
        <v>1842</v>
      </c>
      <c r="F303" s="7" t="s">
        <v>1205</v>
      </c>
      <c r="G303" s="8">
        <v>0.0077</v>
      </c>
    </row>
    <row r="304" spans="1:7">
      <c r="A304" s="6">
        <v>44991</v>
      </c>
      <c r="B304" s="9">
        <v>1854.6</v>
      </c>
      <c r="C304" s="9">
        <v>1861</v>
      </c>
      <c r="D304" s="9">
        <v>1864.3</v>
      </c>
      <c r="E304" s="9">
        <v>1850.6</v>
      </c>
      <c r="F304" s="7" t="s">
        <v>1206</v>
      </c>
      <c r="G304" s="8">
        <v>0</v>
      </c>
    </row>
    <row r="305" spans="1:7">
      <c r="A305" s="6">
        <v>44992</v>
      </c>
      <c r="B305" s="9">
        <v>1820</v>
      </c>
      <c r="C305" s="9">
        <v>1852.6</v>
      </c>
      <c r="D305" s="9">
        <v>1856.9</v>
      </c>
      <c r="E305" s="9">
        <v>1817.1</v>
      </c>
      <c r="F305" s="7" t="s">
        <v>1207</v>
      </c>
      <c r="G305" s="8">
        <v>-0.0187</v>
      </c>
    </row>
    <row r="306" spans="1:7">
      <c r="A306" s="6">
        <v>44993</v>
      </c>
      <c r="B306" s="9">
        <v>1818.6</v>
      </c>
      <c r="C306" s="9">
        <v>1818</v>
      </c>
      <c r="D306" s="9">
        <v>1828.7</v>
      </c>
      <c r="E306" s="9">
        <v>1813.4</v>
      </c>
      <c r="F306" s="7" t="s">
        <v>1208</v>
      </c>
      <c r="G306" s="8">
        <v>-0.0008</v>
      </c>
    </row>
    <row r="307" spans="1:7">
      <c r="A307" s="6">
        <v>44994</v>
      </c>
      <c r="B307" s="9">
        <v>1834.6</v>
      </c>
      <c r="C307" s="9">
        <v>1818</v>
      </c>
      <c r="D307" s="9">
        <v>1839.4</v>
      </c>
      <c r="E307" s="9">
        <v>1815.4</v>
      </c>
      <c r="F307" s="7" t="s">
        <v>1209</v>
      </c>
      <c r="G307" s="8">
        <v>0.0088</v>
      </c>
    </row>
    <row r="308" spans="1:7">
      <c r="A308" s="6">
        <v>44995</v>
      </c>
      <c r="B308" s="9">
        <v>1867.2</v>
      </c>
      <c r="C308" s="9">
        <v>1835.1</v>
      </c>
      <c r="D308" s="9">
        <v>1874.3</v>
      </c>
      <c r="E308" s="9">
        <v>1830</v>
      </c>
      <c r="F308" s="7" t="s">
        <v>1210</v>
      </c>
      <c r="G308" s="8">
        <v>0.0178</v>
      </c>
    </row>
    <row r="309" spans="1:7">
      <c r="A309" s="6">
        <v>44998</v>
      </c>
      <c r="B309" s="9">
        <v>1916.5</v>
      </c>
      <c r="C309" s="9">
        <v>1877.1</v>
      </c>
      <c r="D309" s="9">
        <v>1919.5</v>
      </c>
      <c r="E309" s="9">
        <v>1875.7</v>
      </c>
      <c r="F309" s="7" t="s">
        <v>1211</v>
      </c>
      <c r="G309" s="8">
        <v>0.0264</v>
      </c>
    </row>
    <row r="310" spans="1:7">
      <c r="A310" s="6">
        <v>44999</v>
      </c>
      <c r="B310" s="9">
        <v>1910.9</v>
      </c>
      <c r="C310" s="9">
        <v>1919.4</v>
      </c>
      <c r="D310" s="9">
        <v>1919.4</v>
      </c>
      <c r="E310" s="9">
        <v>1899.8</v>
      </c>
      <c r="F310" s="7" t="s">
        <v>1212</v>
      </c>
      <c r="G310" s="8">
        <v>-0.0029</v>
      </c>
    </row>
    <row r="311" spans="1:7">
      <c r="A311" s="6">
        <v>45000</v>
      </c>
      <c r="B311" s="9">
        <v>1931.3</v>
      </c>
      <c r="C311" s="9">
        <v>1908.2</v>
      </c>
      <c r="D311" s="9">
        <v>1942.5</v>
      </c>
      <c r="E311" s="9">
        <v>1889.5</v>
      </c>
      <c r="F311" s="7" t="s">
        <v>1213</v>
      </c>
      <c r="G311" s="8">
        <v>0.0107</v>
      </c>
    </row>
    <row r="312" spans="1:7">
      <c r="A312" s="6">
        <v>45001</v>
      </c>
      <c r="B312" s="9">
        <v>1923</v>
      </c>
      <c r="C312" s="9">
        <v>1922.8</v>
      </c>
      <c r="D312" s="9">
        <v>1938</v>
      </c>
      <c r="E312" s="9">
        <v>1911.5</v>
      </c>
      <c r="F312" s="7" t="s">
        <v>1214</v>
      </c>
      <c r="G312" s="8">
        <v>-0.0043</v>
      </c>
    </row>
    <row r="313" spans="1:7">
      <c r="A313" s="6">
        <v>45002</v>
      </c>
      <c r="B313" s="9">
        <v>1973.5</v>
      </c>
      <c r="C313" s="9">
        <v>1925.9</v>
      </c>
      <c r="D313" s="9">
        <v>1993.7</v>
      </c>
      <c r="E313" s="9">
        <v>1922.3</v>
      </c>
      <c r="F313" s="7" t="s">
        <v>1215</v>
      </c>
      <c r="G313" s="8">
        <v>0.0263</v>
      </c>
    </row>
    <row r="314" spans="1:7">
      <c r="A314" s="6">
        <v>45005</v>
      </c>
      <c r="B314" s="9">
        <v>1982.8</v>
      </c>
      <c r="C314" s="9">
        <v>1989.7</v>
      </c>
      <c r="D314" s="9">
        <v>2014.9</v>
      </c>
      <c r="E314" s="9">
        <v>1970</v>
      </c>
      <c r="F314" s="7" t="s">
        <v>1216</v>
      </c>
      <c r="G314" s="8">
        <v>0.0047</v>
      </c>
    </row>
    <row r="315" spans="1:7">
      <c r="A315" s="6">
        <v>45006</v>
      </c>
      <c r="B315" s="9">
        <v>1941.1</v>
      </c>
      <c r="C315" s="9">
        <v>1983.1</v>
      </c>
      <c r="D315" s="9">
        <v>1988.7</v>
      </c>
      <c r="E315" s="9">
        <v>1938.6</v>
      </c>
      <c r="F315" s="7" t="s">
        <v>1217</v>
      </c>
      <c r="G315" s="8">
        <v>-0.021</v>
      </c>
    </row>
    <row r="316" spans="1:7">
      <c r="A316" s="6">
        <v>45007</v>
      </c>
      <c r="B316" s="9">
        <v>1949.6</v>
      </c>
      <c r="C316" s="9">
        <v>1943.5</v>
      </c>
      <c r="D316" s="9">
        <v>1982.3</v>
      </c>
      <c r="E316" s="9">
        <v>1936.5</v>
      </c>
      <c r="F316" s="7" t="s">
        <v>1218</v>
      </c>
      <c r="G316" s="8">
        <v>0.0044</v>
      </c>
    </row>
    <row r="317" spans="1:7">
      <c r="A317" s="6">
        <v>45008</v>
      </c>
      <c r="B317" s="9">
        <v>1995.9</v>
      </c>
      <c r="C317" s="9">
        <v>1974</v>
      </c>
      <c r="D317" s="9">
        <v>2006.1</v>
      </c>
      <c r="E317" s="9">
        <v>1967.3</v>
      </c>
      <c r="F317" s="7" t="s">
        <v>1219</v>
      </c>
      <c r="G317" s="8">
        <v>0.0237</v>
      </c>
    </row>
    <row r="318" spans="1:7">
      <c r="A318" s="6">
        <v>45009</v>
      </c>
      <c r="B318" s="9">
        <v>1983.8</v>
      </c>
      <c r="C318" s="9">
        <v>1996.1</v>
      </c>
      <c r="D318" s="9">
        <v>2006.5</v>
      </c>
      <c r="E318" s="9">
        <v>1977.7</v>
      </c>
      <c r="F318" s="7" t="s">
        <v>1220</v>
      </c>
      <c r="G318" s="8">
        <v>-0.0061</v>
      </c>
    </row>
    <row r="319" spans="1:7">
      <c r="A319" s="6">
        <v>45012</v>
      </c>
      <c r="B319" s="9">
        <v>1953.8</v>
      </c>
      <c r="C319" s="9">
        <v>1982.6</v>
      </c>
      <c r="D319" s="9">
        <v>1984</v>
      </c>
      <c r="E319" s="9">
        <v>1945</v>
      </c>
      <c r="F319" s="7" t="s">
        <v>1221</v>
      </c>
      <c r="G319" s="8">
        <v>-0.0151</v>
      </c>
    </row>
    <row r="320" spans="1:7">
      <c r="A320" s="6">
        <v>45013</v>
      </c>
      <c r="B320" s="9">
        <v>1973.5</v>
      </c>
      <c r="C320" s="9">
        <v>1957.8</v>
      </c>
      <c r="D320" s="9">
        <v>1977.1</v>
      </c>
      <c r="E320" s="9">
        <v>1949.9</v>
      </c>
      <c r="F320" s="7" t="s">
        <v>1222</v>
      </c>
      <c r="G320" s="8">
        <v>0.0101</v>
      </c>
    </row>
    <row r="321" spans="1:7">
      <c r="A321" s="6">
        <v>45014</v>
      </c>
      <c r="B321" s="9">
        <v>1966.9</v>
      </c>
      <c r="C321" s="9">
        <v>1975.4</v>
      </c>
      <c r="D321" s="9">
        <v>1976</v>
      </c>
      <c r="E321" s="9">
        <v>1959.5</v>
      </c>
      <c r="F321" s="7" t="s">
        <v>1223</v>
      </c>
      <c r="G321" s="8">
        <v>-0.0033</v>
      </c>
    </row>
    <row r="322" spans="1:7">
      <c r="A322" s="6">
        <v>45015</v>
      </c>
      <c r="B322" s="9">
        <v>1988.5</v>
      </c>
      <c r="C322" s="9">
        <v>1973</v>
      </c>
      <c r="D322" s="9">
        <v>1993.3</v>
      </c>
      <c r="E322" s="9">
        <v>1962.7</v>
      </c>
      <c r="F322" s="7" t="s">
        <v>1015</v>
      </c>
      <c r="G322" s="8">
        <v>0.011</v>
      </c>
    </row>
    <row r="323" spans="1:7">
      <c r="A323" s="6">
        <v>45016</v>
      </c>
      <c r="B323" s="9">
        <v>1977</v>
      </c>
      <c r="C323" s="9">
        <v>1988.5</v>
      </c>
      <c r="D323" s="9">
        <v>1995.5</v>
      </c>
      <c r="E323" s="9">
        <v>1975.3</v>
      </c>
      <c r="F323" s="7" t="s">
        <v>1224</v>
      </c>
      <c r="G323" s="8">
        <v>-0.0058</v>
      </c>
    </row>
    <row r="324" spans="1:7">
      <c r="A324" s="6">
        <v>45019</v>
      </c>
      <c r="B324" s="9">
        <v>1991.3</v>
      </c>
      <c r="C324" s="9">
        <v>1982.6</v>
      </c>
      <c r="D324" s="9">
        <v>1998.5</v>
      </c>
      <c r="E324" s="9">
        <v>1956.9</v>
      </c>
      <c r="F324" s="7" t="s">
        <v>1225</v>
      </c>
      <c r="G324" s="8">
        <v>0.0072</v>
      </c>
    </row>
    <row r="325" spans="1:7">
      <c r="A325" s="6">
        <v>45020</v>
      </c>
      <c r="B325" s="9">
        <v>2029.4</v>
      </c>
      <c r="C325" s="9">
        <v>1993.2</v>
      </c>
      <c r="D325" s="9">
        <v>2034.2</v>
      </c>
      <c r="E325" s="9">
        <v>1985.9</v>
      </c>
      <c r="F325" s="7" t="s">
        <v>1013</v>
      </c>
      <c r="G325" s="8">
        <v>0.0191</v>
      </c>
    </row>
    <row r="326" spans="1:7">
      <c r="A326" s="6">
        <v>45021</v>
      </c>
      <c r="B326" s="9">
        <v>2026.8</v>
      </c>
      <c r="C326" s="9">
        <v>2030</v>
      </c>
      <c r="D326" s="9">
        <v>2040.1</v>
      </c>
      <c r="E326" s="9">
        <v>2018.7</v>
      </c>
      <c r="F326" s="7" t="s">
        <v>1160</v>
      </c>
      <c r="G326" s="8">
        <v>-0.0013</v>
      </c>
    </row>
    <row r="327" spans="1:7">
      <c r="A327" s="6">
        <v>45022</v>
      </c>
      <c r="B327" s="9">
        <v>2017.4</v>
      </c>
      <c r="C327" s="9">
        <v>2028.4</v>
      </c>
      <c r="D327" s="9">
        <v>2028.6</v>
      </c>
      <c r="E327" s="9">
        <v>2007.9</v>
      </c>
      <c r="F327" s="7" t="s">
        <v>1226</v>
      </c>
      <c r="G327" s="8">
        <v>-0.0046</v>
      </c>
    </row>
    <row r="328" spans="1:7">
      <c r="A328" s="6">
        <v>45026</v>
      </c>
      <c r="B328" s="9">
        <v>1994.8</v>
      </c>
      <c r="C328" s="9">
        <v>2003.6</v>
      </c>
      <c r="D328" s="9">
        <v>2011.2</v>
      </c>
      <c r="E328" s="9">
        <v>1988</v>
      </c>
      <c r="F328" s="7" t="s">
        <v>1018</v>
      </c>
      <c r="G328" s="8">
        <v>-0.0112</v>
      </c>
    </row>
    <row r="329" spans="1:7">
      <c r="A329" s="6">
        <v>45027</v>
      </c>
      <c r="B329" s="9">
        <v>2010</v>
      </c>
      <c r="C329" s="9">
        <v>1996.7</v>
      </c>
      <c r="D329" s="9">
        <v>2013.4</v>
      </c>
      <c r="E329" s="9">
        <v>1996.2</v>
      </c>
      <c r="F329" s="7" t="s">
        <v>1026</v>
      </c>
      <c r="G329" s="8">
        <v>0.0076</v>
      </c>
    </row>
    <row r="330" spans="1:7">
      <c r="A330" s="6">
        <v>45028</v>
      </c>
      <c r="B330" s="9">
        <v>2015.7</v>
      </c>
      <c r="C330" s="9">
        <v>2010</v>
      </c>
      <c r="D330" s="9">
        <v>2034.1</v>
      </c>
      <c r="E330" s="9">
        <v>2007</v>
      </c>
      <c r="F330" s="7" t="s">
        <v>1197</v>
      </c>
      <c r="G330" s="8">
        <v>0.0028</v>
      </c>
    </row>
    <row r="331" spans="1:7">
      <c r="A331" s="6">
        <v>45029</v>
      </c>
      <c r="B331" s="9">
        <v>2045.8</v>
      </c>
      <c r="C331" s="9">
        <v>2019.5</v>
      </c>
      <c r="D331" s="9">
        <v>2053</v>
      </c>
      <c r="E331" s="9">
        <v>2019.5</v>
      </c>
      <c r="F331" s="7" t="s">
        <v>976</v>
      </c>
      <c r="G331" s="8">
        <v>0.0149</v>
      </c>
    </row>
    <row r="332" spans="1:7">
      <c r="A332" s="6">
        <v>45030</v>
      </c>
      <c r="B332" s="9">
        <v>2006.5</v>
      </c>
      <c r="C332" s="9">
        <v>2044.9</v>
      </c>
      <c r="D332" s="9">
        <v>2051.9</v>
      </c>
      <c r="E332" s="9">
        <v>1996.7</v>
      </c>
      <c r="F332" s="7" t="s">
        <v>1227</v>
      </c>
      <c r="G332" s="8">
        <v>-0.0192</v>
      </c>
    </row>
    <row r="333" spans="1:7">
      <c r="A333" s="6">
        <v>45033</v>
      </c>
      <c r="B333" s="9">
        <v>1997.6</v>
      </c>
      <c r="C333" s="9">
        <v>2004.8</v>
      </c>
      <c r="D333" s="9">
        <v>2018.2</v>
      </c>
      <c r="E333" s="9">
        <v>1984.6</v>
      </c>
      <c r="F333" s="7" t="s">
        <v>1127</v>
      </c>
      <c r="G333" s="8">
        <v>-0.0044</v>
      </c>
    </row>
    <row r="334" spans="1:7">
      <c r="A334" s="6">
        <v>45034</v>
      </c>
      <c r="B334" s="9">
        <v>2010.3</v>
      </c>
      <c r="C334" s="9">
        <v>1997.1</v>
      </c>
      <c r="D334" s="9">
        <v>2013.4</v>
      </c>
      <c r="E334" s="9">
        <v>1994.5</v>
      </c>
      <c r="F334" s="7" t="s">
        <v>1171</v>
      </c>
      <c r="G334" s="8">
        <v>0.0064</v>
      </c>
    </row>
    <row r="335" spans="1:7">
      <c r="A335" s="6">
        <v>45035</v>
      </c>
      <c r="B335" s="9">
        <v>1998</v>
      </c>
      <c r="C335" s="9">
        <v>2008.5</v>
      </c>
      <c r="D335" s="9">
        <v>2009.7</v>
      </c>
      <c r="E335" s="9">
        <v>1971.9</v>
      </c>
      <c r="F335" s="7" t="s">
        <v>1228</v>
      </c>
      <c r="G335" s="8">
        <v>-0.0061</v>
      </c>
    </row>
    <row r="336" spans="1:7">
      <c r="A336" s="6">
        <v>45036</v>
      </c>
      <c r="B336" s="9">
        <v>2009.8</v>
      </c>
      <c r="C336" s="9">
        <v>1996.5</v>
      </c>
      <c r="D336" s="9">
        <v>2014.5</v>
      </c>
      <c r="E336" s="9">
        <v>1994.2</v>
      </c>
      <c r="F336" s="7" t="s">
        <v>1064</v>
      </c>
      <c r="G336" s="8">
        <v>0.0059</v>
      </c>
    </row>
    <row r="337" spans="1:7">
      <c r="A337" s="6">
        <v>45037</v>
      </c>
      <c r="B337" s="9">
        <v>1981.3</v>
      </c>
      <c r="C337" s="9">
        <v>2005.1</v>
      </c>
      <c r="D337" s="9">
        <v>2007</v>
      </c>
      <c r="E337" s="9">
        <v>1973</v>
      </c>
      <c r="F337" s="7" t="s">
        <v>1055</v>
      </c>
      <c r="G337" s="8">
        <v>-0.0142</v>
      </c>
    </row>
    <row r="338" spans="1:7">
      <c r="A338" s="6">
        <v>45040</v>
      </c>
      <c r="B338" s="9">
        <v>1990.6</v>
      </c>
      <c r="C338" s="9">
        <v>1983.2</v>
      </c>
      <c r="D338" s="9">
        <v>1991</v>
      </c>
      <c r="E338" s="9">
        <v>1975.3</v>
      </c>
      <c r="F338" s="7" t="s">
        <v>1229</v>
      </c>
      <c r="G338" s="8">
        <v>0.0047</v>
      </c>
    </row>
    <row r="339" spans="1:7">
      <c r="A339" s="6">
        <v>45041</v>
      </c>
      <c r="B339" s="9">
        <v>1995.1</v>
      </c>
      <c r="C339" s="9">
        <v>1995.4</v>
      </c>
      <c r="D339" s="9">
        <v>2005</v>
      </c>
      <c r="E339" s="9">
        <v>1979.3</v>
      </c>
      <c r="F339" s="7" t="s">
        <v>1196</v>
      </c>
      <c r="G339" s="8">
        <v>0.0023</v>
      </c>
    </row>
    <row r="340" spans="1:7">
      <c r="A340" s="6">
        <v>45042</v>
      </c>
      <c r="B340" s="9">
        <v>1986.9</v>
      </c>
      <c r="C340" s="9">
        <v>2000</v>
      </c>
      <c r="D340" s="9">
        <v>2009.8</v>
      </c>
      <c r="E340" s="9">
        <v>1986.6</v>
      </c>
      <c r="F340" s="7" t="s">
        <v>1055</v>
      </c>
      <c r="G340" s="8">
        <v>-0.0041</v>
      </c>
    </row>
    <row r="341" spans="1:7">
      <c r="A341" s="6">
        <v>45043</v>
      </c>
      <c r="B341" s="9">
        <v>1999</v>
      </c>
      <c r="C341" s="9">
        <v>1999.8</v>
      </c>
      <c r="D341" s="9">
        <v>2013.3</v>
      </c>
      <c r="E341" s="9">
        <v>1982</v>
      </c>
      <c r="F341" s="7" t="s">
        <v>1230</v>
      </c>
      <c r="G341" s="8">
        <v>0.0061</v>
      </c>
    </row>
    <row r="342" spans="1:7">
      <c r="A342" s="6">
        <v>45044</v>
      </c>
      <c r="B342" s="9">
        <v>1999.1</v>
      </c>
      <c r="C342" s="9">
        <v>1997.2</v>
      </c>
      <c r="D342" s="9">
        <v>2004.1</v>
      </c>
      <c r="E342" s="9">
        <v>1984.4</v>
      </c>
      <c r="F342" s="7" t="s">
        <v>1231</v>
      </c>
      <c r="G342" s="8">
        <v>0.0001</v>
      </c>
    </row>
    <row r="343" spans="1:7">
      <c r="A343" s="6">
        <v>45047</v>
      </c>
      <c r="B343" s="9">
        <v>1992.2</v>
      </c>
      <c r="C343" s="9">
        <v>2000.2</v>
      </c>
      <c r="D343" s="9">
        <v>2015.4</v>
      </c>
      <c r="E343" s="9">
        <v>1985.7</v>
      </c>
      <c r="F343" s="7" t="s">
        <v>1232</v>
      </c>
      <c r="G343" s="8">
        <v>-0.0035</v>
      </c>
    </row>
    <row r="344" spans="1:7">
      <c r="A344" s="6">
        <v>45048</v>
      </c>
      <c r="B344" s="9">
        <v>2023.3</v>
      </c>
      <c r="C344" s="9">
        <v>1990.5</v>
      </c>
      <c r="D344" s="9">
        <v>2028.8</v>
      </c>
      <c r="E344" s="9">
        <v>1986.9</v>
      </c>
      <c r="F344" s="7" t="s">
        <v>1233</v>
      </c>
      <c r="G344" s="8">
        <v>0.0156</v>
      </c>
    </row>
    <row r="345" spans="1:7">
      <c r="A345" s="6">
        <v>45049</v>
      </c>
      <c r="B345" s="9">
        <v>2037</v>
      </c>
      <c r="C345" s="9">
        <v>2026.4</v>
      </c>
      <c r="D345" s="9">
        <v>2050</v>
      </c>
      <c r="E345" s="9">
        <v>2016</v>
      </c>
      <c r="F345" s="7" t="s">
        <v>1234</v>
      </c>
      <c r="G345" s="8">
        <v>0.0068</v>
      </c>
    </row>
    <row r="346" spans="1:7">
      <c r="A346" s="6">
        <v>45050</v>
      </c>
      <c r="B346" s="9">
        <v>2055.7</v>
      </c>
      <c r="C346" s="9">
        <v>2054.7</v>
      </c>
      <c r="D346" s="9">
        <v>2085.4</v>
      </c>
      <c r="E346" s="9">
        <v>2038.5</v>
      </c>
      <c r="F346" s="7" t="s">
        <v>1235</v>
      </c>
      <c r="G346" s="8">
        <v>0.0092</v>
      </c>
    </row>
    <row r="347" spans="1:7">
      <c r="A347" s="6">
        <v>45051</v>
      </c>
      <c r="B347" s="9">
        <v>2024.8</v>
      </c>
      <c r="C347" s="9">
        <v>2058</v>
      </c>
      <c r="D347" s="9">
        <v>2061.3</v>
      </c>
      <c r="E347" s="9">
        <v>2007</v>
      </c>
      <c r="F347" s="7" t="s">
        <v>1236</v>
      </c>
      <c r="G347" s="8">
        <v>-0.015</v>
      </c>
    </row>
    <row r="348" spans="1:7">
      <c r="A348" s="6">
        <v>45054</v>
      </c>
      <c r="B348" s="9">
        <v>2033.2</v>
      </c>
      <c r="C348" s="9">
        <v>2024.6</v>
      </c>
      <c r="D348" s="9">
        <v>2037.1</v>
      </c>
      <c r="E348" s="9">
        <v>2022</v>
      </c>
      <c r="F348" s="7" t="s">
        <v>1237</v>
      </c>
      <c r="G348" s="8">
        <v>0.0041</v>
      </c>
    </row>
    <row r="349" spans="1:7">
      <c r="A349" s="6">
        <v>45055</v>
      </c>
      <c r="B349" s="9">
        <v>2042.9</v>
      </c>
      <c r="C349" s="9">
        <v>2028.4</v>
      </c>
      <c r="D349" s="9">
        <v>2045.1</v>
      </c>
      <c r="E349" s="9">
        <v>2026.4</v>
      </c>
      <c r="F349" s="7" t="s">
        <v>1238</v>
      </c>
      <c r="G349" s="8">
        <v>0.0048</v>
      </c>
    </row>
    <row r="350" spans="1:7">
      <c r="A350" s="6">
        <v>45056</v>
      </c>
      <c r="B350" s="9">
        <v>2037.1</v>
      </c>
      <c r="C350" s="9">
        <v>2041.6</v>
      </c>
      <c r="D350" s="9">
        <v>2056</v>
      </c>
      <c r="E350" s="9">
        <v>2028.3</v>
      </c>
      <c r="F350" s="7" t="s">
        <v>1036</v>
      </c>
      <c r="G350" s="8">
        <v>-0.0028</v>
      </c>
    </row>
    <row r="351" spans="1:7">
      <c r="A351" s="6">
        <v>45057</v>
      </c>
      <c r="B351" s="9">
        <v>2020.5</v>
      </c>
      <c r="C351" s="9">
        <v>2036.8</v>
      </c>
      <c r="D351" s="9">
        <v>2047.6</v>
      </c>
      <c r="E351" s="9">
        <v>2016.7</v>
      </c>
      <c r="F351" s="7" t="s">
        <v>1239</v>
      </c>
      <c r="G351" s="8">
        <v>-0.0081</v>
      </c>
    </row>
    <row r="352" spans="1:7">
      <c r="A352" s="6">
        <v>45058</v>
      </c>
      <c r="B352" s="9">
        <v>2019.8</v>
      </c>
      <c r="C352" s="9">
        <v>2020.5</v>
      </c>
      <c r="D352" s="9">
        <v>2027.8</v>
      </c>
      <c r="E352" s="9">
        <v>2005.7</v>
      </c>
      <c r="F352" s="7" t="s">
        <v>1240</v>
      </c>
      <c r="G352" s="8">
        <v>-0.0003</v>
      </c>
    </row>
    <row r="353" spans="1:7">
      <c r="A353" s="6">
        <v>45061</v>
      </c>
      <c r="B353" s="9">
        <v>2022.7</v>
      </c>
      <c r="C353" s="9">
        <v>2013.4</v>
      </c>
      <c r="D353" s="9">
        <v>2027.5</v>
      </c>
      <c r="E353" s="9">
        <v>2011.2</v>
      </c>
      <c r="F353" s="7" t="s">
        <v>1241</v>
      </c>
      <c r="G353" s="8">
        <v>0.0014</v>
      </c>
    </row>
    <row r="354" spans="1:7">
      <c r="A354" s="6">
        <v>45062</v>
      </c>
      <c r="B354" s="9">
        <v>1993</v>
      </c>
      <c r="C354" s="9">
        <v>2021.3</v>
      </c>
      <c r="D354" s="9">
        <v>2022.7</v>
      </c>
      <c r="E354" s="9">
        <v>1989.1</v>
      </c>
      <c r="F354" s="7" t="s">
        <v>1242</v>
      </c>
      <c r="G354" s="8">
        <v>-0.0147</v>
      </c>
    </row>
    <row r="355" spans="1:7">
      <c r="A355" s="6">
        <v>45063</v>
      </c>
      <c r="B355" s="9">
        <v>1984.9</v>
      </c>
      <c r="C355" s="9">
        <v>1993</v>
      </c>
      <c r="D355" s="9">
        <v>1997</v>
      </c>
      <c r="E355" s="9">
        <v>1978.1</v>
      </c>
      <c r="F355" s="7" t="s">
        <v>1243</v>
      </c>
      <c r="G355" s="8">
        <v>-0.0041</v>
      </c>
    </row>
    <row r="356" spans="1:7">
      <c r="A356" s="6">
        <v>45064</v>
      </c>
      <c r="B356" s="9">
        <v>1959.8</v>
      </c>
      <c r="C356" s="9">
        <v>1985.6</v>
      </c>
      <c r="D356" s="9">
        <v>1988.8</v>
      </c>
      <c r="E356" s="9">
        <v>1954.4</v>
      </c>
      <c r="F356" s="7" t="s">
        <v>1244</v>
      </c>
      <c r="G356" s="8">
        <v>-0.0126</v>
      </c>
    </row>
    <row r="357" spans="1:7">
      <c r="A357" s="6">
        <v>45065</v>
      </c>
      <c r="B357" s="9">
        <v>1981.6</v>
      </c>
      <c r="C357" s="9">
        <v>1960.5</v>
      </c>
      <c r="D357" s="9">
        <v>1987.4</v>
      </c>
      <c r="E357" s="9">
        <v>1956.3</v>
      </c>
      <c r="F357" s="7" t="s">
        <v>1245</v>
      </c>
      <c r="G357" s="8">
        <v>0.0111</v>
      </c>
    </row>
    <row r="358" spans="1:7">
      <c r="A358" s="6">
        <v>45068</v>
      </c>
      <c r="B358" s="9">
        <v>1977.2</v>
      </c>
      <c r="C358" s="9">
        <v>1979.4</v>
      </c>
      <c r="D358" s="9">
        <v>1984.8</v>
      </c>
      <c r="E358" s="9">
        <v>1970.7</v>
      </c>
      <c r="F358" s="7" t="s">
        <v>1246</v>
      </c>
      <c r="G358" s="8">
        <v>-0.0022</v>
      </c>
    </row>
    <row r="359" spans="1:7">
      <c r="A359" s="6">
        <v>45069</v>
      </c>
      <c r="B359" s="9">
        <v>1974.5</v>
      </c>
      <c r="C359" s="9">
        <v>1973.9</v>
      </c>
      <c r="D359" s="9">
        <v>1980</v>
      </c>
      <c r="E359" s="9">
        <v>1955.8</v>
      </c>
      <c r="F359" s="7" t="s">
        <v>1247</v>
      </c>
      <c r="G359" s="8">
        <v>-0.0014</v>
      </c>
    </row>
    <row r="360" spans="1:7">
      <c r="A360" s="6">
        <v>45070</v>
      </c>
      <c r="B360" s="9">
        <v>1964.6</v>
      </c>
      <c r="C360" s="9">
        <v>1977.3</v>
      </c>
      <c r="D360" s="9">
        <v>1987.9</v>
      </c>
      <c r="E360" s="9">
        <v>1958.4</v>
      </c>
      <c r="F360" s="7" t="s">
        <v>554</v>
      </c>
      <c r="G360" s="8">
        <v>-0.005</v>
      </c>
    </row>
    <row r="361" spans="1:7">
      <c r="A361" s="6">
        <v>45071</v>
      </c>
      <c r="B361" s="9">
        <v>1943.7</v>
      </c>
      <c r="C361" s="9">
        <v>1959.5</v>
      </c>
      <c r="D361" s="9">
        <v>1965.4</v>
      </c>
      <c r="E361" s="9">
        <v>1939</v>
      </c>
      <c r="F361" s="7" t="s">
        <v>1248</v>
      </c>
      <c r="G361" s="8">
        <v>-0.0106</v>
      </c>
    </row>
    <row r="362" spans="1:7">
      <c r="A362" s="6">
        <v>45072</v>
      </c>
      <c r="B362" s="9">
        <v>1944.3</v>
      </c>
      <c r="C362" s="9">
        <v>1941.7</v>
      </c>
      <c r="D362" s="9">
        <v>1957.1</v>
      </c>
      <c r="E362" s="9">
        <v>1936</v>
      </c>
      <c r="F362" s="7" t="s">
        <v>122</v>
      </c>
      <c r="G362" s="8">
        <v>0.0003</v>
      </c>
    </row>
    <row r="363" spans="1:7">
      <c r="A363" s="6">
        <v>45075</v>
      </c>
      <c r="B363" s="9">
        <v>1977.1</v>
      </c>
      <c r="C363" s="9">
        <v>1961.3</v>
      </c>
      <c r="D363" s="9">
        <v>1981.9</v>
      </c>
      <c r="E363" s="9">
        <v>1949.6</v>
      </c>
      <c r="F363" s="7" t="s">
        <v>1249</v>
      </c>
      <c r="G363" s="8">
        <v>0.0169</v>
      </c>
    </row>
    <row r="364" spans="1:7">
      <c r="A364" s="6">
        <v>45076</v>
      </c>
      <c r="B364" s="9">
        <v>1968.1</v>
      </c>
      <c r="C364" s="9">
        <v>1951.6</v>
      </c>
      <c r="D364" s="9">
        <v>1972.4</v>
      </c>
      <c r="E364" s="9">
        <v>1941.2</v>
      </c>
      <c r="F364" s="7" t="s">
        <v>1250</v>
      </c>
      <c r="G364" s="8">
        <v>-0.0046</v>
      </c>
    </row>
    <row r="365" spans="1:7">
      <c r="A365" s="6">
        <v>45077</v>
      </c>
      <c r="B365" s="9">
        <v>1973.1</v>
      </c>
      <c r="C365" s="9">
        <v>1968.4</v>
      </c>
      <c r="D365" s="9">
        <v>1984</v>
      </c>
      <c r="E365" s="9">
        <v>1963.2</v>
      </c>
      <c r="F365" s="7" t="s">
        <v>1251</v>
      </c>
      <c r="G365" s="8">
        <v>0.0025</v>
      </c>
    </row>
    <row r="366" spans="1:7">
      <c r="A366" s="6">
        <v>45078</v>
      </c>
      <c r="B366" s="9">
        <v>1986.5</v>
      </c>
      <c r="C366" s="9">
        <v>1972.3</v>
      </c>
      <c r="D366" s="9">
        <v>1991.4</v>
      </c>
      <c r="E366" s="9">
        <v>1961.3</v>
      </c>
      <c r="F366" s="7" t="s">
        <v>1099</v>
      </c>
      <c r="G366" s="8">
        <v>0.0068</v>
      </c>
    </row>
    <row r="367" spans="1:7">
      <c r="A367" s="6">
        <v>45079</v>
      </c>
      <c r="B367" s="9">
        <v>1960.6</v>
      </c>
      <c r="C367" s="9">
        <v>1985.1</v>
      </c>
      <c r="D367" s="9">
        <v>1990.9</v>
      </c>
      <c r="E367" s="9">
        <v>1955</v>
      </c>
      <c r="F367" s="7" t="s">
        <v>1252</v>
      </c>
      <c r="G367" s="8">
        <v>-0.013</v>
      </c>
    </row>
    <row r="368" spans="1:7">
      <c r="A368" s="6">
        <v>45082</v>
      </c>
      <c r="B368" s="9">
        <v>1965.7</v>
      </c>
      <c r="C368" s="9">
        <v>1954.4</v>
      </c>
      <c r="D368" s="9">
        <v>1970.8</v>
      </c>
      <c r="E368" s="9">
        <v>1945</v>
      </c>
      <c r="F368" s="7" t="s">
        <v>1253</v>
      </c>
      <c r="G368" s="8">
        <v>0.0026</v>
      </c>
    </row>
    <row r="369" spans="1:7">
      <c r="A369" s="6">
        <v>45083</v>
      </c>
      <c r="B369" s="9">
        <v>1972.9</v>
      </c>
      <c r="C369" s="9">
        <v>1968.9</v>
      </c>
      <c r="D369" s="9">
        <v>1973.6</v>
      </c>
      <c r="E369" s="9">
        <v>1962</v>
      </c>
      <c r="F369" s="7" t="s">
        <v>1057</v>
      </c>
      <c r="G369" s="8">
        <v>0.0037</v>
      </c>
    </row>
    <row r="370" spans="1:7">
      <c r="A370" s="6">
        <v>45084</v>
      </c>
      <c r="B370" s="9">
        <v>1949.9</v>
      </c>
      <c r="C370" s="9">
        <v>1971.2</v>
      </c>
      <c r="D370" s="9">
        <v>1977.5</v>
      </c>
      <c r="E370" s="9">
        <v>1947.1</v>
      </c>
      <c r="F370" s="7" t="s">
        <v>1254</v>
      </c>
      <c r="G370" s="8">
        <v>-0.0117</v>
      </c>
    </row>
    <row r="371" spans="1:7">
      <c r="A371" s="6">
        <v>45085</v>
      </c>
      <c r="B371" s="9">
        <v>1969.9</v>
      </c>
      <c r="C371" s="9">
        <v>1948.6</v>
      </c>
      <c r="D371" s="9">
        <v>1976</v>
      </c>
      <c r="E371" s="9">
        <v>1948.1</v>
      </c>
      <c r="F371" s="7" t="s">
        <v>1255</v>
      </c>
      <c r="G371" s="8">
        <v>0.0103</v>
      </c>
    </row>
    <row r="372" spans="1:7">
      <c r="A372" s="6">
        <v>45086</v>
      </c>
      <c r="B372" s="9">
        <v>1968.4</v>
      </c>
      <c r="C372" s="9">
        <v>1970.6</v>
      </c>
      <c r="D372" s="9">
        <v>1978.4</v>
      </c>
      <c r="E372" s="9">
        <v>1962.4</v>
      </c>
      <c r="F372" s="7" t="s">
        <v>981</v>
      </c>
      <c r="G372" s="8">
        <v>-0.0008</v>
      </c>
    </row>
    <row r="373" spans="1:7">
      <c r="A373" s="6">
        <v>45089</v>
      </c>
      <c r="B373" s="9">
        <v>1960.9</v>
      </c>
      <c r="C373" s="9">
        <v>1966.1</v>
      </c>
      <c r="D373" s="9">
        <v>1971.5</v>
      </c>
      <c r="E373" s="9">
        <v>1954.8</v>
      </c>
      <c r="F373" s="7" t="s">
        <v>1256</v>
      </c>
      <c r="G373" s="8">
        <v>-0.0038</v>
      </c>
    </row>
    <row r="374" spans="1:7">
      <c r="A374" s="6">
        <v>45090</v>
      </c>
      <c r="B374" s="9">
        <v>1949.9</v>
      </c>
      <c r="C374" s="9">
        <v>1962.9</v>
      </c>
      <c r="D374" s="9">
        <v>1976</v>
      </c>
      <c r="E374" s="9">
        <v>1944.5</v>
      </c>
      <c r="F374" s="7" t="s">
        <v>1225</v>
      </c>
      <c r="G374" s="8">
        <v>-0.0056</v>
      </c>
    </row>
    <row r="375" spans="1:7">
      <c r="A375" s="6">
        <v>45091</v>
      </c>
      <c r="B375" s="9">
        <v>1960.1</v>
      </c>
      <c r="C375" s="9">
        <v>1948.6</v>
      </c>
      <c r="D375" s="9">
        <v>1964.9</v>
      </c>
      <c r="E375" s="9">
        <v>1944.3</v>
      </c>
      <c r="F375" s="7" t="s">
        <v>1086</v>
      </c>
      <c r="G375" s="8">
        <v>0.0052</v>
      </c>
    </row>
    <row r="376" spans="1:7">
      <c r="A376" s="6">
        <v>45092</v>
      </c>
      <c r="B376" s="9">
        <v>1961.8</v>
      </c>
      <c r="C376" s="9">
        <v>1948.8</v>
      </c>
      <c r="D376" s="9">
        <v>1963.7</v>
      </c>
      <c r="E376" s="9">
        <v>1929.6</v>
      </c>
      <c r="F376" s="7" t="s">
        <v>1254</v>
      </c>
      <c r="G376" s="8">
        <v>0.0009</v>
      </c>
    </row>
    <row r="377" spans="1:7">
      <c r="A377" s="6">
        <v>45093</v>
      </c>
      <c r="B377" s="9">
        <v>1962.2</v>
      </c>
      <c r="C377" s="9">
        <v>1961.3</v>
      </c>
      <c r="D377" s="9">
        <v>1970.6</v>
      </c>
      <c r="E377" s="9">
        <v>1956.7</v>
      </c>
      <c r="F377" s="7" t="s">
        <v>1055</v>
      </c>
      <c r="G377" s="8">
        <v>0.0002</v>
      </c>
    </row>
    <row r="378" spans="1:7">
      <c r="A378" s="6">
        <v>45096</v>
      </c>
      <c r="B378" s="9">
        <v>1947.7</v>
      </c>
      <c r="C378" s="9">
        <v>1970.7</v>
      </c>
      <c r="D378" s="9">
        <v>1971.8</v>
      </c>
      <c r="E378" s="9">
        <v>1940.8</v>
      </c>
      <c r="F378" s="7" t="s">
        <v>1257</v>
      </c>
      <c r="G378" s="8">
        <v>-0.0074</v>
      </c>
    </row>
    <row r="379" spans="1:7">
      <c r="A379" s="6">
        <v>45097</v>
      </c>
      <c r="B379" s="9">
        <v>1938.9</v>
      </c>
      <c r="C379" s="9">
        <v>1961.7</v>
      </c>
      <c r="D379" s="9">
        <v>1961.7</v>
      </c>
      <c r="E379" s="9">
        <v>1932.4</v>
      </c>
      <c r="F379" s="7" t="s">
        <v>1127</v>
      </c>
      <c r="G379" s="8">
        <v>-0.0045</v>
      </c>
    </row>
    <row r="380" spans="1:7">
      <c r="A380" s="6">
        <v>45098</v>
      </c>
      <c r="B380" s="9">
        <v>1936.1</v>
      </c>
      <c r="C380" s="9">
        <v>1939.5</v>
      </c>
      <c r="D380" s="9">
        <v>1940.7</v>
      </c>
      <c r="E380" s="9">
        <v>1922.2</v>
      </c>
      <c r="F380" s="7" t="s">
        <v>1123</v>
      </c>
      <c r="G380" s="8">
        <v>-0.0014</v>
      </c>
    </row>
    <row r="381" spans="1:7">
      <c r="A381" s="6">
        <v>45099</v>
      </c>
      <c r="B381" s="9">
        <v>1915</v>
      </c>
      <c r="C381" s="9">
        <v>1935.9</v>
      </c>
      <c r="D381" s="9">
        <v>1935.9</v>
      </c>
      <c r="E381" s="9">
        <v>1914</v>
      </c>
      <c r="F381" s="7" t="s">
        <v>1258</v>
      </c>
      <c r="G381" s="8">
        <v>-0.0109</v>
      </c>
    </row>
    <row r="382" spans="1:7">
      <c r="A382" s="6">
        <v>45100</v>
      </c>
      <c r="B382" s="9">
        <v>1921</v>
      </c>
      <c r="C382" s="9">
        <v>1915</v>
      </c>
      <c r="D382" s="9">
        <v>1939.3</v>
      </c>
      <c r="E382" s="9">
        <v>1911.3</v>
      </c>
      <c r="F382" s="7" t="s">
        <v>1224</v>
      </c>
      <c r="G382" s="8">
        <v>0.0031</v>
      </c>
    </row>
    <row r="383" spans="1:7">
      <c r="A383" s="6">
        <v>45103</v>
      </c>
      <c r="B383" s="9">
        <v>1925.1</v>
      </c>
      <c r="C383" s="9">
        <v>1926.4</v>
      </c>
      <c r="D383" s="9">
        <v>1934.5</v>
      </c>
      <c r="E383" s="9">
        <v>1923</v>
      </c>
      <c r="F383" s="7" t="s">
        <v>949</v>
      </c>
      <c r="G383" s="8">
        <v>0.0021</v>
      </c>
    </row>
    <row r="384" spans="1:7">
      <c r="A384" s="6">
        <v>45104</v>
      </c>
      <c r="B384" s="9">
        <v>1915.1</v>
      </c>
      <c r="C384" s="9">
        <v>1927.4</v>
      </c>
      <c r="D384" s="9">
        <v>1930.2</v>
      </c>
      <c r="E384" s="9">
        <v>1912.3</v>
      </c>
      <c r="F384" s="7" t="s">
        <v>1065</v>
      </c>
      <c r="G384" s="8">
        <v>-0.0052</v>
      </c>
    </row>
    <row r="385" spans="1:7">
      <c r="A385" s="6">
        <v>45105</v>
      </c>
      <c r="B385" s="9">
        <v>1913.4</v>
      </c>
      <c r="C385" s="9">
        <v>1915.2</v>
      </c>
      <c r="D385" s="9">
        <v>1916.7</v>
      </c>
      <c r="E385" s="9">
        <v>1903.6</v>
      </c>
      <c r="F385" s="7" t="s">
        <v>1023</v>
      </c>
      <c r="G385" s="8">
        <v>-0.0009</v>
      </c>
    </row>
    <row r="386" spans="1:7">
      <c r="A386" s="6">
        <v>45106</v>
      </c>
      <c r="B386" s="9">
        <v>1917.9</v>
      </c>
      <c r="C386" s="9">
        <v>1916.5</v>
      </c>
      <c r="D386" s="9">
        <v>1921.3</v>
      </c>
      <c r="E386" s="9">
        <v>1900.6</v>
      </c>
      <c r="F386" s="7" t="s">
        <v>1259</v>
      </c>
      <c r="G386" s="8">
        <v>0.0024</v>
      </c>
    </row>
    <row r="387" spans="1:7">
      <c r="A387" s="6">
        <v>45107</v>
      </c>
      <c r="B387" s="9">
        <v>1929.4</v>
      </c>
      <c r="C387" s="9">
        <v>1916.4</v>
      </c>
      <c r="D387" s="9">
        <v>1930.8</v>
      </c>
      <c r="E387" s="9">
        <v>1908.1</v>
      </c>
      <c r="F387" s="7" t="s">
        <v>1260</v>
      </c>
      <c r="G387" s="8">
        <v>0.006</v>
      </c>
    </row>
    <row r="388" spans="1:7">
      <c r="A388" s="6">
        <v>45110</v>
      </c>
      <c r="B388" s="9">
        <v>1929.5</v>
      </c>
      <c r="C388" s="9">
        <v>1927.8</v>
      </c>
      <c r="D388" s="9">
        <v>1939.9</v>
      </c>
      <c r="E388" s="9">
        <v>1917.7</v>
      </c>
      <c r="F388" s="7" t="s">
        <v>1261</v>
      </c>
      <c r="G388" s="8">
        <v>0.0001</v>
      </c>
    </row>
    <row r="389" spans="1:7">
      <c r="A389" s="6">
        <v>45111</v>
      </c>
      <c r="B389" s="9">
        <v>1927.1</v>
      </c>
      <c r="C389" s="9">
        <v>1929.1</v>
      </c>
      <c r="D389" s="9">
        <v>1942.9</v>
      </c>
      <c r="E389" s="9">
        <v>1922.1</v>
      </c>
      <c r="F389" s="7" t="s">
        <v>1262</v>
      </c>
      <c r="G389" s="8">
        <v>-0.0012</v>
      </c>
    </row>
    <row r="390" spans="1:7">
      <c r="A390" s="6">
        <v>45112</v>
      </c>
      <c r="B390" s="9">
        <v>1927.1</v>
      </c>
      <c r="C390" s="9">
        <v>1929.1</v>
      </c>
      <c r="D390" s="9">
        <v>1942.9</v>
      </c>
      <c r="E390" s="9">
        <v>1922.1</v>
      </c>
      <c r="F390" s="7" t="s">
        <v>1262</v>
      </c>
      <c r="G390" s="8">
        <v>0</v>
      </c>
    </row>
    <row r="391" spans="1:7">
      <c r="A391" s="6">
        <v>45113</v>
      </c>
      <c r="B391" s="9">
        <v>1915.4</v>
      </c>
      <c r="C391" s="9">
        <v>1922.4</v>
      </c>
      <c r="D391" s="9">
        <v>1934</v>
      </c>
      <c r="E391" s="9">
        <v>1908.5</v>
      </c>
      <c r="F391" s="7" t="s">
        <v>1263</v>
      </c>
      <c r="G391" s="8">
        <v>-0.0061</v>
      </c>
    </row>
    <row r="392" spans="1:7">
      <c r="A392" s="6">
        <v>45114</v>
      </c>
      <c r="B392" s="9">
        <v>1932.5</v>
      </c>
      <c r="C392" s="9">
        <v>1916.6</v>
      </c>
      <c r="D392" s="9">
        <v>1941.1</v>
      </c>
      <c r="E392" s="9">
        <v>1915.4</v>
      </c>
      <c r="F392" s="7" t="s">
        <v>1264</v>
      </c>
      <c r="G392" s="8">
        <v>0.0089</v>
      </c>
    </row>
    <row r="393" spans="1:7">
      <c r="A393" s="6">
        <v>45117</v>
      </c>
      <c r="B393" s="9">
        <v>1931</v>
      </c>
      <c r="C393" s="9">
        <v>1930.7</v>
      </c>
      <c r="D393" s="9">
        <v>1933.7</v>
      </c>
      <c r="E393" s="9">
        <v>1918</v>
      </c>
      <c r="F393" s="7" t="s">
        <v>1265</v>
      </c>
      <c r="G393" s="8">
        <v>-0.0008</v>
      </c>
    </row>
    <row r="394" spans="1:7">
      <c r="A394" s="6">
        <v>45118</v>
      </c>
      <c r="B394" s="9">
        <v>1937.1</v>
      </c>
      <c r="C394" s="9">
        <v>1930.8</v>
      </c>
      <c r="D394" s="9">
        <v>1944.5</v>
      </c>
      <c r="E394" s="9">
        <v>1929.8</v>
      </c>
      <c r="F394" s="7" t="s">
        <v>1266</v>
      </c>
      <c r="G394" s="8">
        <v>0.0032</v>
      </c>
    </row>
    <row r="395" spans="1:7">
      <c r="A395" s="6">
        <v>45119</v>
      </c>
      <c r="B395" s="9">
        <v>1961.7</v>
      </c>
      <c r="C395" s="9">
        <v>1938</v>
      </c>
      <c r="D395" s="9">
        <v>1965.1</v>
      </c>
      <c r="E395" s="9">
        <v>1937.5</v>
      </c>
      <c r="F395" s="7" t="s">
        <v>1267</v>
      </c>
      <c r="G395" s="8">
        <v>0.0127</v>
      </c>
    </row>
    <row r="396" spans="1:7">
      <c r="A396" s="6">
        <v>45120</v>
      </c>
      <c r="B396" s="9">
        <v>1963.8</v>
      </c>
      <c r="C396" s="9">
        <v>1962.7</v>
      </c>
      <c r="D396" s="9">
        <v>1968.5</v>
      </c>
      <c r="E396" s="9">
        <v>1956.6</v>
      </c>
      <c r="F396" s="7" t="s">
        <v>1268</v>
      </c>
      <c r="G396" s="8">
        <v>0.0011</v>
      </c>
    </row>
    <row r="397" spans="1:7">
      <c r="A397" s="6">
        <v>45121</v>
      </c>
      <c r="B397" s="9">
        <v>1964.4</v>
      </c>
      <c r="C397" s="9">
        <v>1965.2</v>
      </c>
      <c r="D397" s="9">
        <v>1967.8</v>
      </c>
      <c r="E397" s="9">
        <v>1954.7</v>
      </c>
      <c r="F397" s="7" t="s">
        <v>1269</v>
      </c>
      <c r="G397" s="8">
        <v>0.0003</v>
      </c>
    </row>
    <row r="398" spans="1:7">
      <c r="A398" s="6">
        <v>45124</v>
      </c>
      <c r="B398" s="9">
        <v>1956.4</v>
      </c>
      <c r="C398" s="9">
        <v>1958.6</v>
      </c>
      <c r="D398" s="9">
        <v>1963.6</v>
      </c>
      <c r="E398" s="9">
        <v>1949</v>
      </c>
      <c r="F398" s="7" t="s">
        <v>1270</v>
      </c>
      <c r="G398" s="8">
        <v>-0.0041</v>
      </c>
    </row>
    <row r="399" spans="1:7">
      <c r="A399" s="6">
        <v>45125</v>
      </c>
      <c r="B399" s="9">
        <v>1980.8</v>
      </c>
      <c r="C399" s="9">
        <v>1958.3</v>
      </c>
      <c r="D399" s="9">
        <v>1988.3</v>
      </c>
      <c r="E399" s="9">
        <v>1958.1</v>
      </c>
      <c r="F399" s="7" t="s">
        <v>1271</v>
      </c>
      <c r="G399" s="8">
        <v>0.0125</v>
      </c>
    </row>
    <row r="400" spans="1:7">
      <c r="A400" s="6">
        <v>45126</v>
      </c>
      <c r="B400" s="9">
        <v>1980.8</v>
      </c>
      <c r="C400" s="9">
        <v>1982.5</v>
      </c>
      <c r="D400" s="9">
        <v>1984.6</v>
      </c>
      <c r="E400" s="9">
        <v>1973.3</v>
      </c>
      <c r="F400" s="7" t="s">
        <v>1272</v>
      </c>
      <c r="G400" s="8">
        <v>0</v>
      </c>
    </row>
    <row r="401" spans="1:7">
      <c r="A401" s="6">
        <v>45127</v>
      </c>
      <c r="B401" s="9">
        <v>1970.9</v>
      </c>
      <c r="C401" s="9">
        <v>1980</v>
      </c>
      <c r="D401" s="9">
        <v>1989.8</v>
      </c>
      <c r="E401" s="9">
        <v>1967.7</v>
      </c>
      <c r="F401" s="7" t="s">
        <v>1273</v>
      </c>
      <c r="G401" s="8">
        <v>-0.005</v>
      </c>
    </row>
    <row r="402" spans="1:7">
      <c r="A402" s="6">
        <v>45128</v>
      </c>
      <c r="B402" s="9">
        <v>1966.6</v>
      </c>
      <c r="C402" s="9">
        <v>1972.1</v>
      </c>
      <c r="D402" s="9">
        <v>1975.9</v>
      </c>
      <c r="E402" s="9">
        <v>1958.8</v>
      </c>
      <c r="F402" s="7" t="s">
        <v>1274</v>
      </c>
      <c r="G402" s="8">
        <v>-0.0022</v>
      </c>
    </row>
    <row r="403" spans="1:7">
      <c r="A403" s="6">
        <v>45131</v>
      </c>
      <c r="B403" s="9">
        <v>1962.2</v>
      </c>
      <c r="C403" s="9">
        <v>1963.6</v>
      </c>
      <c r="D403" s="9">
        <v>1969.8</v>
      </c>
      <c r="E403" s="9">
        <v>1955.3</v>
      </c>
      <c r="F403" s="7" t="s">
        <v>1275</v>
      </c>
      <c r="G403" s="8">
        <v>-0.0022</v>
      </c>
    </row>
    <row r="404" spans="1:7">
      <c r="A404" s="6">
        <v>45132</v>
      </c>
      <c r="B404" s="9">
        <v>1963.7</v>
      </c>
      <c r="C404" s="9">
        <v>1957</v>
      </c>
      <c r="D404" s="9">
        <v>1967.1</v>
      </c>
      <c r="E404" s="9">
        <v>1951.6</v>
      </c>
      <c r="F404" s="7" t="s">
        <v>1276</v>
      </c>
      <c r="G404" s="8">
        <v>0.0008</v>
      </c>
    </row>
    <row r="405" spans="1:7">
      <c r="A405" s="6">
        <v>45133</v>
      </c>
      <c r="B405" s="9">
        <v>1970.1</v>
      </c>
      <c r="C405" s="9">
        <v>1966.3</v>
      </c>
      <c r="D405" s="9">
        <v>1979.9</v>
      </c>
      <c r="E405" s="9">
        <v>1963.2</v>
      </c>
      <c r="F405" s="7" t="s">
        <v>1277</v>
      </c>
      <c r="G405" s="8">
        <v>0.0033</v>
      </c>
    </row>
    <row r="406" spans="1:7">
      <c r="A406" s="6">
        <v>45134</v>
      </c>
      <c r="B406" s="9">
        <v>1945.7</v>
      </c>
      <c r="C406" s="9">
        <v>1973.3</v>
      </c>
      <c r="D406" s="9">
        <v>1982.6</v>
      </c>
      <c r="E406" s="9">
        <v>1941.7</v>
      </c>
      <c r="F406" s="7" t="s">
        <v>1278</v>
      </c>
      <c r="G406" s="8">
        <v>-0.0124</v>
      </c>
    </row>
    <row r="407" spans="1:7">
      <c r="A407" s="6">
        <v>45135</v>
      </c>
      <c r="B407" s="9">
        <v>1970.1</v>
      </c>
      <c r="C407" s="9">
        <v>1955.5</v>
      </c>
      <c r="D407" s="9">
        <v>1972</v>
      </c>
      <c r="E407" s="9">
        <v>1953.9</v>
      </c>
      <c r="F407" s="7" t="s">
        <v>1279</v>
      </c>
      <c r="G407" s="8">
        <v>0.0125</v>
      </c>
    </row>
    <row r="408" spans="1:7">
      <c r="A408" s="6">
        <v>45138</v>
      </c>
      <c r="B408" s="9">
        <v>1979.6</v>
      </c>
      <c r="C408" s="9">
        <v>1967.9</v>
      </c>
      <c r="D408" s="9">
        <v>1981.1</v>
      </c>
      <c r="E408" s="9">
        <v>1958</v>
      </c>
      <c r="F408" s="7" t="s">
        <v>1055</v>
      </c>
      <c r="G408" s="8">
        <v>0.0048</v>
      </c>
    </row>
    <row r="409" spans="1:7">
      <c r="A409" s="6">
        <v>45139</v>
      </c>
      <c r="B409" s="9">
        <v>1949.7</v>
      </c>
      <c r="C409" s="9">
        <v>1974.3</v>
      </c>
      <c r="D409" s="9">
        <v>1974.4</v>
      </c>
      <c r="E409" s="9">
        <v>1949.6</v>
      </c>
      <c r="F409" s="7" t="s">
        <v>1280</v>
      </c>
      <c r="G409" s="8">
        <v>-0.0151</v>
      </c>
    </row>
    <row r="410" spans="1:7">
      <c r="A410" s="6">
        <v>45140</v>
      </c>
      <c r="B410" s="9">
        <v>1946</v>
      </c>
      <c r="C410" s="9">
        <v>1957.1</v>
      </c>
      <c r="D410" s="9">
        <v>1962.9</v>
      </c>
      <c r="E410" s="9">
        <v>1940.5</v>
      </c>
      <c r="F410" s="7" t="s">
        <v>1127</v>
      </c>
      <c r="G410" s="8">
        <v>-0.0019</v>
      </c>
    </row>
    <row r="411" spans="1:7">
      <c r="A411" s="6">
        <v>45141</v>
      </c>
      <c r="B411" s="9">
        <v>1939.9</v>
      </c>
      <c r="C411" s="9">
        <v>1943.2</v>
      </c>
      <c r="D411" s="9">
        <v>1945.5</v>
      </c>
      <c r="E411" s="9">
        <v>1936.6</v>
      </c>
      <c r="F411" s="7" t="s">
        <v>1021</v>
      </c>
      <c r="G411" s="8">
        <v>-0.0031</v>
      </c>
    </row>
    <row r="412" spans="1:7">
      <c r="A412" s="6">
        <v>45142</v>
      </c>
      <c r="B412" s="9">
        <v>1946.9</v>
      </c>
      <c r="C412" s="9">
        <v>1941</v>
      </c>
      <c r="D412" s="9">
        <v>1954.6</v>
      </c>
      <c r="E412" s="9">
        <v>1927.5</v>
      </c>
      <c r="F412" s="7" t="s">
        <v>1281</v>
      </c>
      <c r="G412" s="8">
        <v>0.0036</v>
      </c>
    </row>
    <row r="413" spans="1:7">
      <c r="A413" s="6">
        <v>45145</v>
      </c>
      <c r="B413" s="9">
        <v>1940.7</v>
      </c>
      <c r="C413" s="9">
        <v>1948.5</v>
      </c>
      <c r="D413" s="9">
        <v>1952</v>
      </c>
      <c r="E413" s="9">
        <v>1937</v>
      </c>
      <c r="F413" s="7" t="s">
        <v>1021</v>
      </c>
      <c r="G413" s="8">
        <v>-0.0032</v>
      </c>
    </row>
    <row r="414" spans="1:7">
      <c r="A414" s="6">
        <v>45146</v>
      </c>
      <c r="B414" s="9">
        <v>1930.8</v>
      </c>
      <c r="C414" s="9">
        <v>1941.8</v>
      </c>
      <c r="D414" s="9">
        <v>1943.4</v>
      </c>
      <c r="E414" s="9">
        <v>1928.2</v>
      </c>
      <c r="F414" s="7" t="s">
        <v>1061</v>
      </c>
      <c r="G414" s="8">
        <v>-0.0051</v>
      </c>
    </row>
    <row r="415" spans="1:7">
      <c r="A415" s="6">
        <v>45147</v>
      </c>
      <c r="B415" s="9">
        <v>1921.9</v>
      </c>
      <c r="C415" s="9">
        <v>1930.2</v>
      </c>
      <c r="D415" s="9">
        <v>1936.3</v>
      </c>
      <c r="E415" s="9">
        <v>1919.8</v>
      </c>
      <c r="F415" s="7" t="s">
        <v>1130</v>
      </c>
      <c r="G415" s="8">
        <v>-0.0046</v>
      </c>
    </row>
    <row r="416" spans="1:7">
      <c r="A416" s="6">
        <v>45148</v>
      </c>
      <c r="B416" s="9">
        <v>1920.1</v>
      </c>
      <c r="C416" s="9">
        <v>1920.6</v>
      </c>
      <c r="D416" s="9">
        <v>1934.4</v>
      </c>
      <c r="E416" s="9">
        <v>1915.9</v>
      </c>
      <c r="F416" s="7" t="s">
        <v>949</v>
      </c>
      <c r="G416" s="8">
        <v>-0.0009</v>
      </c>
    </row>
    <row r="417" spans="1:7">
      <c r="A417" s="6">
        <v>45149</v>
      </c>
      <c r="B417" s="9">
        <v>1918</v>
      </c>
      <c r="C417" s="9">
        <v>1916</v>
      </c>
      <c r="D417" s="9">
        <v>1924.5</v>
      </c>
      <c r="E417" s="9">
        <v>1914.3</v>
      </c>
      <c r="F417" s="7" t="s">
        <v>1026</v>
      </c>
      <c r="G417" s="8">
        <v>-0.0011</v>
      </c>
    </row>
    <row r="418" spans="1:7">
      <c r="A418" s="6">
        <v>45152</v>
      </c>
      <c r="B418" s="9">
        <v>1915.6</v>
      </c>
      <c r="C418" s="9">
        <v>1914.9</v>
      </c>
      <c r="D418" s="9">
        <v>1918.6</v>
      </c>
      <c r="E418" s="9">
        <v>1906</v>
      </c>
      <c r="F418" s="7" t="s">
        <v>1282</v>
      </c>
      <c r="G418" s="8">
        <v>-0.0013</v>
      </c>
    </row>
    <row r="419" spans="1:7">
      <c r="A419" s="6">
        <v>45153</v>
      </c>
      <c r="B419" s="9">
        <v>1906.9</v>
      </c>
      <c r="C419" s="9">
        <v>1911</v>
      </c>
      <c r="D419" s="9">
        <v>1915</v>
      </c>
      <c r="E419" s="9">
        <v>1899.7</v>
      </c>
      <c r="F419" s="7" t="s">
        <v>1258</v>
      </c>
      <c r="G419" s="8">
        <v>-0.0045</v>
      </c>
    </row>
    <row r="420" spans="1:7">
      <c r="A420" s="6">
        <v>45154</v>
      </c>
      <c r="B420" s="9">
        <v>1900.2</v>
      </c>
      <c r="C420" s="9">
        <v>1905.1</v>
      </c>
      <c r="D420" s="9">
        <v>1909.6</v>
      </c>
      <c r="E420" s="9">
        <v>1894.1</v>
      </c>
      <c r="F420" s="7" t="s">
        <v>1067</v>
      </c>
      <c r="G420" s="8">
        <v>-0.0035</v>
      </c>
    </row>
    <row r="421" spans="1:7">
      <c r="A421" s="6">
        <v>45155</v>
      </c>
      <c r="B421" s="9">
        <v>1887.2</v>
      </c>
      <c r="C421" s="9">
        <v>1894.6</v>
      </c>
      <c r="D421" s="9">
        <v>1904.6</v>
      </c>
      <c r="E421" s="9">
        <v>1886.6</v>
      </c>
      <c r="F421" s="7" t="s">
        <v>1095</v>
      </c>
      <c r="G421" s="8">
        <v>-0.0068</v>
      </c>
    </row>
    <row r="422" spans="1:7">
      <c r="A422" s="6">
        <v>45156</v>
      </c>
      <c r="B422" s="9">
        <v>1888.7</v>
      </c>
      <c r="C422" s="9">
        <v>1891.3</v>
      </c>
      <c r="D422" s="9">
        <v>1898</v>
      </c>
      <c r="E422" s="9">
        <v>1888.4</v>
      </c>
      <c r="F422" s="7" t="s">
        <v>1282</v>
      </c>
      <c r="G422" s="8">
        <v>0.0008</v>
      </c>
    </row>
    <row r="423" spans="1:7">
      <c r="A423" s="6">
        <v>45159</v>
      </c>
      <c r="B423" s="9">
        <v>1895.7</v>
      </c>
      <c r="C423" s="9">
        <v>1890.6</v>
      </c>
      <c r="D423" s="9">
        <v>1899.9</v>
      </c>
      <c r="E423" s="9">
        <v>1886.3</v>
      </c>
      <c r="F423" s="7" t="s">
        <v>1159</v>
      </c>
      <c r="G423" s="8">
        <v>0.0037</v>
      </c>
    </row>
    <row r="424" spans="1:7">
      <c r="A424" s="6">
        <v>45160</v>
      </c>
      <c r="B424" s="9">
        <v>1898.6</v>
      </c>
      <c r="C424" s="9">
        <v>1896.3</v>
      </c>
      <c r="D424" s="9">
        <v>1905.7</v>
      </c>
      <c r="E424" s="9">
        <v>1890.8</v>
      </c>
      <c r="F424" s="7" t="s">
        <v>1252</v>
      </c>
      <c r="G424" s="8">
        <v>0.0015</v>
      </c>
    </row>
    <row r="425" spans="1:7">
      <c r="A425" s="6">
        <v>45161</v>
      </c>
      <c r="B425" s="9">
        <v>1920.5</v>
      </c>
      <c r="C425" s="9">
        <v>1899.2</v>
      </c>
      <c r="D425" s="9">
        <v>1921.7</v>
      </c>
      <c r="E425" s="9">
        <v>1899.2</v>
      </c>
      <c r="F425" s="7" t="s">
        <v>1228</v>
      </c>
      <c r="G425" s="8">
        <v>0.0115</v>
      </c>
    </row>
    <row r="426" spans="1:7">
      <c r="A426" s="6">
        <v>45162</v>
      </c>
      <c r="B426" s="9">
        <v>1919.1</v>
      </c>
      <c r="C426" s="9">
        <v>1918.7</v>
      </c>
      <c r="D426" s="9">
        <v>1923</v>
      </c>
      <c r="E426" s="9">
        <v>1911.6</v>
      </c>
      <c r="F426" s="7" t="s">
        <v>1283</v>
      </c>
      <c r="G426" s="8">
        <v>-0.0007</v>
      </c>
    </row>
    <row r="427" spans="1:7">
      <c r="A427" s="6">
        <v>45163</v>
      </c>
      <c r="B427" s="9">
        <v>1911.9</v>
      </c>
      <c r="C427" s="9">
        <v>1916</v>
      </c>
      <c r="D427" s="9">
        <v>1921.2</v>
      </c>
      <c r="E427" s="9">
        <v>1903</v>
      </c>
      <c r="F427" s="7" t="s">
        <v>978</v>
      </c>
      <c r="G427" s="8">
        <v>-0.0038</v>
      </c>
    </row>
    <row r="428" spans="1:7">
      <c r="A428" s="6">
        <v>45166</v>
      </c>
      <c r="B428" s="9">
        <v>1918.5</v>
      </c>
      <c r="C428" s="9">
        <v>1915.2</v>
      </c>
      <c r="D428" s="9">
        <v>1926</v>
      </c>
      <c r="E428" s="9">
        <v>1912.3</v>
      </c>
      <c r="F428" s="7" t="s">
        <v>1067</v>
      </c>
      <c r="G428" s="8">
        <v>0.0035</v>
      </c>
    </row>
    <row r="429" spans="1:7">
      <c r="A429" s="6">
        <v>45167</v>
      </c>
      <c r="B429" s="9">
        <v>1936.4</v>
      </c>
      <c r="C429" s="9">
        <v>1920.3</v>
      </c>
      <c r="D429" s="9">
        <v>1937</v>
      </c>
      <c r="E429" s="9">
        <v>1914.4</v>
      </c>
      <c r="F429" s="7" t="s">
        <v>1284</v>
      </c>
      <c r="G429" s="8">
        <v>0.0093</v>
      </c>
    </row>
    <row r="430" spans="1:7">
      <c r="A430" s="6">
        <v>45168</v>
      </c>
      <c r="B430" s="9">
        <v>1954</v>
      </c>
      <c r="C430" s="9">
        <v>1947.8</v>
      </c>
      <c r="D430" s="9">
        <v>1958</v>
      </c>
      <c r="E430" s="9">
        <v>1943.8</v>
      </c>
      <c r="F430" s="7" t="s">
        <v>1285</v>
      </c>
      <c r="G430" s="8">
        <v>0.0091</v>
      </c>
    </row>
    <row r="431" spans="1:7">
      <c r="A431" s="6">
        <v>45169</v>
      </c>
      <c r="B431" s="9">
        <v>1947</v>
      </c>
      <c r="C431" s="9">
        <v>1951.8</v>
      </c>
      <c r="D431" s="9">
        <v>1955.6</v>
      </c>
      <c r="E431" s="9">
        <v>1946.6</v>
      </c>
      <c r="F431" s="7" t="s">
        <v>1286</v>
      </c>
      <c r="G431" s="8">
        <v>-0.0036</v>
      </c>
    </row>
    <row r="432" spans="1:7">
      <c r="A432" s="6">
        <v>45170</v>
      </c>
      <c r="B432" s="9">
        <v>1948.4</v>
      </c>
      <c r="C432" s="9">
        <v>1947.9</v>
      </c>
      <c r="D432" s="9">
        <v>1961.1</v>
      </c>
      <c r="E432" s="9">
        <v>1942.3</v>
      </c>
      <c r="F432" s="7" t="s">
        <v>1287</v>
      </c>
      <c r="G432" s="8">
        <v>0.0007</v>
      </c>
    </row>
    <row r="433" spans="1:7">
      <c r="A433" s="6">
        <v>45173</v>
      </c>
      <c r="B433" s="9">
        <v>1952.6</v>
      </c>
      <c r="C433" s="9">
        <v>1966.7</v>
      </c>
      <c r="D433" s="9">
        <v>1972.6</v>
      </c>
      <c r="E433" s="9">
        <v>1950.6</v>
      </c>
      <c r="F433" s="7" t="s">
        <v>1288</v>
      </c>
      <c r="G433" s="8">
        <v>0.0022</v>
      </c>
    </row>
    <row r="434" spans="1:7">
      <c r="A434" s="6">
        <v>45174</v>
      </c>
      <c r="B434" s="9">
        <v>1934.3</v>
      </c>
      <c r="C434" s="9">
        <v>1947.9</v>
      </c>
      <c r="D434" s="9">
        <v>1954.1</v>
      </c>
      <c r="E434" s="9">
        <v>1932.4</v>
      </c>
      <c r="F434" s="7" t="s">
        <v>1289</v>
      </c>
      <c r="G434" s="8">
        <v>-0.0094</v>
      </c>
    </row>
    <row r="435" spans="1:7">
      <c r="A435" s="6">
        <v>45175</v>
      </c>
      <c r="B435" s="9">
        <v>1925.8</v>
      </c>
      <c r="C435" s="9">
        <v>1933.4</v>
      </c>
      <c r="D435" s="9">
        <v>1936.1</v>
      </c>
      <c r="E435" s="9">
        <v>1921.6</v>
      </c>
      <c r="F435" s="7" t="s">
        <v>1290</v>
      </c>
      <c r="G435" s="8">
        <v>-0.0044</v>
      </c>
    </row>
    <row r="436" spans="1:7">
      <c r="A436" s="6">
        <v>45176</v>
      </c>
      <c r="B436" s="9">
        <v>1924.1</v>
      </c>
      <c r="C436" s="9">
        <v>1923.2</v>
      </c>
      <c r="D436" s="9">
        <v>1929</v>
      </c>
      <c r="E436" s="9">
        <v>1922</v>
      </c>
      <c r="F436" s="7" t="s">
        <v>1286</v>
      </c>
      <c r="G436" s="8">
        <v>-0.0009</v>
      </c>
    </row>
    <row r="437" spans="1:7">
      <c r="A437" s="6">
        <v>45177</v>
      </c>
      <c r="B437" s="9">
        <v>1924.6</v>
      </c>
      <c r="C437" s="9">
        <v>1925.7</v>
      </c>
      <c r="D437" s="9">
        <v>1935.5</v>
      </c>
      <c r="E437" s="9">
        <v>1922.8</v>
      </c>
      <c r="F437" s="7" t="s">
        <v>946</v>
      </c>
      <c r="G437" s="8">
        <v>0.0003</v>
      </c>
    </row>
    <row r="438" spans="1:7">
      <c r="A438" s="6">
        <v>45180</v>
      </c>
      <c r="B438" s="9">
        <v>1929.2</v>
      </c>
      <c r="C438" s="9">
        <v>1925.6</v>
      </c>
      <c r="D438" s="9">
        <v>1936.5</v>
      </c>
      <c r="E438" s="9">
        <v>1921.8</v>
      </c>
      <c r="F438" s="7" t="s">
        <v>1291</v>
      </c>
      <c r="G438" s="8">
        <v>0.0024</v>
      </c>
    </row>
    <row r="439" spans="1:7">
      <c r="A439" s="6">
        <v>45181</v>
      </c>
      <c r="B439" s="9">
        <v>1917.2</v>
      </c>
      <c r="C439" s="9">
        <v>1927.4</v>
      </c>
      <c r="D439" s="9">
        <v>1929.3</v>
      </c>
      <c r="E439" s="9">
        <v>1912</v>
      </c>
      <c r="F439" s="7" t="s">
        <v>1292</v>
      </c>
      <c r="G439" s="8">
        <v>-0.0062</v>
      </c>
    </row>
    <row r="440" spans="1:7">
      <c r="A440" s="6">
        <v>45182</v>
      </c>
      <c r="B440" s="9">
        <v>1914.4</v>
      </c>
      <c r="C440" s="9">
        <v>1917.8</v>
      </c>
      <c r="D440" s="9">
        <v>1920.1</v>
      </c>
      <c r="E440" s="9">
        <v>1909.6</v>
      </c>
      <c r="F440" s="7" t="s">
        <v>1293</v>
      </c>
      <c r="G440" s="8">
        <v>-0.0015</v>
      </c>
    </row>
    <row r="441" spans="1:7">
      <c r="A441" s="6">
        <v>45183</v>
      </c>
      <c r="B441" s="9">
        <v>1914.4</v>
      </c>
      <c r="C441" s="9">
        <v>1912.7</v>
      </c>
      <c r="D441" s="9">
        <v>1916</v>
      </c>
      <c r="E441" s="9">
        <v>1903.8</v>
      </c>
      <c r="F441" s="7" t="s">
        <v>1294</v>
      </c>
      <c r="G441" s="8">
        <v>0</v>
      </c>
    </row>
    <row r="442" spans="1:7">
      <c r="A442" s="6">
        <v>45184</v>
      </c>
      <c r="B442" s="9">
        <v>1927.9</v>
      </c>
      <c r="C442" s="9">
        <v>1914.1</v>
      </c>
      <c r="D442" s="9">
        <v>1934</v>
      </c>
      <c r="E442" s="9">
        <v>1913.3</v>
      </c>
      <c r="F442" s="7" t="s">
        <v>1295</v>
      </c>
      <c r="G442" s="8">
        <v>0.0071</v>
      </c>
    </row>
    <row r="443" spans="1:7">
      <c r="A443" s="6">
        <v>45187</v>
      </c>
      <c r="B443" s="9">
        <v>1935.2</v>
      </c>
      <c r="C443" s="9">
        <v>1927.7</v>
      </c>
      <c r="D443" s="9">
        <v>1937.3</v>
      </c>
      <c r="E443" s="9">
        <v>1925.8</v>
      </c>
      <c r="F443" s="7" t="s">
        <v>1296</v>
      </c>
      <c r="G443" s="8">
        <v>0.0038</v>
      </c>
    </row>
    <row r="444" spans="1:7">
      <c r="A444" s="6">
        <v>45188</v>
      </c>
      <c r="B444" s="9">
        <v>1935.3</v>
      </c>
      <c r="C444" s="9">
        <v>1936.7</v>
      </c>
      <c r="D444" s="9">
        <v>1940.3</v>
      </c>
      <c r="E444" s="9">
        <v>1932.5</v>
      </c>
      <c r="F444" s="7" t="s">
        <v>1297</v>
      </c>
      <c r="G444" s="8">
        <v>0.0001</v>
      </c>
    </row>
    <row r="445" spans="1:7">
      <c r="A445" s="6">
        <v>45189</v>
      </c>
      <c r="B445" s="9">
        <v>1948.6</v>
      </c>
      <c r="C445" s="9">
        <v>1934.7</v>
      </c>
      <c r="D445" s="9">
        <v>1950.2</v>
      </c>
      <c r="E445" s="9">
        <v>1930.4</v>
      </c>
      <c r="F445" s="7" t="s">
        <v>1298</v>
      </c>
      <c r="G445" s="8">
        <v>0.0069</v>
      </c>
    </row>
    <row r="446" spans="1:7">
      <c r="A446" s="6">
        <v>45190</v>
      </c>
      <c r="B446" s="9">
        <v>1921.2</v>
      </c>
      <c r="C446" s="9">
        <v>1932.8</v>
      </c>
      <c r="D446" s="9">
        <v>1933.6</v>
      </c>
      <c r="E446" s="9">
        <v>1915</v>
      </c>
      <c r="F446" s="7" t="s">
        <v>1299</v>
      </c>
      <c r="G446" s="8">
        <v>-0.0141</v>
      </c>
    </row>
    <row r="447" spans="1:7">
      <c r="A447" s="6">
        <v>45191</v>
      </c>
      <c r="B447" s="9">
        <v>1927.2</v>
      </c>
      <c r="C447" s="9">
        <v>1921.8</v>
      </c>
      <c r="D447" s="9">
        <v>1930.5</v>
      </c>
      <c r="E447" s="9">
        <v>1921.5</v>
      </c>
      <c r="F447" s="7" t="s">
        <v>1300</v>
      </c>
      <c r="G447" s="8">
        <v>0.0031</v>
      </c>
    </row>
    <row r="448" spans="1:7">
      <c r="A448" s="6">
        <v>45194</v>
      </c>
      <c r="B448" s="9">
        <v>1918.2</v>
      </c>
      <c r="C448" s="9">
        <v>1926.4</v>
      </c>
      <c r="D448" s="9">
        <v>1927.9</v>
      </c>
      <c r="E448" s="9">
        <v>1915.5</v>
      </c>
      <c r="F448" s="7" t="s">
        <v>1301</v>
      </c>
      <c r="G448" s="8">
        <v>-0.0047</v>
      </c>
    </row>
    <row r="449" spans="1:7">
      <c r="A449" s="6">
        <v>45195</v>
      </c>
      <c r="B449" s="9">
        <v>1901.6</v>
      </c>
      <c r="C449" s="9">
        <v>1916.7</v>
      </c>
      <c r="D449" s="9">
        <v>1917.1</v>
      </c>
      <c r="E449" s="9">
        <v>1899</v>
      </c>
      <c r="F449" s="7" t="s">
        <v>1302</v>
      </c>
      <c r="G449" s="8">
        <v>-0.0087</v>
      </c>
    </row>
    <row r="450" spans="1:7">
      <c r="A450" s="6">
        <v>45196</v>
      </c>
      <c r="B450" s="9">
        <v>1872.3</v>
      </c>
      <c r="C450" s="9">
        <v>1900.3</v>
      </c>
      <c r="D450" s="9">
        <v>1902.9</v>
      </c>
      <c r="E450" s="9">
        <v>1872.1</v>
      </c>
      <c r="F450" s="7" t="s">
        <v>1303</v>
      </c>
      <c r="G450" s="8">
        <v>-0.0154</v>
      </c>
    </row>
    <row r="451" spans="1:7">
      <c r="A451" s="6">
        <v>45197</v>
      </c>
      <c r="B451" s="9">
        <v>1869.5</v>
      </c>
      <c r="C451" s="9">
        <v>1885.4</v>
      </c>
      <c r="D451" s="9">
        <v>1886.7</v>
      </c>
      <c r="E451" s="9">
        <v>1865.5</v>
      </c>
      <c r="F451" s="7" t="s">
        <v>1304</v>
      </c>
      <c r="G451" s="8">
        <v>-0.0015</v>
      </c>
    </row>
    <row r="452" spans="1:7">
      <c r="A452" s="6">
        <v>45198</v>
      </c>
      <c r="B452" s="9">
        <v>1856.9</v>
      </c>
      <c r="C452" s="9">
        <v>1873</v>
      </c>
      <c r="D452" s="9">
        <v>1887.3</v>
      </c>
      <c r="E452" s="9">
        <v>1853.4</v>
      </c>
      <c r="F452" s="7" t="s">
        <v>1228</v>
      </c>
      <c r="G452" s="8">
        <v>-0.0067</v>
      </c>
    </row>
    <row r="453" spans="1:7">
      <c r="A453" s="6">
        <v>45201</v>
      </c>
      <c r="B453" s="9">
        <v>1838.2</v>
      </c>
      <c r="C453" s="9">
        <v>1853.9</v>
      </c>
      <c r="D453" s="9">
        <v>1855.1</v>
      </c>
      <c r="E453" s="9">
        <v>1833.8</v>
      </c>
      <c r="F453" s="7" t="s">
        <v>1254</v>
      </c>
      <c r="G453" s="8">
        <v>-0.0101</v>
      </c>
    </row>
    <row r="454" spans="1:7">
      <c r="A454" s="6">
        <v>45202</v>
      </c>
      <c r="B454" s="9">
        <v>1832.6</v>
      </c>
      <c r="C454" s="9">
        <v>1835.7</v>
      </c>
      <c r="D454" s="9">
        <v>1839.9</v>
      </c>
      <c r="E454" s="9">
        <v>1822.8</v>
      </c>
      <c r="F454" s="7" t="s">
        <v>981</v>
      </c>
      <c r="G454" s="8">
        <v>-0.003</v>
      </c>
    </row>
    <row r="455" spans="1:7">
      <c r="A455" s="6">
        <v>45203</v>
      </c>
      <c r="B455" s="9">
        <v>1826.1</v>
      </c>
      <c r="C455" s="9">
        <v>1829.1</v>
      </c>
      <c r="D455" s="9">
        <v>1836</v>
      </c>
      <c r="E455" s="9">
        <v>1823</v>
      </c>
      <c r="F455" s="7" t="s">
        <v>1021</v>
      </c>
      <c r="G455" s="8">
        <v>-0.0035</v>
      </c>
    </row>
    <row r="456" spans="1:7">
      <c r="A456" s="6">
        <v>45204</v>
      </c>
      <c r="B456" s="9">
        <v>1823.2</v>
      </c>
      <c r="C456" s="9">
        <v>1828</v>
      </c>
      <c r="D456" s="9">
        <v>1834.1</v>
      </c>
      <c r="E456" s="9">
        <v>1817.8</v>
      </c>
      <c r="F456" s="7" t="s">
        <v>981</v>
      </c>
      <c r="G456" s="8">
        <v>-0.0016</v>
      </c>
    </row>
    <row r="457" spans="1:7">
      <c r="A457" s="6">
        <v>45205</v>
      </c>
      <c r="B457" s="9">
        <v>1836.7</v>
      </c>
      <c r="C457" s="9">
        <v>1826.2</v>
      </c>
      <c r="D457" s="9">
        <v>1840.2</v>
      </c>
      <c r="E457" s="9">
        <v>1815.3</v>
      </c>
      <c r="F457" s="7" t="s">
        <v>1198</v>
      </c>
      <c r="G457" s="8">
        <v>0.0074</v>
      </c>
    </row>
    <row r="458" spans="1:7">
      <c r="A458" s="6">
        <v>45208</v>
      </c>
      <c r="B458" s="9">
        <v>1855.7</v>
      </c>
      <c r="C458" s="9">
        <v>1850.7</v>
      </c>
      <c r="D458" s="9">
        <v>1867.8</v>
      </c>
      <c r="E458" s="9">
        <v>1849.1</v>
      </c>
      <c r="F458" s="7" t="s">
        <v>1254</v>
      </c>
      <c r="G458" s="8">
        <v>0.0103</v>
      </c>
    </row>
    <row r="459" spans="1:7">
      <c r="A459" s="6">
        <v>45209</v>
      </c>
      <c r="B459" s="9">
        <v>1866.7</v>
      </c>
      <c r="C459" s="9">
        <v>1866.3</v>
      </c>
      <c r="D459" s="9">
        <v>1870</v>
      </c>
      <c r="E459" s="9">
        <v>1858.1</v>
      </c>
      <c r="F459" s="7" t="s">
        <v>1305</v>
      </c>
      <c r="G459" s="8">
        <v>0.0059</v>
      </c>
    </row>
    <row r="460" spans="1:7">
      <c r="A460" s="6">
        <v>45210</v>
      </c>
      <c r="B460" s="9">
        <v>1878.4</v>
      </c>
      <c r="C460" s="9">
        <v>1864.6</v>
      </c>
      <c r="D460" s="9">
        <v>1881.5</v>
      </c>
      <c r="E460" s="9">
        <v>1864.3</v>
      </c>
      <c r="F460" s="7" t="s">
        <v>1062</v>
      </c>
      <c r="G460" s="8">
        <v>0.0063</v>
      </c>
    </row>
    <row r="461" spans="1:7">
      <c r="A461" s="6">
        <v>45211</v>
      </c>
      <c r="B461" s="9">
        <v>1874.2</v>
      </c>
      <c r="C461" s="9">
        <v>1880.2</v>
      </c>
      <c r="D461" s="9">
        <v>1888.8</v>
      </c>
      <c r="E461" s="9">
        <v>1872.1</v>
      </c>
      <c r="F461" s="7" t="s">
        <v>1017</v>
      </c>
      <c r="G461" s="8">
        <v>-0.0022</v>
      </c>
    </row>
    <row r="462" spans="1:7">
      <c r="A462" s="6">
        <v>45212</v>
      </c>
      <c r="B462" s="9">
        <v>1932.1</v>
      </c>
      <c r="C462" s="9">
        <v>1875.2</v>
      </c>
      <c r="D462" s="9">
        <v>1934.8</v>
      </c>
      <c r="E462" s="9">
        <v>1875.2</v>
      </c>
      <c r="F462" s="7" t="s">
        <v>1306</v>
      </c>
      <c r="G462" s="8">
        <v>0.0309</v>
      </c>
    </row>
    <row r="463" spans="1:7">
      <c r="A463" s="6">
        <v>45215</v>
      </c>
      <c r="B463" s="9">
        <v>1925.1</v>
      </c>
      <c r="C463" s="9">
        <v>1931.9</v>
      </c>
      <c r="D463" s="9">
        <v>1931.9</v>
      </c>
      <c r="E463" s="9">
        <v>1912</v>
      </c>
      <c r="F463" s="7" t="s">
        <v>1024</v>
      </c>
      <c r="G463" s="8">
        <v>-0.0036</v>
      </c>
    </row>
    <row r="464" spans="1:7">
      <c r="A464" s="6">
        <v>45216</v>
      </c>
      <c r="B464" s="9">
        <v>1926.4</v>
      </c>
      <c r="C464" s="9">
        <v>1923.2</v>
      </c>
      <c r="D464" s="9">
        <v>1934.1</v>
      </c>
      <c r="E464" s="9">
        <v>1918</v>
      </c>
      <c r="F464" s="7" t="s">
        <v>1165</v>
      </c>
      <c r="G464" s="8">
        <v>0.0007</v>
      </c>
    </row>
    <row r="465" spans="1:7">
      <c r="A465" s="6">
        <v>45217</v>
      </c>
      <c r="B465" s="9">
        <v>1958.8</v>
      </c>
      <c r="C465" s="9">
        <v>1926.6</v>
      </c>
      <c r="D465" s="9">
        <v>1966.1</v>
      </c>
      <c r="E465" s="9">
        <v>1926.6</v>
      </c>
      <c r="F465" s="7" t="s">
        <v>1307</v>
      </c>
      <c r="G465" s="8">
        <v>0.0168</v>
      </c>
    </row>
    <row r="466" spans="1:7">
      <c r="A466" s="6">
        <v>45218</v>
      </c>
      <c r="B466" s="9">
        <v>1971.2</v>
      </c>
      <c r="C466" s="9">
        <v>1950.3</v>
      </c>
      <c r="D466" s="9">
        <v>1980.7</v>
      </c>
      <c r="E466" s="9">
        <v>1948.4</v>
      </c>
      <c r="F466" s="7" t="s">
        <v>970</v>
      </c>
      <c r="G466" s="8">
        <v>0.0063</v>
      </c>
    </row>
    <row r="467" spans="1:7">
      <c r="A467" s="6">
        <v>45219</v>
      </c>
      <c r="B467" s="9">
        <v>1985</v>
      </c>
      <c r="C467" s="9">
        <v>1976.5</v>
      </c>
      <c r="D467" s="9">
        <v>1998.9</v>
      </c>
      <c r="E467" s="9">
        <v>1975.7</v>
      </c>
      <c r="F467" s="7" t="s">
        <v>1060</v>
      </c>
      <c r="G467" s="8">
        <v>0.007</v>
      </c>
    </row>
    <row r="468" spans="1:7">
      <c r="A468" s="6">
        <v>45222</v>
      </c>
      <c r="B468" s="9">
        <v>1978.2</v>
      </c>
      <c r="C468" s="9">
        <v>1977.9</v>
      </c>
      <c r="D468" s="9">
        <v>1983.1</v>
      </c>
      <c r="E468" s="9">
        <v>1963.6</v>
      </c>
      <c r="F468" s="7" t="s">
        <v>1308</v>
      </c>
      <c r="G468" s="8">
        <v>-0.0034</v>
      </c>
    </row>
    <row r="469" spans="1:7">
      <c r="A469" s="6">
        <v>45223</v>
      </c>
      <c r="B469" s="9">
        <v>1976.8</v>
      </c>
      <c r="C469" s="9">
        <v>1975.1</v>
      </c>
      <c r="D469" s="9">
        <v>1980.3</v>
      </c>
      <c r="E469" s="9">
        <v>1958.3</v>
      </c>
      <c r="F469" s="7" t="s">
        <v>1052</v>
      </c>
      <c r="G469" s="8">
        <v>-0.0007</v>
      </c>
    </row>
    <row r="470" spans="1:7">
      <c r="A470" s="6">
        <v>45224</v>
      </c>
      <c r="B470" s="9">
        <v>1985.5</v>
      </c>
      <c r="C470" s="9">
        <v>1972</v>
      </c>
      <c r="D470" s="9">
        <v>1988.8</v>
      </c>
      <c r="E470" s="9">
        <v>1971</v>
      </c>
      <c r="F470" s="7" t="s">
        <v>1168</v>
      </c>
      <c r="G470" s="8">
        <v>0.0044</v>
      </c>
    </row>
    <row r="471" spans="1:7">
      <c r="A471" s="6">
        <v>45225</v>
      </c>
      <c r="B471" s="9">
        <v>1987.9</v>
      </c>
      <c r="C471" s="9">
        <v>1981.6</v>
      </c>
      <c r="D471" s="9">
        <v>1992.5</v>
      </c>
      <c r="E471" s="9">
        <v>1974.4</v>
      </c>
      <c r="F471" s="7" t="s">
        <v>1309</v>
      </c>
      <c r="G471" s="8">
        <v>0.0012</v>
      </c>
    </row>
    <row r="472" spans="1:7">
      <c r="A472" s="6">
        <v>45226</v>
      </c>
      <c r="B472" s="9">
        <v>1989</v>
      </c>
      <c r="C472" s="9">
        <v>1987.5</v>
      </c>
      <c r="D472" s="9">
        <v>2009.8</v>
      </c>
      <c r="E472" s="9">
        <v>1978.5</v>
      </c>
      <c r="F472" s="7" t="s">
        <v>1258</v>
      </c>
      <c r="G472" s="8">
        <v>0.0006</v>
      </c>
    </row>
    <row r="473" spans="1:7">
      <c r="A473" s="6">
        <v>45229</v>
      </c>
      <c r="B473" s="9">
        <v>2005.6</v>
      </c>
      <c r="C473" s="9">
        <v>2013.5</v>
      </c>
      <c r="D473" s="9">
        <v>2016.8</v>
      </c>
      <c r="E473" s="9">
        <v>1999.7</v>
      </c>
      <c r="F473" s="7" t="s">
        <v>1310</v>
      </c>
      <c r="G473" s="8">
        <v>0.0083</v>
      </c>
    </row>
    <row r="474" spans="1:7">
      <c r="A474" s="6">
        <v>45230</v>
      </c>
      <c r="B474" s="9">
        <v>1994.3</v>
      </c>
      <c r="C474" s="9">
        <v>2005.6</v>
      </c>
      <c r="D474" s="9">
        <v>2017.7</v>
      </c>
      <c r="E474" s="9">
        <v>1987.4</v>
      </c>
      <c r="F474" s="7" t="s">
        <v>1311</v>
      </c>
      <c r="G474" s="8">
        <v>-0.0056</v>
      </c>
    </row>
    <row r="475" spans="1:7">
      <c r="A475" s="6">
        <v>45231</v>
      </c>
      <c r="B475" s="9">
        <v>1987.5</v>
      </c>
      <c r="C475" s="9">
        <v>1993.3</v>
      </c>
      <c r="D475" s="9">
        <v>2005.9</v>
      </c>
      <c r="E475" s="9">
        <v>1978.2</v>
      </c>
      <c r="F475" s="7" t="s">
        <v>1312</v>
      </c>
      <c r="G475" s="8">
        <v>-0.0034</v>
      </c>
    </row>
    <row r="476" spans="1:7">
      <c r="A476" s="6">
        <v>45232</v>
      </c>
      <c r="B476" s="9">
        <v>1993.5</v>
      </c>
      <c r="C476" s="9">
        <v>1992</v>
      </c>
      <c r="D476" s="9">
        <v>1999.2</v>
      </c>
      <c r="E476" s="9">
        <v>1986.3</v>
      </c>
      <c r="F476" s="7" t="s">
        <v>1313</v>
      </c>
      <c r="G476" s="8">
        <v>0.003</v>
      </c>
    </row>
    <row r="477" spans="1:7">
      <c r="A477" s="6">
        <v>45233</v>
      </c>
      <c r="B477" s="9">
        <v>1999.2</v>
      </c>
      <c r="C477" s="9">
        <v>1993.5</v>
      </c>
      <c r="D477" s="9">
        <v>2011.9</v>
      </c>
      <c r="E477" s="9">
        <v>1989.3</v>
      </c>
      <c r="F477" s="7" t="s">
        <v>1314</v>
      </c>
      <c r="G477" s="8">
        <v>0.0029</v>
      </c>
    </row>
    <row r="478" spans="1:7">
      <c r="A478" s="6">
        <v>45236</v>
      </c>
      <c r="B478" s="9">
        <v>1988.6</v>
      </c>
      <c r="C478" s="9">
        <v>1999.4</v>
      </c>
      <c r="D478" s="9">
        <v>2000.1</v>
      </c>
      <c r="E478" s="9">
        <v>1984.2</v>
      </c>
      <c r="F478" s="7" t="s">
        <v>1315</v>
      </c>
      <c r="G478" s="8">
        <v>-0.0053</v>
      </c>
    </row>
    <row r="479" spans="1:7">
      <c r="A479" s="6">
        <v>45237</v>
      </c>
      <c r="B479" s="9">
        <v>1973.5</v>
      </c>
      <c r="C479" s="9">
        <v>1984.8</v>
      </c>
      <c r="D479" s="9">
        <v>1985.2</v>
      </c>
      <c r="E479" s="9">
        <v>1962.8</v>
      </c>
      <c r="F479" s="7" t="s">
        <v>1316</v>
      </c>
      <c r="G479" s="8">
        <v>-0.0076</v>
      </c>
    </row>
    <row r="480" spans="1:7">
      <c r="A480" s="6">
        <v>45238</v>
      </c>
      <c r="B480" s="9">
        <v>1957.8</v>
      </c>
      <c r="C480" s="9">
        <v>1975.3</v>
      </c>
      <c r="D480" s="9">
        <v>1977.5</v>
      </c>
      <c r="E480" s="9">
        <v>1953.2</v>
      </c>
      <c r="F480" s="7" t="s">
        <v>1317</v>
      </c>
      <c r="G480" s="8">
        <v>-0.008</v>
      </c>
    </row>
    <row r="481" spans="1:7">
      <c r="A481" s="6">
        <v>45239</v>
      </c>
      <c r="B481" s="9">
        <v>1969.8</v>
      </c>
      <c r="C481" s="9">
        <v>1955.5</v>
      </c>
      <c r="D481" s="9">
        <v>1971.5</v>
      </c>
      <c r="E481" s="9">
        <v>1948.3</v>
      </c>
      <c r="F481" s="7" t="s">
        <v>1318</v>
      </c>
      <c r="G481" s="8">
        <v>0.0061</v>
      </c>
    </row>
    <row r="482" spans="1:7">
      <c r="A482" s="6">
        <v>45240</v>
      </c>
      <c r="B482" s="9">
        <v>1937.7</v>
      </c>
      <c r="C482" s="9">
        <v>1964.1</v>
      </c>
      <c r="D482" s="9">
        <v>1965.6</v>
      </c>
      <c r="E482" s="9">
        <v>1936.9</v>
      </c>
      <c r="F482" s="7" t="s">
        <v>1319</v>
      </c>
      <c r="G482" s="8">
        <v>-0.0163</v>
      </c>
    </row>
    <row r="483" spans="1:7">
      <c r="A483" s="6">
        <v>45243</v>
      </c>
      <c r="B483" s="9">
        <v>1950.2</v>
      </c>
      <c r="C483" s="9">
        <v>1943.4</v>
      </c>
      <c r="D483" s="9">
        <v>1953.5</v>
      </c>
      <c r="E483" s="9">
        <v>1935.6</v>
      </c>
      <c r="F483" s="7" t="s">
        <v>1320</v>
      </c>
      <c r="G483" s="8">
        <v>0.0065</v>
      </c>
    </row>
    <row r="484" spans="1:7">
      <c r="A484" s="6">
        <v>45244</v>
      </c>
      <c r="B484" s="9">
        <v>1966.5</v>
      </c>
      <c r="C484" s="9">
        <v>1950.3</v>
      </c>
      <c r="D484" s="9">
        <v>1975.3</v>
      </c>
      <c r="E484" s="9">
        <v>1938.8</v>
      </c>
      <c r="F484" s="7" t="s">
        <v>1321</v>
      </c>
      <c r="G484" s="8">
        <v>0.0084</v>
      </c>
    </row>
    <row r="485" spans="1:7">
      <c r="A485" s="6">
        <v>45245</v>
      </c>
      <c r="B485" s="9">
        <v>1964.3</v>
      </c>
      <c r="C485" s="9">
        <v>1966.9</v>
      </c>
      <c r="D485" s="9">
        <v>1979.2</v>
      </c>
      <c r="E485" s="9">
        <v>1958.8</v>
      </c>
      <c r="F485" s="7" t="s">
        <v>1322</v>
      </c>
      <c r="G485" s="8">
        <v>-0.0011</v>
      </c>
    </row>
    <row r="486" spans="1:7">
      <c r="A486" s="6">
        <v>45246</v>
      </c>
      <c r="B486" s="9">
        <v>1987.3</v>
      </c>
      <c r="C486" s="9">
        <v>1963</v>
      </c>
      <c r="D486" s="9">
        <v>1991.1</v>
      </c>
      <c r="E486" s="9">
        <v>1959</v>
      </c>
      <c r="F486" s="7" t="s">
        <v>1323</v>
      </c>
      <c r="G486" s="8">
        <v>0.0117</v>
      </c>
    </row>
    <row r="487" spans="1:7">
      <c r="A487" s="6">
        <v>45247</v>
      </c>
      <c r="B487" s="9">
        <v>1984.7</v>
      </c>
      <c r="C487" s="9">
        <v>1984.2</v>
      </c>
      <c r="D487" s="9">
        <v>1996.4</v>
      </c>
      <c r="E487" s="9">
        <v>1981.1</v>
      </c>
      <c r="F487" s="7" t="s">
        <v>1324</v>
      </c>
      <c r="G487" s="8">
        <v>-0.0013</v>
      </c>
    </row>
    <row r="488" spans="1:7">
      <c r="A488" s="6">
        <v>45250</v>
      </c>
      <c r="B488" s="9">
        <v>1980.3</v>
      </c>
      <c r="C488" s="9">
        <v>1980.9</v>
      </c>
      <c r="D488" s="9">
        <v>1987.8</v>
      </c>
      <c r="E488" s="9">
        <v>1967.2</v>
      </c>
      <c r="F488" s="7" t="s">
        <v>1325</v>
      </c>
      <c r="G488" s="8">
        <v>-0.0022</v>
      </c>
    </row>
    <row r="489" spans="1:7">
      <c r="A489" s="6">
        <v>45251</v>
      </c>
      <c r="B489" s="9">
        <v>2001.6</v>
      </c>
      <c r="C489" s="9">
        <v>1980</v>
      </c>
      <c r="D489" s="9">
        <v>2009.8</v>
      </c>
      <c r="E489" s="9">
        <v>1979.9</v>
      </c>
      <c r="F489" s="7" t="s">
        <v>1326</v>
      </c>
      <c r="G489" s="8">
        <v>0.0108</v>
      </c>
    </row>
    <row r="490" spans="1:7">
      <c r="A490" s="6">
        <v>45252</v>
      </c>
      <c r="B490" s="9">
        <v>1992.8</v>
      </c>
      <c r="C490" s="9">
        <v>2000.3</v>
      </c>
      <c r="D490" s="9">
        <v>2008.3</v>
      </c>
      <c r="E490" s="9">
        <v>1988.6</v>
      </c>
      <c r="F490" s="7" t="s">
        <v>155</v>
      </c>
      <c r="G490" s="8">
        <v>-0.0044</v>
      </c>
    </row>
    <row r="491" spans="1:7">
      <c r="A491" s="6">
        <v>45253</v>
      </c>
      <c r="B491" s="9">
        <v>2003</v>
      </c>
      <c r="C491" s="9">
        <v>1991.2</v>
      </c>
      <c r="D491" s="9">
        <v>2004.5</v>
      </c>
      <c r="E491" s="9">
        <v>1990.9</v>
      </c>
      <c r="F491" s="7" t="s">
        <v>1327</v>
      </c>
      <c r="G491" s="8">
        <v>0.0051</v>
      </c>
    </row>
    <row r="492" spans="1:7">
      <c r="A492" s="6">
        <v>45254</v>
      </c>
      <c r="B492" s="9">
        <v>2003</v>
      </c>
      <c r="C492" s="9">
        <v>1991.2</v>
      </c>
      <c r="D492" s="9">
        <v>2004.5</v>
      </c>
      <c r="E492" s="9">
        <v>1990.9</v>
      </c>
      <c r="F492" s="7" t="s">
        <v>1327</v>
      </c>
      <c r="G492" s="8">
        <v>0</v>
      </c>
    </row>
    <row r="493" spans="1:7">
      <c r="A493" s="6">
        <v>45257</v>
      </c>
      <c r="B493" s="9">
        <v>2012.4</v>
      </c>
      <c r="C493" s="9">
        <v>2002.5</v>
      </c>
      <c r="D493" s="9">
        <v>2018.9</v>
      </c>
      <c r="E493" s="9">
        <v>2001.4</v>
      </c>
      <c r="F493" s="7" t="s">
        <v>1328</v>
      </c>
      <c r="G493" s="8">
        <v>0.0047</v>
      </c>
    </row>
    <row r="494" spans="1:7">
      <c r="A494" s="6">
        <v>45258</v>
      </c>
      <c r="B494" s="9">
        <v>2040</v>
      </c>
      <c r="C494" s="9">
        <v>2014.3</v>
      </c>
      <c r="D494" s="9">
        <v>2044.1</v>
      </c>
      <c r="E494" s="9">
        <v>2011.5</v>
      </c>
      <c r="F494" s="7" t="s">
        <v>611</v>
      </c>
      <c r="G494" s="8">
        <v>0.0137</v>
      </c>
    </row>
    <row r="495" spans="1:7">
      <c r="A495" s="6">
        <v>45259</v>
      </c>
      <c r="B495" s="9">
        <v>2057.5</v>
      </c>
      <c r="C495" s="9">
        <v>2053.2</v>
      </c>
      <c r="D495" s="9">
        <v>2062.3</v>
      </c>
      <c r="E495" s="9">
        <v>2047.5</v>
      </c>
      <c r="F495" s="7" t="s">
        <v>1329</v>
      </c>
      <c r="G495" s="8">
        <v>0.0086</v>
      </c>
    </row>
    <row r="496" spans="1:7">
      <c r="A496" s="6">
        <v>45260</v>
      </c>
      <c r="B496" s="9">
        <v>2047.6</v>
      </c>
      <c r="C496" s="9">
        <v>2055.8</v>
      </c>
      <c r="D496" s="9">
        <v>2057.5</v>
      </c>
      <c r="E496" s="9">
        <v>2042.6</v>
      </c>
      <c r="F496" s="7" t="s">
        <v>1058</v>
      </c>
      <c r="G496" s="8">
        <v>-0.0048</v>
      </c>
    </row>
    <row r="497" spans="1:7">
      <c r="A497" s="6">
        <v>45261</v>
      </c>
      <c r="B497" s="9">
        <v>2080.4</v>
      </c>
      <c r="C497" s="9">
        <v>2049</v>
      </c>
      <c r="D497" s="9">
        <v>2086.2</v>
      </c>
      <c r="E497" s="9">
        <v>2043.4</v>
      </c>
      <c r="F497" s="7" t="s">
        <v>1014</v>
      </c>
      <c r="G497" s="8">
        <v>0.016</v>
      </c>
    </row>
    <row r="498" spans="1:7">
      <c r="A498" s="6">
        <v>45264</v>
      </c>
      <c r="B498" s="9">
        <v>2032.9</v>
      </c>
      <c r="C498" s="9">
        <v>2083.4</v>
      </c>
      <c r="D498" s="9">
        <v>2140.7</v>
      </c>
      <c r="E498" s="9">
        <v>2030</v>
      </c>
      <c r="F498" s="7" t="s">
        <v>1330</v>
      </c>
      <c r="G498" s="8">
        <v>-0.0228</v>
      </c>
    </row>
    <row r="499" spans="1:7">
      <c r="A499" s="6">
        <v>45265</v>
      </c>
      <c r="B499" s="9">
        <v>2026.9</v>
      </c>
      <c r="C499" s="9">
        <v>2039.2</v>
      </c>
      <c r="D499" s="9">
        <v>2050</v>
      </c>
      <c r="E499" s="9">
        <v>2019.9</v>
      </c>
      <c r="F499" s="7" t="s">
        <v>1331</v>
      </c>
      <c r="G499" s="8">
        <v>-0.003</v>
      </c>
    </row>
    <row r="500" spans="1:7">
      <c r="A500" s="6">
        <v>45266</v>
      </c>
      <c r="B500" s="9">
        <v>2038.4</v>
      </c>
      <c r="C500" s="9">
        <v>2028.3</v>
      </c>
      <c r="D500" s="9">
        <v>2042.8</v>
      </c>
      <c r="E500" s="9">
        <v>2027</v>
      </c>
      <c r="F500" s="7" t="s">
        <v>1096</v>
      </c>
      <c r="G500" s="8">
        <v>0.0057</v>
      </c>
    </row>
    <row r="501" spans="1:7">
      <c r="A501" s="6">
        <v>45267</v>
      </c>
      <c r="B501" s="9">
        <v>2036.9</v>
      </c>
      <c r="C501" s="9">
        <v>2034.7</v>
      </c>
      <c r="D501" s="9">
        <v>2047.3</v>
      </c>
      <c r="E501" s="9">
        <v>2027.4</v>
      </c>
      <c r="F501" s="7" t="s">
        <v>1019</v>
      </c>
      <c r="G501" s="8">
        <v>-0.0007</v>
      </c>
    </row>
    <row r="502" spans="1:7">
      <c r="A502" s="6">
        <v>45268</v>
      </c>
      <c r="B502" s="9">
        <v>2004.9</v>
      </c>
      <c r="C502" s="9">
        <v>2034.7</v>
      </c>
      <c r="D502" s="9">
        <v>2039.6</v>
      </c>
      <c r="E502" s="9">
        <v>2000.8</v>
      </c>
      <c r="F502" s="7" t="s">
        <v>970</v>
      </c>
      <c r="G502" s="8">
        <v>-0.0157</v>
      </c>
    </row>
    <row r="503" spans="1:7">
      <c r="A503" s="6">
        <v>45271</v>
      </c>
      <c r="B503" s="9">
        <v>1984.3</v>
      </c>
      <c r="C503" s="9">
        <v>2010.6</v>
      </c>
      <c r="D503" s="9">
        <v>2013.2</v>
      </c>
      <c r="E503" s="9">
        <v>1982.1</v>
      </c>
      <c r="F503" s="7" t="s">
        <v>1162</v>
      </c>
      <c r="G503" s="8">
        <v>-0.0103</v>
      </c>
    </row>
    <row r="504" spans="1:7">
      <c r="A504" s="6">
        <v>45272</v>
      </c>
      <c r="B504" s="9">
        <v>1983.9</v>
      </c>
      <c r="C504" s="9">
        <v>1989</v>
      </c>
      <c r="D504" s="9">
        <v>2002.7</v>
      </c>
      <c r="E504" s="9">
        <v>1983.5</v>
      </c>
      <c r="F504" s="7" t="s">
        <v>1020</v>
      </c>
      <c r="G504" s="8">
        <v>-0.0002</v>
      </c>
    </row>
    <row r="505" spans="1:7">
      <c r="A505" s="6">
        <v>45273</v>
      </c>
      <c r="B505" s="9">
        <v>1988.1</v>
      </c>
      <c r="C505" s="9">
        <v>1985.5</v>
      </c>
      <c r="D505" s="9">
        <v>2033.3</v>
      </c>
      <c r="E505" s="9">
        <v>1979</v>
      </c>
      <c r="F505" s="7" t="s">
        <v>1332</v>
      </c>
      <c r="G505" s="8">
        <v>0.0021</v>
      </c>
    </row>
    <row r="506" spans="1:7">
      <c r="A506" s="6">
        <v>45274</v>
      </c>
      <c r="B506" s="9">
        <v>2035.2</v>
      </c>
      <c r="C506" s="9">
        <v>2031.6</v>
      </c>
      <c r="D506" s="9">
        <v>2053</v>
      </c>
      <c r="E506" s="9">
        <v>2030.6</v>
      </c>
      <c r="F506" s="7" t="s">
        <v>1164</v>
      </c>
      <c r="G506" s="8">
        <v>0.0237</v>
      </c>
    </row>
    <row r="507" spans="1:7">
      <c r="A507" s="6">
        <v>45275</v>
      </c>
      <c r="B507" s="9">
        <v>2026</v>
      </c>
      <c r="C507" s="9">
        <v>2038</v>
      </c>
      <c r="D507" s="9">
        <v>2049.6</v>
      </c>
      <c r="E507" s="9">
        <v>2020</v>
      </c>
      <c r="F507" s="7" t="s">
        <v>1023</v>
      </c>
      <c r="G507" s="8">
        <v>-0.0045</v>
      </c>
    </row>
    <row r="508" spans="1:7">
      <c r="A508" s="6">
        <v>45278</v>
      </c>
      <c r="B508" s="9">
        <v>2030.9</v>
      </c>
      <c r="C508" s="9">
        <v>2023.7</v>
      </c>
      <c r="D508" s="9">
        <v>2036.3</v>
      </c>
      <c r="E508" s="9">
        <v>2020.8</v>
      </c>
      <c r="F508" s="7" t="s">
        <v>1333</v>
      </c>
      <c r="G508" s="8">
        <v>0.0024</v>
      </c>
    </row>
    <row r="509" spans="1:7">
      <c r="A509" s="6">
        <v>45279</v>
      </c>
      <c r="B509" s="9">
        <v>2042.6</v>
      </c>
      <c r="C509" s="9">
        <v>2031</v>
      </c>
      <c r="D509" s="9">
        <v>2050</v>
      </c>
      <c r="E509" s="9">
        <v>2025.4</v>
      </c>
      <c r="F509" s="7" t="s">
        <v>1024</v>
      </c>
      <c r="G509" s="8">
        <v>0.0058</v>
      </c>
    </row>
    <row r="510" spans="1:7">
      <c r="A510" s="6">
        <v>45280</v>
      </c>
      <c r="B510" s="9">
        <v>2038.1</v>
      </c>
      <c r="C510" s="9">
        <v>2043.5</v>
      </c>
      <c r="D510" s="9">
        <v>2045.9</v>
      </c>
      <c r="E510" s="9">
        <v>2031.6</v>
      </c>
      <c r="F510" s="7" t="s">
        <v>1125</v>
      </c>
      <c r="G510" s="8">
        <v>-0.0022</v>
      </c>
    </row>
    <row r="511" spans="1:7">
      <c r="A511" s="6">
        <v>45281</v>
      </c>
      <c r="B511" s="9">
        <v>2041.8</v>
      </c>
      <c r="C511" s="9">
        <v>2034.7</v>
      </c>
      <c r="D511" s="9">
        <v>2048</v>
      </c>
      <c r="E511" s="9">
        <v>2034</v>
      </c>
      <c r="F511" s="7" t="s">
        <v>1229</v>
      </c>
      <c r="G511" s="8">
        <v>0.0018</v>
      </c>
    </row>
    <row r="512" spans="1:7">
      <c r="A512" s="6">
        <v>45282</v>
      </c>
      <c r="B512" s="9">
        <v>2059.6</v>
      </c>
      <c r="C512" s="9">
        <v>2051.5</v>
      </c>
      <c r="D512" s="9">
        <v>2072.3</v>
      </c>
      <c r="E512" s="9">
        <v>2049.4</v>
      </c>
      <c r="F512" s="7" t="s">
        <v>1256</v>
      </c>
      <c r="G512" s="8">
        <v>0.0087</v>
      </c>
    </row>
    <row r="513" spans="1:7">
      <c r="A513" s="6">
        <v>45286</v>
      </c>
      <c r="B513" s="9">
        <v>2060.4</v>
      </c>
      <c r="C513" s="9">
        <v>2056.3</v>
      </c>
      <c r="D513" s="9">
        <v>2069.6</v>
      </c>
      <c r="E513" s="9">
        <v>2056.3</v>
      </c>
      <c r="F513" s="7" t="s">
        <v>1334</v>
      </c>
      <c r="G513" s="8">
        <v>0.0004</v>
      </c>
    </row>
    <row r="514" spans="1:7">
      <c r="A514" s="6">
        <v>45287</v>
      </c>
      <c r="B514" s="9">
        <v>2083.4</v>
      </c>
      <c r="C514" s="9">
        <v>2068</v>
      </c>
      <c r="D514" s="9">
        <v>2085.3</v>
      </c>
      <c r="E514" s="9">
        <v>2063.3</v>
      </c>
      <c r="F514" s="7" t="s">
        <v>1134</v>
      </c>
      <c r="G514" s="8">
        <v>0.0112</v>
      </c>
    </row>
    <row r="515" spans="1:7">
      <c r="A515" s="6">
        <v>45288</v>
      </c>
      <c r="B515" s="9">
        <v>2083.5</v>
      </c>
      <c r="C515" s="9">
        <v>2089.5</v>
      </c>
      <c r="D515" s="9">
        <v>2098.2</v>
      </c>
      <c r="E515" s="9">
        <v>2074.6</v>
      </c>
      <c r="F515" s="7" t="s">
        <v>1335</v>
      </c>
      <c r="G515" s="8">
        <v>0</v>
      </c>
    </row>
    <row r="516" spans="1:7">
      <c r="A516" s="6">
        <v>45289</v>
      </c>
      <c r="B516" s="9">
        <v>2071.8</v>
      </c>
      <c r="C516" s="9">
        <v>2076.1</v>
      </c>
      <c r="D516" s="9">
        <v>2084.1</v>
      </c>
      <c r="E516" s="9">
        <v>2067.6</v>
      </c>
      <c r="F516" s="7" t="s">
        <v>1336</v>
      </c>
      <c r="G516" s="8">
        <v>-0.0056</v>
      </c>
    </row>
    <row r="517" spans="1:7">
      <c r="A517" s="6">
        <v>45293</v>
      </c>
      <c r="B517" s="9">
        <v>2073.4</v>
      </c>
      <c r="C517" s="9">
        <v>2072.7</v>
      </c>
      <c r="D517" s="9">
        <v>2088.1</v>
      </c>
      <c r="E517" s="9">
        <v>2064.3</v>
      </c>
      <c r="F517" s="7" t="s">
        <v>630</v>
      </c>
      <c r="G517" s="8">
        <v>0.0008</v>
      </c>
    </row>
    <row r="518" spans="1:7">
      <c r="A518" s="6">
        <v>45294</v>
      </c>
      <c r="B518" s="9">
        <v>2042.8</v>
      </c>
      <c r="C518" s="9">
        <v>2067.9</v>
      </c>
      <c r="D518" s="9">
        <v>2074.3</v>
      </c>
      <c r="E518" s="9">
        <v>2038.3</v>
      </c>
      <c r="F518" s="7" t="s">
        <v>1337</v>
      </c>
      <c r="G518" s="8">
        <v>-0.0148</v>
      </c>
    </row>
    <row r="519" spans="1:7">
      <c r="A519" s="6">
        <v>45295</v>
      </c>
      <c r="B519" s="9">
        <v>2050</v>
      </c>
      <c r="C519" s="9">
        <v>2049.3</v>
      </c>
      <c r="D519" s="9">
        <v>2058.1</v>
      </c>
      <c r="E519" s="9">
        <v>2043.3</v>
      </c>
      <c r="F519" s="7" t="s">
        <v>1338</v>
      </c>
      <c r="G519" s="8">
        <v>0.0035</v>
      </c>
    </row>
    <row r="520" spans="1:7">
      <c r="A520" s="6">
        <v>45296</v>
      </c>
      <c r="B520" s="9">
        <v>2049.8</v>
      </c>
      <c r="C520" s="9">
        <v>2051.4</v>
      </c>
      <c r="D520" s="9">
        <v>2071.1</v>
      </c>
      <c r="E520" s="9">
        <v>2030.8</v>
      </c>
      <c r="F520" s="7" t="s">
        <v>1339</v>
      </c>
      <c r="G520" s="8">
        <v>-0.0001</v>
      </c>
    </row>
    <row r="521" spans="1:7">
      <c r="A521" s="6">
        <v>45299</v>
      </c>
      <c r="B521" s="9">
        <v>2033.5</v>
      </c>
      <c r="C521" s="9">
        <v>2052.6</v>
      </c>
      <c r="D521" s="9">
        <v>2053.3</v>
      </c>
      <c r="E521" s="9">
        <v>2022.7</v>
      </c>
      <c r="F521" s="7" t="s">
        <v>1340</v>
      </c>
      <c r="G521" s="8">
        <v>-0.008</v>
      </c>
    </row>
    <row r="522" spans="1:7">
      <c r="A522" s="6">
        <v>45300</v>
      </c>
      <c r="B522" s="9">
        <v>2033</v>
      </c>
      <c r="C522" s="9">
        <v>2034.5</v>
      </c>
      <c r="D522" s="9">
        <v>2048.6</v>
      </c>
      <c r="E522" s="9">
        <v>2031.9</v>
      </c>
      <c r="F522" s="7" t="s">
        <v>1341</v>
      </c>
      <c r="G522" s="8">
        <v>-0.0002</v>
      </c>
    </row>
    <row r="523" spans="1:7">
      <c r="A523" s="6">
        <v>45301</v>
      </c>
      <c r="B523" s="9">
        <v>2027.8</v>
      </c>
      <c r="C523" s="9">
        <v>2036</v>
      </c>
      <c r="D523" s="9">
        <v>2046.2</v>
      </c>
      <c r="E523" s="9">
        <v>2025.9</v>
      </c>
      <c r="F523" s="7" t="s">
        <v>927</v>
      </c>
      <c r="G523" s="8">
        <v>-0.0026</v>
      </c>
    </row>
    <row r="524" spans="1:7">
      <c r="A524" s="6">
        <v>45302</v>
      </c>
      <c r="B524" s="9">
        <v>2019.2</v>
      </c>
      <c r="C524" s="9">
        <v>2029.4</v>
      </c>
      <c r="D524" s="9">
        <v>2056.1</v>
      </c>
      <c r="E524" s="9">
        <v>2017.3</v>
      </c>
      <c r="F524" s="7" t="s">
        <v>1342</v>
      </c>
      <c r="G524" s="8">
        <v>-0.0042</v>
      </c>
    </row>
    <row r="525" spans="1:7">
      <c r="A525" s="6">
        <v>45303</v>
      </c>
      <c r="B525" s="9">
        <v>2051.6</v>
      </c>
      <c r="C525" s="9">
        <v>2033.2</v>
      </c>
      <c r="D525" s="9">
        <v>2067.3</v>
      </c>
      <c r="E525" s="9">
        <v>2033.1</v>
      </c>
      <c r="F525" s="7" t="s">
        <v>1343</v>
      </c>
      <c r="G525" s="8">
        <v>0.016</v>
      </c>
    </row>
    <row r="526" spans="1:7">
      <c r="A526" s="6">
        <v>45306</v>
      </c>
      <c r="B526" s="9">
        <v>2030.2</v>
      </c>
      <c r="C526" s="9">
        <v>2053.4</v>
      </c>
      <c r="D526" s="9">
        <v>2062.8</v>
      </c>
      <c r="E526" s="9">
        <v>2027.6</v>
      </c>
      <c r="F526" s="7" t="s">
        <v>1344</v>
      </c>
      <c r="G526" s="8">
        <v>-0.0104</v>
      </c>
    </row>
    <row r="527" spans="1:7">
      <c r="A527" s="6">
        <v>45307</v>
      </c>
      <c r="B527" s="9">
        <v>2030.2</v>
      </c>
      <c r="C527" s="9">
        <v>2053.4</v>
      </c>
      <c r="D527" s="9">
        <v>2062.8</v>
      </c>
      <c r="E527" s="9">
        <v>2027.6</v>
      </c>
      <c r="F527" s="7" t="s">
        <v>1344</v>
      </c>
      <c r="G527" s="8">
        <v>0</v>
      </c>
    </row>
    <row r="528" spans="1:7">
      <c r="A528" s="6">
        <v>45308</v>
      </c>
      <c r="B528" s="9">
        <v>2006.5</v>
      </c>
      <c r="C528" s="9">
        <v>2031.7</v>
      </c>
      <c r="D528" s="9">
        <v>2036.1</v>
      </c>
      <c r="E528" s="9">
        <v>2004.6</v>
      </c>
      <c r="F528" s="7" t="s">
        <v>1345</v>
      </c>
      <c r="G528" s="8">
        <v>-0.0117</v>
      </c>
    </row>
    <row r="529" spans="1:7">
      <c r="A529" s="6">
        <v>45309</v>
      </c>
      <c r="B529" s="9">
        <v>2021.6</v>
      </c>
      <c r="C529" s="9">
        <v>2009.1</v>
      </c>
      <c r="D529" s="9">
        <v>2025.6</v>
      </c>
      <c r="E529" s="9">
        <v>2007.7</v>
      </c>
      <c r="F529" s="7" t="s">
        <v>1346</v>
      </c>
      <c r="G529" s="8">
        <v>0.0075</v>
      </c>
    </row>
    <row r="530" spans="1:7">
      <c r="A530" s="6">
        <v>45310</v>
      </c>
      <c r="B530" s="9">
        <v>2029.3</v>
      </c>
      <c r="C530" s="9">
        <v>2027.4</v>
      </c>
      <c r="D530" s="9">
        <v>2041.9</v>
      </c>
      <c r="E530" s="9">
        <v>2022.2</v>
      </c>
      <c r="F530" s="7" t="s">
        <v>1347</v>
      </c>
      <c r="G530" s="8">
        <v>0.0038</v>
      </c>
    </row>
    <row r="531" spans="1:7">
      <c r="A531" s="6">
        <v>45313</v>
      </c>
      <c r="B531" s="9">
        <v>2022.2</v>
      </c>
      <c r="C531" s="9">
        <v>2031.8</v>
      </c>
      <c r="D531" s="9">
        <v>2034.1</v>
      </c>
      <c r="E531" s="9">
        <v>2017.4</v>
      </c>
      <c r="F531" s="7" t="s">
        <v>1348</v>
      </c>
      <c r="G531" s="8">
        <v>-0.0035</v>
      </c>
    </row>
    <row r="532" spans="1:7">
      <c r="A532" s="6">
        <v>45314</v>
      </c>
      <c r="B532" s="9">
        <v>2025.8</v>
      </c>
      <c r="C532" s="9">
        <v>2023.2</v>
      </c>
      <c r="D532" s="9">
        <v>2039.3</v>
      </c>
      <c r="E532" s="9">
        <v>2020.8</v>
      </c>
      <c r="F532" s="7" t="s">
        <v>1349</v>
      </c>
      <c r="G532" s="8">
        <v>0.0018</v>
      </c>
    </row>
    <row r="533" spans="1:7">
      <c r="A533" s="6">
        <v>45315</v>
      </c>
      <c r="B533" s="9">
        <v>2016</v>
      </c>
      <c r="C533" s="9">
        <v>2030.7</v>
      </c>
      <c r="D533" s="9">
        <v>2037.9</v>
      </c>
      <c r="E533" s="9">
        <v>2011.7</v>
      </c>
      <c r="F533" s="7" t="s">
        <v>1350</v>
      </c>
      <c r="G533" s="8">
        <v>-0.0048</v>
      </c>
    </row>
    <row r="534" spans="1:7">
      <c r="A534" s="6">
        <v>45316</v>
      </c>
      <c r="B534" s="9">
        <v>2017.8</v>
      </c>
      <c r="C534" s="9">
        <v>2014.8</v>
      </c>
      <c r="D534" s="9">
        <v>2025.6</v>
      </c>
      <c r="E534" s="9">
        <v>2004</v>
      </c>
      <c r="F534" s="7" t="s">
        <v>1351</v>
      </c>
      <c r="G534" s="8">
        <v>0.0009</v>
      </c>
    </row>
    <row r="535" spans="1:7">
      <c r="A535" s="6">
        <v>45317</v>
      </c>
      <c r="B535" s="9">
        <v>2017.3</v>
      </c>
      <c r="C535" s="9">
        <v>2021</v>
      </c>
      <c r="D535" s="9">
        <v>2028.1</v>
      </c>
      <c r="E535" s="9">
        <v>2015.6</v>
      </c>
      <c r="F535" s="7" t="s">
        <v>1352</v>
      </c>
      <c r="G535" s="8">
        <v>-0.0002</v>
      </c>
    </row>
    <row r="536" spans="1:7">
      <c r="A536" s="6">
        <v>45320</v>
      </c>
      <c r="B536" s="9">
        <v>2025.4</v>
      </c>
      <c r="C536" s="9">
        <v>2024.4</v>
      </c>
      <c r="D536" s="9">
        <v>2037.2</v>
      </c>
      <c r="E536" s="9">
        <v>2018.8</v>
      </c>
      <c r="F536" s="7" t="s">
        <v>1353</v>
      </c>
      <c r="G536" s="8">
        <v>0.004</v>
      </c>
    </row>
    <row r="537" spans="1:7">
      <c r="A537" s="6">
        <v>45321</v>
      </c>
      <c r="B537" s="9">
        <v>2041.1</v>
      </c>
      <c r="C537" s="9">
        <v>2041.7</v>
      </c>
      <c r="D537" s="9">
        <v>2057.3</v>
      </c>
      <c r="E537" s="9">
        <v>2037.6</v>
      </c>
      <c r="F537" s="7" t="s">
        <v>1354</v>
      </c>
      <c r="G537" s="8">
        <v>0.0078</v>
      </c>
    </row>
    <row r="538" spans="1:7">
      <c r="A538" s="6">
        <v>45322</v>
      </c>
      <c r="B538" s="9">
        <v>2057.4</v>
      </c>
      <c r="C538" s="9">
        <v>2044.8</v>
      </c>
      <c r="D538" s="9">
        <v>2064.1</v>
      </c>
      <c r="E538" s="9">
        <v>2038.9</v>
      </c>
      <c r="F538" s="7" t="s">
        <v>1355</v>
      </c>
      <c r="G538" s="8">
        <v>0.008</v>
      </c>
    </row>
    <row r="539" spans="1:7">
      <c r="A539" s="6">
        <v>45323</v>
      </c>
      <c r="B539" s="9">
        <v>2061.2</v>
      </c>
      <c r="C539" s="9">
        <v>2047.7</v>
      </c>
      <c r="D539" s="9">
        <v>2072.9</v>
      </c>
      <c r="E539" s="9">
        <v>2036.9</v>
      </c>
      <c r="F539" s="7" t="s">
        <v>1356</v>
      </c>
      <c r="G539" s="8">
        <v>0.0018</v>
      </c>
    </row>
    <row r="540" spans="1:7">
      <c r="A540" s="6">
        <v>45324</v>
      </c>
      <c r="B540" s="9">
        <v>2043.9</v>
      </c>
      <c r="C540" s="9">
        <v>2062.3</v>
      </c>
      <c r="D540" s="9">
        <v>2064.5</v>
      </c>
      <c r="E540" s="9">
        <v>2034.5</v>
      </c>
      <c r="F540" s="7" t="s">
        <v>1357</v>
      </c>
      <c r="G540" s="8">
        <v>-0.0084</v>
      </c>
    </row>
    <row r="541" spans="1:7">
      <c r="A541" s="6">
        <v>45327</v>
      </c>
      <c r="B541" s="9">
        <v>2032.9</v>
      </c>
      <c r="C541" s="9">
        <v>2047.6</v>
      </c>
      <c r="D541" s="9">
        <v>2048</v>
      </c>
      <c r="E541" s="9">
        <v>2021</v>
      </c>
      <c r="F541" s="7" t="s">
        <v>1018</v>
      </c>
      <c r="G541" s="8">
        <v>-0.0054</v>
      </c>
    </row>
    <row r="542" spans="1:7">
      <c r="A542" s="6">
        <v>45328</v>
      </c>
      <c r="B542" s="9">
        <v>2041.5</v>
      </c>
      <c r="C542" s="9">
        <v>2031.8</v>
      </c>
      <c r="D542" s="9">
        <v>2045.3</v>
      </c>
      <c r="E542" s="9">
        <v>2029.3</v>
      </c>
      <c r="F542" s="7" t="s">
        <v>1023</v>
      </c>
      <c r="G542" s="8">
        <v>0.0042</v>
      </c>
    </row>
    <row r="543" spans="1:7">
      <c r="A543" s="6">
        <v>45329</v>
      </c>
      <c r="B543" s="9">
        <v>2041.8</v>
      </c>
      <c r="C543" s="9">
        <v>2042.2</v>
      </c>
      <c r="D543" s="9">
        <v>2051</v>
      </c>
      <c r="E543" s="9">
        <v>2037</v>
      </c>
      <c r="F543" s="7" t="s">
        <v>1021</v>
      </c>
      <c r="G543" s="8">
        <v>0.0001</v>
      </c>
    </row>
    <row r="544" spans="1:7">
      <c r="A544" s="6">
        <v>45330</v>
      </c>
      <c r="B544" s="9">
        <v>2038.1</v>
      </c>
      <c r="C544" s="9">
        <v>2041.1</v>
      </c>
      <c r="D544" s="9">
        <v>2043.5</v>
      </c>
      <c r="E544" s="9">
        <v>2024.6</v>
      </c>
      <c r="F544" s="7" t="s">
        <v>1025</v>
      </c>
      <c r="G544" s="8">
        <v>-0.0018</v>
      </c>
    </row>
    <row r="545" spans="1:7">
      <c r="A545" s="6">
        <v>45331</v>
      </c>
      <c r="B545" s="9">
        <v>2028.8</v>
      </c>
      <c r="C545" s="9">
        <v>2039.3</v>
      </c>
      <c r="D545" s="9">
        <v>2041.7</v>
      </c>
      <c r="E545" s="9">
        <v>2024.7</v>
      </c>
      <c r="F545" s="7" t="s">
        <v>1019</v>
      </c>
      <c r="G545" s="8">
        <v>-0.0046</v>
      </c>
    </row>
    <row r="546" spans="1:7">
      <c r="A546" s="6">
        <v>45334</v>
      </c>
      <c r="B546" s="9">
        <v>2023.4</v>
      </c>
      <c r="C546" s="9">
        <v>2030.8</v>
      </c>
      <c r="D546" s="9">
        <v>2031.1</v>
      </c>
      <c r="E546" s="9">
        <v>2015.8</v>
      </c>
      <c r="F546" s="7" t="s">
        <v>972</v>
      </c>
      <c r="G546" s="8">
        <v>-0.0027</v>
      </c>
    </row>
    <row r="547" spans="1:7">
      <c r="A547" s="6">
        <v>45335</v>
      </c>
      <c r="B547" s="9">
        <v>1997.7</v>
      </c>
      <c r="C547" s="9">
        <v>2023.8</v>
      </c>
      <c r="D547" s="9">
        <v>2035.5</v>
      </c>
      <c r="E547" s="9">
        <v>1993.4</v>
      </c>
      <c r="F547" s="7" t="s">
        <v>1085</v>
      </c>
      <c r="G547" s="8">
        <v>-0.0127</v>
      </c>
    </row>
    <row r="548" spans="1:7">
      <c r="A548" s="6">
        <v>45336</v>
      </c>
      <c r="B548" s="9">
        <v>1994.7</v>
      </c>
      <c r="C548" s="9">
        <v>1994.9</v>
      </c>
      <c r="D548" s="9">
        <v>1998.7</v>
      </c>
      <c r="E548" s="9">
        <v>1987.2</v>
      </c>
      <c r="F548" s="7" t="s">
        <v>1358</v>
      </c>
      <c r="G548" s="8">
        <v>-0.0015</v>
      </c>
    </row>
    <row r="549" spans="1:7">
      <c r="A549" s="6">
        <v>45337</v>
      </c>
      <c r="B549" s="9">
        <v>2005.3</v>
      </c>
      <c r="C549" s="9">
        <v>1995.1</v>
      </c>
      <c r="D549" s="9">
        <v>2010.4</v>
      </c>
      <c r="E549" s="9">
        <v>1992.7</v>
      </c>
      <c r="F549" s="7" t="s">
        <v>1086</v>
      </c>
      <c r="G549" s="8">
        <v>0.0053</v>
      </c>
    </row>
    <row r="550" spans="1:7">
      <c r="A550" s="6">
        <v>45338</v>
      </c>
      <c r="B550" s="9">
        <v>2014.4</v>
      </c>
      <c r="C550" s="9">
        <v>2006.5</v>
      </c>
      <c r="D550" s="9">
        <v>2017.4</v>
      </c>
      <c r="E550" s="9">
        <v>1997.4</v>
      </c>
      <c r="F550" s="7" t="s">
        <v>1359</v>
      </c>
      <c r="G550" s="8">
        <v>0.0045</v>
      </c>
    </row>
    <row r="551" spans="1:7">
      <c r="A551" s="6">
        <v>45341</v>
      </c>
      <c r="B551" s="9">
        <v>2039.8</v>
      </c>
      <c r="C551" s="9">
        <v>2027.7</v>
      </c>
      <c r="D551" s="9">
        <v>2042.7</v>
      </c>
      <c r="E551" s="9">
        <v>2023.9</v>
      </c>
      <c r="F551" s="7" t="s">
        <v>1360</v>
      </c>
      <c r="G551" s="8">
        <v>0.0126</v>
      </c>
    </row>
    <row r="552" spans="1:7">
      <c r="A552" s="6">
        <v>45342</v>
      </c>
      <c r="B552" s="9">
        <v>2030</v>
      </c>
      <c r="C552" s="9">
        <v>2017.7</v>
      </c>
      <c r="D552" s="9">
        <v>2032.1</v>
      </c>
      <c r="E552" s="9">
        <v>2015.5</v>
      </c>
      <c r="F552" s="7" t="s">
        <v>1361</v>
      </c>
      <c r="G552" s="8">
        <v>-0.0048</v>
      </c>
    </row>
    <row r="553" spans="1:7">
      <c r="A553" s="6">
        <v>45343</v>
      </c>
      <c r="B553" s="9">
        <v>2024.5</v>
      </c>
      <c r="C553" s="9">
        <v>2025.4</v>
      </c>
      <c r="D553" s="9">
        <v>2033</v>
      </c>
      <c r="E553" s="9">
        <v>2021.6</v>
      </c>
      <c r="F553" s="7" t="s">
        <v>1013</v>
      </c>
      <c r="G553" s="8">
        <v>-0.0027</v>
      </c>
    </row>
    <row r="554" spans="1:7">
      <c r="A554" s="6">
        <v>45344</v>
      </c>
      <c r="B554" s="9">
        <v>2020.8</v>
      </c>
      <c r="C554" s="9">
        <v>2026.6</v>
      </c>
      <c r="D554" s="9">
        <v>2035</v>
      </c>
      <c r="E554" s="9">
        <v>2019.7</v>
      </c>
      <c r="F554" s="7" t="s">
        <v>1362</v>
      </c>
      <c r="G554" s="8">
        <v>-0.0018</v>
      </c>
    </row>
    <row r="555" spans="1:7">
      <c r="A555" s="6">
        <v>45345</v>
      </c>
      <c r="B555" s="9">
        <v>2039.4</v>
      </c>
      <c r="C555" s="9">
        <v>2024.1</v>
      </c>
      <c r="D555" s="9">
        <v>2041.5</v>
      </c>
      <c r="E555" s="9">
        <v>2015.6</v>
      </c>
      <c r="F555" s="7" t="s">
        <v>1095</v>
      </c>
      <c r="G555" s="8">
        <v>0.0092</v>
      </c>
    </row>
    <row r="556" spans="1:7">
      <c r="A556" s="6">
        <v>45348</v>
      </c>
      <c r="B556" s="9">
        <v>2029.1</v>
      </c>
      <c r="C556" s="9">
        <v>2033.7</v>
      </c>
      <c r="D556" s="9">
        <v>2036.3</v>
      </c>
      <c r="E556" s="9">
        <v>2025</v>
      </c>
      <c r="F556" s="7" t="s">
        <v>1255</v>
      </c>
      <c r="G556" s="8">
        <v>-0.0051</v>
      </c>
    </row>
    <row r="557" spans="1:7">
      <c r="A557" s="6">
        <v>45349</v>
      </c>
      <c r="B557" s="9">
        <v>2034.4</v>
      </c>
      <c r="C557" s="9">
        <v>2031</v>
      </c>
      <c r="D557" s="9">
        <v>2038</v>
      </c>
      <c r="E557" s="9">
        <v>2028.7</v>
      </c>
      <c r="F557" s="7" t="s">
        <v>982</v>
      </c>
      <c r="G557" s="8">
        <v>0.0026</v>
      </c>
    </row>
    <row r="558" spans="1:7">
      <c r="A558" s="6">
        <v>45350</v>
      </c>
      <c r="B558" s="9">
        <v>2042.7</v>
      </c>
      <c r="C558" s="9">
        <v>2039.7</v>
      </c>
      <c r="D558" s="9">
        <v>2047.4</v>
      </c>
      <c r="E558" s="9">
        <v>2033.4</v>
      </c>
      <c r="F558" s="7" t="s">
        <v>1363</v>
      </c>
      <c r="G558" s="8">
        <v>0.0041</v>
      </c>
    </row>
    <row r="559" spans="1:7">
      <c r="A559" s="6">
        <v>45351</v>
      </c>
      <c r="B559" s="9">
        <v>2054.7</v>
      </c>
      <c r="C559" s="9">
        <v>2043.8</v>
      </c>
      <c r="D559" s="9">
        <v>2059.4</v>
      </c>
      <c r="E559" s="9">
        <v>2036</v>
      </c>
      <c r="F559" s="7" t="s">
        <v>1364</v>
      </c>
      <c r="G559" s="8">
        <v>0.0059</v>
      </c>
    </row>
    <row r="560" spans="1:7">
      <c r="A560" s="6">
        <v>45352</v>
      </c>
      <c r="B560" s="9">
        <v>2095.7</v>
      </c>
      <c r="C560" s="9">
        <v>2052.8</v>
      </c>
      <c r="D560" s="9">
        <v>2097.1</v>
      </c>
      <c r="E560" s="9">
        <v>2047</v>
      </c>
      <c r="F560" s="7" t="s">
        <v>1365</v>
      </c>
      <c r="G560" s="8">
        <v>0.02</v>
      </c>
    </row>
    <row r="561" spans="1:7">
      <c r="A561" s="6">
        <v>45355</v>
      </c>
      <c r="B561" s="9">
        <v>2126.3</v>
      </c>
      <c r="C561" s="9">
        <v>2091.6</v>
      </c>
      <c r="D561" s="9">
        <v>2128.4</v>
      </c>
      <c r="E561" s="9">
        <v>2088.1</v>
      </c>
      <c r="F561" s="7" t="s">
        <v>1366</v>
      </c>
      <c r="G561" s="8">
        <v>0.0146</v>
      </c>
    </row>
    <row r="562" spans="1:7">
      <c r="A562" s="6">
        <v>45356</v>
      </c>
      <c r="B562" s="9">
        <v>2141.9</v>
      </c>
      <c r="C562" s="9">
        <v>2123.3</v>
      </c>
      <c r="D562" s="9">
        <v>2150.5</v>
      </c>
      <c r="E562" s="9">
        <v>2118.5</v>
      </c>
      <c r="F562" s="7" t="s">
        <v>1367</v>
      </c>
      <c r="G562" s="8">
        <v>0.0073</v>
      </c>
    </row>
    <row r="563" spans="1:7">
      <c r="A563" s="6">
        <v>45357</v>
      </c>
      <c r="B563" s="9">
        <v>2158.2</v>
      </c>
      <c r="C563" s="9">
        <v>2136.4</v>
      </c>
      <c r="D563" s="9">
        <v>2160.7</v>
      </c>
      <c r="E563" s="9">
        <v>2131.9</v>
      </c>
      <c r="F563" s="7" t="s">
        <v>1368</v>
      </c>
      <c r="G563" s="8">
        <v>0.0076</v>
      </c>
    </row>
    <row r="564" spans="1:7">
      <c r="A564" s="6">
        <v>45358</v>
      </c>
      <c r="B564" s="9">
        <v>2165.2</v>
      </c>
      <c r="C564" s="9">
        <v>2156.7</v>
      </c>
      <c r="D564" s="9">
        <v>2172.2</v>
      </c>
      <c r="E564" s="9">
        <v>2151.7</v>
      </c>
      <c r="F564" s="7" t="s">
        <v>1369</v>
      </c>
      <c r="G564" s="8">
        <v>0.0032</v>
      </c>
    </row>
    <row r="565" spans="1:7">
      <c r="A565" s="6">
        <v>45359</v>
      </c>
      <c r="B565" s="9">
        <v>2185.5</v>
      </c>
      <c r="C565" s="9">
        <v>2166.6</v>
      </c>
      <c r="D565" s="9">
        <v>2203</v>
      </c>
      <c r="E565" s="9">
        <v>2161.2</v>
      </c>
      <c r="F565" s="7" t="s">
        <v>1370</v>
      </c>
      <c r="G565" s="8">
        <v>0.0094</v>
      </c>
    </row>
    <row r="566" spans="1:7">
      <c r="A566" s="6">
        <v>45362</v>
      </c>
      <c r="B566" s="9">
        <v>2188.6</v>
      </c>
      <c r="C566" s="9">
        <v>2187.6</v>
      </c>
      <c r="D566" s="9">
        <v>2195.5</v>
      </c>
      <c r="E566" s="9">
        <v>2180.9</v>
      </c>
      <c r="F566" s="7" t="s">
        <v>1371</v>
      </c>
      <c r="G566" s="8">
        <v>0.0014</v>
      </c>
    </row>
    <row r="567" spans="1:7">
      <c r="A567" s="6">
        <v>45363</v>
      </c>
      <c r="B567" s="9">
        <v>2166.1</v>
      </c>
      <c r="C567" s="9">
        <v>2189.1</v>
      </c>
      <c r="D567" s="9">
        <v>2190.8</v>
      </c>
      <c r="E567" s="9">
        <v>2156.2</v>
      </c>
      <c r="F567" s="7" t="s">
        <v>1372</v>
      </c>
      <c r="G567" s="8">
        <v>-0.0103</v>
      </c>
    </row>
    <row r="568" spans="1:7">
      <c r="A568" s="6">
        <v>45364</v>
      </c>
      <c r="B568" s="9">
        <v>2180.8</v>
      </c>
      <c r="C568" s="9">
        <v>2163.6</v>
      </c>
      <c r="D568" s="9">
        <v>2185.6</v>
      </c>
      <c r="E568" s="9">
        <v>2161.3</v>
      </c>
      <c r="F568" s="7" t="s">
        <v>1373</v>
      </c>
      <c r="G568" s="8">
        <v>0.0068</v>
      </c>
    </row>
    <row r="569" spans="1:7">
      <c r="A569" s="6">
        <v>45365</v>
      </c>
      <c r="B569" s="9">
        <v>2167.5</v>
      </c>
      <c r="C569" s="9">
        <v>2179.5</v>
      </c>
      <c r="D569" s="9">
        <v>2181.3</v>
      </c>
      <c r="E569" s="9">
        <v>2157</v>
      </c>
      <c r="F569" s="7" t="s">
        <v>1374</v>
      </c>
      <c r="G569" s="8">
        <v>-0.0061</v>
      </c>
    </row>
    <row r="570" spans="1:7">
      <c r="A570" s="6">
        <v>45366</v>
      </c>
      <c r="B570" s="9">
        <v>2161.5</v>
      </c>
      <c r="C570" s="9">
        <v>2166.2</v>
      </c>
      <c r="D570" s="9">
        <v>2176.9</v>
      </c>
      <c r="E570" s="9">
        <v>2158.7</v>
      </c>
      <c r="F570" s="7" t="s">
        <v>1375</v>
      </c>
      <c r="G570" s="8">
        <v>-0.0028</v>
      </c>
    </row>
    <row r="571" spans="1:7">
      <c r="A571" s="6">
        <v>45369</v>
      </c>
      <c r="B571" s="9">
        <v>2164.3</v>
      </c>
      <c r="C571" s="9">
        <v>2159.9</v>
      </c>
      <c r="D571" s="9">
        <v>2167.2</v>
      </c>
      <c r="E571" s="9">
        <v>2149.2</v>
      </c>
      <c r="F571" s="7" t="s">
        <v>1376</v>
      </c>
      <c r="G571" s="8">
        <v>0.0013</v>
      </c>
    </row>
    <row r="572" spans="1:7">
      <c r="A572" s="6">
        <v>45370</v>
      </c>
      <c r="B572" s="9">
        <v>2159.7</v>
      </c>
      <c r="C572" s="9">
        <v>2164</v>
      </c>
      <c r="D572" s="9">
        <v>2166.3</v>
      </c>
      <c r="E572" s="9">
        <v>2150.2</v>
      </c>
      <c r="F572" s="7" t="s">
        <v>1377</v>
      </c>
      <c r="G572" s="8">
        <v>-0.0021</v>
      </c>
    </row>
    <row r="573" spans="1:7">
      <c r="A573" s="6">
        <v>45371</v>
      </c>
      <c r="B573" s="9">
        <v>2161</v>
      </c>
      <c r="C573" s="9">
        <v>2161.4</v>
      </c>
      <c r="D573" s="9">
        <v>2192.2</v>
      </c>
      <c r="E573" s="9">
        <v>2152.3</v>
      </c>
      <c r="F573" s="7" t="s">
        <v>1378</v>
      </c>
      <c r="G573" s="8">
        <v>0.0006</v>
      </c>
    </row>
    <row r="574" spans="1:7">
      <c r="A574" s="6">
        <v>45372</v>
      </c>
      <c r="B574" s="9">
        <v>2184.7</v>
      </c>
      <c r="C574" s="9">
        <v>2190.2</v>
      </c>
      <c r="D574" s="9">
        <v>2225.3</v>
      </c>
      <c r="E574" s="9">
        <v>2168.2</v>
      </c>
      <c r="F574" s="7" t="s">
        <v>1379</v>
      </c>
      <c r="G574" s="8">
        <v>0.011</v>
      </c>
    </row>
    <row r="575" spans="1:7">
      <c r="A575" s="6">
        <v>45373</v>
      </c>
      <c r="B575" s="9">
        <v>2160</v>
      </c>
      <c r="C575" s="9">
        <v>2183.4</v>
      </c>
      <c r="D575" s="9">
        <v>2188</v>
      </c>
      <c r="E575" s="9">
        <v>2158.4</v>
      </c>
      <c r="F575" s="7" t="s">
        <v>1380</v>
      </c>
      <c r="G575" s="8">
        <v>-0.0113</v>
      </c>
    </row>
    <row r="576" spans="1:7">
      <c r="A576" s="6">
        <v>45376</v>
      </c>
      <c r="B576" s="9">
        <v>2176.4</v>
      </c>
      <c r="C576" s="9">
        <v>2166.6</v>
      </c>
      <c r="D576" s="9">
        <v>2182.5</v>
      </c>
      <c r="E576" s="9">
        <v>2164.4</v>
      </c>
      <c r="F576" s="7" t="s">
        <v>1381</v>
      </c>
      <c r="G576" s="8">
        <v>0.0076</v>
      </c>
    </row>
    <row r="577" spans="1:7">
      <c r="A577" s="6">
        <v>45377</v>
      </c>
      <c r="B577" s="9">
        <v>2177.2</v>
      </c>
      <c r="C577" s="9">
        <v>2173</v>
      </c>
      <c r="D577" s="9">
        <v>2200.6</v>
      </c>
      <c r="E577" s="9">
        <v>2168.3</v>
      </c>
      <c r="F577" s="7" t="s">
        <v>1382</v>
      </c>
      <c r="G577" s="8">
        <v>0.0004</v>
      </c>
    </row>
    <row r="578" spans="1:7">
      <c r="A578" s="6">
        <v>45378</v>
      </c>
      <c r="B578" s="9">
        <v>2201.4</v>
      </c>
      <c r="C578" s="9">
        <v>2188.9</v>
      </c>
      <c r="D578" s="9">
        <v>2206.5</v>
      </c>
      <c r="E578" s="9">
        <v>2182.8</v>
      </c>
      <c r="F578" s="7" t="s">
        <v>1016</v>
      </c>
      <c r="G578" s="8">
        <v>0.0111</v>
      </c>
    </row>
    <row r="579" spans="1:7">
      <c r="A579" s="6">
        <v>45379</v>
      </c>
      <c r="B579" s="9">
        <v>2227.1</v>
      </c>
      <c r="C579" s="9">
        <v>2203.9</v>
      </c>
      <c r="D579" s="9">
        <v>2243.5</v>
      </c>
      <c r="E579" s="9">
        <v>2196.1</v>
      </c>
      <c r="F579" s="7" t="s">
        <v>974</v>
      </c>
      <c r="G579" s="8">
        <v>0.0117</v>
      </c>
    </row>
    <row r="580" spans="1:7">
      <c r="A580" s="6">
        <v>45383</v>
      </c>
      <c r="B580" s="9">
        <v>2245.9</v>
      </c>
      <c r="C580" s="9">
        <v>2243.5</v>
      </c>
      <c r="D580" s="9">
        <v>2275</v>
      </c>
      <c r="E580" s="9">
        <v>2238.5</v>
      </c>
      <c r="F580" s="7" t="s">
        <v>1049</v>
      </c>
      <c r="G580" s="8">
        <v>0.0084</v>
      </c>
    </row>
    <row r="581" spans="1:7">
      <c r="A581" s="6">
        <v>45384</v>
      </c>
      <c r="B581" s="9">
        <v>2270.3</v>
      </c>
      <c r="C581" s="9">
        <v>2260.2</v>
      </c>
      <c r="D581" s="9">
        <v>2290.1</v>
      </c>
      <c r="E581" s="9">
        <v>2256.1</v>
      </c>
      <c r="F581" s="7" t="s">
        <v>1253</v>
      </c>
      <c r="G581" s="8">
        <v>0.0109</v>
      </c>
    </row>
    <row r="582" spans="1:7">
      <c r="A582" s="6">
        <v>45385</v>
      </c>
      <c r="B582" s="9">
        <v>2303.3</v>
      </c>
      <c r="C582" s="9">
        <v>2290</v>
      </c>
      <c r="D582" s="9">
        <v>2310</v>
      </c>
      <c r="E582" s="9">
        <v>2275.1</v>
      </c>
      <c r="F582" s="7" t="s">
        <v>1052</v>
      </c>
      <c r="G582" s="8">
        <v>0.0145</v>
      </c>
    </row>
    <row r="583" spans="1:7">
      <c r="A583" s="6">
        <v>45386</v>
      </c>
      <c r="B583" s="9">
        <v>2296.9</v>
      </c>
      <c r="C583" s="9">
        <v>2308.9</v>
      </c>
      <c r="D583" s="9">
        <v>2312</v>
      </c>
      <c r="E583" s="9">
        <v>2288.4</v>
      </c>
      <c r="F583" s="7" t="s">
        <v>1383</v>
      </c>
      <c r="G583" s="8">
        <v>-0.0028</v>
      </c>
    </row>
    <row r="584" spans="1:7">
      <c r="A584" s="6">
        <v>45387</v>
      </c>
      <c r="B584" s="9">
        <v>2333.7</v>
      </c>
      <c r="C584" s="9">
        <v>2298.7</v>
      </c>
      <c r="D584" s="9">
        <v>2337.6</v>
      </c>
      <c r="E584" s="9">
        <v>2276.5</v>
      </c>
      <c r="F584" s="7" t="s">
        <v>1200</v>
      </c>
      <c r="G584" s="8">
        <v>0.016</v>
      </c>
    </row>
    <row r="585" spans="1:7">
      <c r="A585" s="6">
        <v>45390</v>
      </c>
      <c r="B585" s="9">
        <v>2339</v>
      </c>
      <c r="C585" s="9">
        <v>2332.2</v>
      </c>
      <c r="D585" s="9">
        <v>2357</v>
      </c>
      <c r="E585" s="9">
        <v>2310.5</v>
      </c>
      <c r="F585" s="7" t="s">
        <v>1384</v>
      </c>
      <c r="G585" s="8">
        <v>0.0023</v>
      </c>
    </row>
    <row r="586" spans="1:7">
      <c r="A586" s="6">
        <v>45391</v>
      </c>
      <c r="B586" s="9">
        <v>2350.6</v>
      </c>
      <c r="C586" s="9">
        <v>2344.4</v>
      </c>
      <c r="D586" s="9">
        <v>2372.5</v>
      </c>
      <c r="E586" s="9">
        <v>2344.4</v>
      </c>
      <c r="F586" s="7" t="s">
        <v>1158</v>
      </c>
      <c r="G586" s="8">
        <v>0.005</v>
      </c>
    </row>
    <row r="587" spans="1:7">
      <c r="A587" s="6">
        <v>45392</v>
      </c>
      <c r="B587" s="9">
        <v>2336.6</v>
      </c>
      <c r="C587" s="9">
        <v>2358.9</v>
      </c>
      <c r="D587" s="9">
        <v>2365.8</v>
      </c>
      <c r="E587" s="9">
        <v>2325.7</v>
      </c>
      <c r="F587" s="7" t="s">
        <v>974</v>
      </c>
      <c r="G587" s="8">
        <v>-0.006</v>
      </c>
    </row>
    <row r="588" spans="1:7">
      <c r="A588" s="6">
        <v>45393</v>
      </c>
      <c r="B588" s="9">
        <v>2360.8</v>
      </c>
      <c r="C588" s="9">
        <v>2340.5</v>
      </c>
      <c r="D588" s="9">
        <v>2382.9</v>
      </c>
      <c r="E588" s="9">
        <v>2331.6</v>
      </c>
      <c r="F588" s="7" t="s">
        <v>1061</v>
      </c>
      <c r="G588" s="8">
        <v>0.0104</v>
      </c>
    </row>
    <row r="589" spans="1:7">
      <c r="A589" s="6">
        <v>45394</v>
      </c>
      <c r="B589" s="9">
        <v>2362</v>
      </c>
      <c r="C589" s="9">
        <v>2377.7</v>
      </c>
      <c r="D589" s="9">
        <v>2436.6</v>
      </c>
      <c r="E589" s="9">
        <v>2338.4</v>
      </c>
      <c r="F589" s="7" t="s">
        <v>1385</v>
      </c>
      <c r="G589" s="8">
        <v>0.0005</v>
      </c>
    </row>
    <row r="590" spans="1:7">
      <c r="A590" s="6">
        <v>45397</v>
      </c>
      <c r="B590" s="9">
        <v>2370.9</v>
      </c>
      <c r="C590" s="9">
        <v>2357.3</v>
      </c>
      <c r="D590" s="9">
        <v>2392</v>
      </c>
      <c r="E590" s="9">
        <v>2330.1</v>
      </c>
      <c r="F590" s="7" t="s">
        <v>1284</v>
      </c>
      <c r="G590" s="8">
        <v>0.0038</v>
      </c>
    </row>
    <row r="591" spans="1:7">
      <c r="A591" s="6">
        <v>45398</v>
      </c>
      <c r="B591" s="9">
        <v>2395.5</v>
      </c>
      <c r="C591" s="9">
        <v>2387</v>
      </c>
      <c r="D591" s="9">
        <v>2402.2</v>
      </c>
      <c r="E591" s="9">
        <v>2367.4</v>
      </c>
      <c r="F591" s="7" t="s">
        <v>1159</v>
      </c>
      <c r="G591" s="8">
        <v>0.0104</v>
      </c>
    </row>
    <row r="592" spans="1:7">
      <c r="A592" s="6">
        <v>45399</v>
      </c>
      <c r="B592" s="9">
        <v>2376.2</v>
      </c>
      <c r="C592" s="9">
        <v>2387.9</v>
      </c>
      <c r="D592" s="9">
        <v>2399.5</v>
      </c>
      <c r="E592" s="9">
        <v>2359.9</v>
      </c>
      <c r="F592" s="7" t="s">
        <v>1066</v>
      </c>
      <c r="G592" s="8">
        <v>-0.0081</v>
      </c>
    </row>
    <row r="593" spans="1:7">
      <c r="A593" s="6">
        <v>45400</v>
      </c>
      <c r="B593" s="9">
        <v>2385.8</v>
      </c>
      <c r="C593" s="9">
        <v>2366.1</v>
      </c>
      <c r="D593" s="9">
        <v>2395.7</v>
      </c>
      <c r="E593" s="9">
        <v>2366.1</v>
      </c>
      <c r="F593" s="7" t="s">
        <v>1386</v>
      </c>
      <c r="G593" s="8">
        <v>0.004</v>
      </c>
    </row>
    <row r="594" spans="1:7">
      <c r="A594" s="6">
        <v>45401</v>
      </c>
      <c r="B594" s="9">
        <v>2401.4</v>
      </c>
      <c r="C594" s="9">
        <v>2381.1</v>
      </c>
      <c r="D594" s="9">
        <v>2418.1</v>
      </c>
      <c r="E594" s="9">
        <v>2374.7</v>
      </c>
      <c r="F594" s="7" t="s">
        <v>1387</v>
      </c>
      <c r="G594" s="8">
        <v>0.0065</v>
      </c>
    </row>
    <row r="595" spans="1:7">
      <c r="A595" s="6">
        <v>45404</v>
      </c>
      <c r="B595" s="9">
        <v>2334.6</v>
      </c>
      <c r="C595" s="9">
        <v>2391.5</v>
      </c>
      <c r="D595" s="9">
        <v>2391.5</v>
      </c>
      <c r="E595" s="9">
        <v>2327.3</v>
      </c>
      <c r="F595" s="7" t="s">
        <v>1060</v>
      </c>
      <c r="G595" s="8">
        <v>-0.0278</v>
      </c>
    </row>
    <row r="596" spans="1:7">
      <c r="A596" s="6">
        <v>45405</v>
      </c>
      <c r="B596" s="9">
        <v>2329.9</v>
      </c>
      <c r="C596" s="9">
        <v>2332.2</v>
      </c>
      <c r="D596" s="9">
        <v>2336</v>
      </c>
      <c r="E596" s="9">
        <v>2293.6</v>
      </c>
      <c r="F596" s="7" t="s">
        <v>978</v>
      </c>
      <c r="G596" s="8">
        <v>-0.002</v>
      </c>
    </row>
    <row r="597" spans="1:7">
      <c r="A597" s="6">
        <v>45406</v>
      </c>
      <c r="B597" s="9">
        <v>2326</v>
      </c>
      <c r="C597" s="9">
        <v>2324</v>
      </c>
      <c r="D597" s="9">
        <v>2338</v>
      </c>
      <c r="E597" s="9">
        <v>2313.6</v>
      </c>
      <c r="F597" s="7" t="s">
        <v>1022</v>
      </c>
      <c r="G597" s="8">
        <v>-0.0017</v>
      </c>
    </row>
    <row r="598" spans="1:7">
      <c r="A598" s="6">
        <v>45407</v>
      </c>
      <c r="B598" s="9">
        <v>2330.3</v>
      </c>
      <c r="C598" s="9">
        <v>2317.8</v>
      </c>
      <c r="D598" s="9">
        <v>2344.8</v>
      </c>
      <c r="E598" s="9">
        <v>2306.4</v>
      </c>
      <c r="F598" s="7" t="s">
        <v>1383</v>
      </c>
      <c r="G598" s="8">
        <v>0.0018</v>
      </c>
    </row>
    <row r="599" spans="1:7">
      <c r="A599" s="6">
        <v>45408</v>
      </c>
      <c r="B599" s="9">
        <v>2335</v>
      </c>
      <c r="C599" s="9">
        <v>2333.1</v>
      </c>
      <c r="D599" s="9">
        <v>2350.5</v>
      </c>
      <c r="E599" s="9">
        <v>2326.6</v>
      </c>
      <c r="F599" s="7" t="s">
        <v>1130</v>
      </c>
      <c r="G599" s="8">
        <v>0.002</v>
      </c>
    </row>
    <row r="600" spans="1:7">
      <c r="A600" s="6">
        <v>45411</v>
      </c>
      <c r="B600" s="9">
        <v>2357.7</v>
      </c>
      <c r="C600" s="9">
        <v>2347.6</v>
      </c>
      <c r="D600" s="9">
        <v>2358.9</v>
      </c>
      <c r="E600" s="9">
        <v>2331</v>
      </c>
      <c r="F600" s="7" t="s">
        <v>1388</v>
      </c>
      <c r="G600" s="8">
        <v>0.0097</v>
      </c>
    </row>
    <row r="601" spans="1:7">
      <c r="A601" s="6">
        <v>45412</v>
      </c>
      <c r="B601" s="9">
        <v>2302.9</v>
      </c>
      <c r="C601" s="9">
        <v>2347</v>
      </c>
      <c r="D601" s="9">
        <v>2347.6</v>
      </c>
      <c r="E601" s="9">
        <v>2296.2</v>
      </c>
      <c r="F601" s="7" t="s">
        <v>1389</v>
      </c>
      <c r="G601" s="8">
        <v>-0.0232</v>
      </c>
    </row>
    <row r="602" spans="1:7">
      <c r="A602" s="6">
        <v>45413</v>
      </c>
      <c r="B602" s="9">
        <v>2311</v>
      </c>
      <c r="C602" s="9">
        <v>2298.2</v>
      </c>
      <c r="D602" s="9">
        <v>2339.5</v>
      </c>
      <c r="E602" s="9">
        <v>2291.7</v>
      </c>
      <c r="F602" s="7" t="s">
        <v>1390</v>
      </c>
      <c r="G602" s="8">
        <v>0.0035</v>
      </c>
    </row>
    <row r="603" spans="1:7">
      <c r="A603" s="6">
        <v>45414</v>
      </c>
      <c r="B603" s="9">
        <v>2309.6</v>
      </c>
      <c r="C603" s="9">
        <v>2329.9</v>
      </c>
      <c r="D603" s="9">
        <v>2336.1</v>
      </c>
      <c r="E603" s="9">
        <v>2294.3</v>
      </c>
      <c r="F603" s="7" t="s">
        <v>1391</v>
      </c>
      <c r="G603" s="8">
        <v>-0.0006</v>
      </c>
    </row>
    <row r="604" spans="1:7">
      <c r="A604" s="6">
        <v>45415</v>
      </c>
      <c r="B604" s="9">
        <v>2308.6</v>
      </c>
      <c r="C604" s="9">
        <v>2313.5</v>
      </c>
      <c r="D604" s="9">
        <v>2330.7</v>
      </c>
      <c r="E604" s="9">
        <v>2285.2</v>
      </c>
      <c r="F604" s="7" t="s">
        <v>1392</v>
      </c>
      <c r="G604" s="8">
        <v>-0.0004</v>
      </c>
    </row>
    <row r="605" spans="1:7">
      <c r="A605" s="6">
        <v>45418</v>
      </c>
      <c r="B605" s="9">
        <v>2331.2</v>
      </c>
      <c r="C605" s="9">
        <v>2312.8</v>
      </c>
      <c r="D605" s="9">
        <v>2341.9</v>
      </c>
      <c r="E605" s="9">
        <v>2300.6</v>
      </c>
      <c r="F605" s="7" t="s">
        <v>1393</v>
      </c>
      <c r="G605" s="8">
        <v>0.0098</v>
      </c>
    </row>
    <row r="606" spans="1:7">
      <c r="A606" s="6">
        <v>45419</v>
      </c>
      <c r="B606" s="9">
        <v>2324.2</v>
      </c>
      <c r="C606" s="9">
        <v>2334.8</v>
      </c>
      <c r="D606" s="9">
        <v>2338.7</v>
      </c>
      <c r="E606" s="9">
        <v>2318.2</v>
      </c>
      <c r="F606" s="7" t="s">
        <v>1394</v>
      </c>
      <c r="G606" s="8">
        <v>-0.003</v>
      </c>
    </row>
    <row r="607" spans="1:7">
      <c r="A607" s="6">
        <v>45420</v>
      </c>
      <c r="B607" s="9">
        <v>2322.3</v>
      </c>
      <c r="C607" s="9">
        <v>2322</v>
      </c>
      <c r="D607" s="9">
        <v>2329.6</v>
      </c>
      <c r="E607" s="9">
        <v>2311.4</v>
      </c>
      <c r="F607" s="7" t="s">
        <v>1395</v>
      </c>
      <c r="G607" s="8">
        <v>-0.0008</v>
      </c>
    </row>
    <row r="608" spans="1:7">
      <c r="A608" s="6">
        <v>45421</v>
      </c>
      <c r="B608" s="9">
        <v>2340.3</v>
      </c>
      <c r="C608" s="9">
        <v>2316.5</v>
      </c>
      <c r="D608" s="9">
        <v>2354.2</v>
      </c>
      <c r="E608" s="9">
        <v>2312.9</v>
      </c>
      <c r="F608" s="7" t="s">
        <v>1396</v>
      </c>
      <c r="G608" s="8">
        <v>0.0078</v>
      </c>
    </row>
    <row r="609" spans="1:7">
      <c r="A609" s="6">
        <v>45422</v>
      </c>
      <c r="B609" s="9">
        <v>2375</v>
      </c>
      <c r="C609" s="9">
        <v>2353.5</v>
      </c>
      <c r="D609" s="9">
        <v>2385.3</v>
      </c>
      <c r="E609" s="9">
        <v>2352</v>
      </c>
      <c r="F609" s="7" t="s">
        <v>1397</v>
      </c>
      <c r="G609" s="8">
        <v>0.0148</v>
      </c>
    </row>
    <row r="610" spans="1:7">
      <c r="A610" s="6">
        <v>45425</v>
      </c>
      <c r="B610" s="9">
        <v>2343</v>
      </c>
      <c r="C610" s="9">
        <v>2369.1</v>
      </c>
      <c r="D610" s="9">
        <v>2370.8</v>
      </c>
      <c r="E610" s="9">
        <v>2337.6</v>
      </c>
      <c r="F610" s="7" t="s">
        <v>1398</v>
      </c>
      <c r="G610" s="8">
        <v>-0.0135</v>
      </c>
    </row>
    <row r="611" spans="1:7">
      <c r="A611" s="6">
        <v>45426</v>
      </c>
      <c r="B611" s="9">
        <v>2359.9</v>
      </c>
      <c r="C611" s="9">
        <v>2342.3</v>
      </c>
      <c r="D611" s="9">
        <v>2365.2</v>
      </c>
      <c r="E611" s="9">
        <v>2340.5</v>
      </c>
      <c r="F611" s="7" t="s">
        <v>1399</v>
      </c>
      <c r="G611" s="8">
        <v>0.0072</v>
      </c>
    </row>
    <row r="612" spans="1:7">
      <c r="A612" s="6">
        <v>45427</v>
      </c>
      <c r="B612" s="9">
        <v>2394.9</v>
      </c>
      <c r="C612" s="9">
        <v>2362.9</v>
      </c>
      <c r="D612" s="9">
        <v>2396.1</v>
      </c>
      <c r="E612" s="9">
        <v>2357.1</v>
      </c>
      <c r="F612" s="7" t="s">
        <v>1400</v>
      </c>
      <c r="G612" s="8">
        <v>0.0148</v>
      </c>
    </row>
    <row r="613" spans="1:7">
      <c r="A613" s="6">
        <v>45428</v>
      </c>
      <c r="B613" s="9">
        <v>2385.5</v>
      </c>
      <c r="C613" s="9">
        <v>2391.5</v>
      </c>
      <c r="D613" s="9">
        <v>2402.7</v>
      </c>
      <c r="E613" s="9">
        <v>2375.2</v>
      </c>
      <c r="F613" s="7" t="s">
        <v>1401</v>
      </c>
      <c r="G613" s="8">
        <v>-0.0039</v>
      </c>
    </row>
    <row r="614" spans="1:7">
      <c r="A614" s="6">
        <v>45429</v>
      </c>
      <c r="B614" s="9">
        <v>2417.4</v>
      </c>
      <c r="C614" s="9">
        <v>2381.4</v>
      </c>
      <c r="D614" s="9">
        <v>2427.4</v>
      </c>
      <c r="E614" s="9">
        <v>2377.8</v>
      </c>
      <c r="F614" s="7" t="s">
        <v>1402</v>
      </c>
      <c r="G614" s="8">
        <v>0.0134</v>
      </c>
    </row>
    <row r="615" spans="1:7">
      <c r="A615" s="6">
        <v>45432</v>
      </c>
      <c r="B615" s="9">
        <v>2438.5</v>
      </c>
      <c r="C615" s="9">
        <v>2422.2</v>
      </c>
      <c r="D615" s="9">
        <v>2454.2</v>
      </c>
      <c r="E615" s="9">
        <v>2411.1</v>
      </c>
      <c r="F615" s="7" t="s">
        <v>1403</v>
      </c>
      <c r="G615" s="8">
        <v>0.0087</v>
      </c>
    </row>
    <row r="616" spans="1:7">
      <c r="A616" s="6">
        <v>45433</v>
      </c>
      <c r="B616" s="9">
        <v>2425.9</v>
      </c>
      <c r="C616" s="9">
        <v>2431.5</v>
      </c>
      <c r="D616" s="9">
        <v>2438.2</v>
      </c>
      <c r="E616" s="9">
        <v>2408.5</v>
      </c>
      <c r="F616" s="7" t="s">
        <v>1404</v>
      </c>
      <c r="G616" s="8">
        <v>-0.0052</v>
      </c>
    </row>
    <row r="617" spans="1:7">
      <c r="A617" s="6">
        <v>45434</v>
      </c>
      <c r="B617" s="9">
        <v>2392.9</v>
      </c>
      <c r="C617" s="9">
        <v>2425.4</v>
      </c>
      <c r="D617" s="9">
        <v>2430.5</v>
      </c>
      <c r="E617" s="9">
        <v>2378</v>
      </c>
      <c r="F617" s="7" t="s">
        <v>1405</v>
      </c>
      <c r="G617" s="8">
        <v>-0.0136</v>
      </c>
    </row>
    <row r="618" spans="1:7">
      <c r="A618" s="6">
        <v>45435</v>
      </c>
      <c r="B618" s="9">
        <v>2337.2</v>
      </c>
      <c r="C618" s="9">
        <v>2383</v>
      </c>
      <c r="D618" s="9">
        <v>2385.7</v>
      </c>
      <c r="E618" s="9">
        <v>2328.1</v>
      </c>
      <c r="F618" s="7" t="s">
        <v>1406</v>
      </c>
      <c r="G618" s="8">
        <v>-0.0233</v>
      </c>
    </row>
    <row r="619" spans="1:7">
      <c r="A619" s="6">
        <v>45436</v>
      </c>
      <c r="B619" s="9">
        <v>2334.5</v>
      </c>
      <c r="C619" s="9">
        <v>2330.4</v>
      </c>
      <c r="D619" s="9">
        <v>2349</v>
      </c>
      <c r="E619" s="9">
        <v>2326.3</v>
      </c>
      <c r="F619" s="7" t="s">
        <v>1407</v>
      </c>
      <c r="G619" s="8">
        <v>-0.0012</v>
      </c>
    </row>
    <row r="620" spans="1:7">
      <c r="A620" s="6">
        <v>45439</v>
      </c>
      <c r="B620" s="9">
        <v>2356.5</v>
      </c>
      <c r="C620" s="9">
        <v>2338</v>
      </c>
      <c r="D620" s="9">
        <v>2365.5</v>
      </c>
      <c r="E620" s="9">
        <v>2333.8</v>
      </c>
      <c r="F620" s="7" t="s">
        <v>1408</v>
      </c>
      <c r="G620" s="8">
        <v>0.0094</v>
      </c>
    </row>
    <row r="621" spans="1:7">
      <c r="A621" s="6">
        <v>45440</v>
      </c>
      <c r="B621" s="9">
        <v>2356.5</v>
      </c>
      <c r="C621" s="9">
        <v>2338</v>
      </c>
      <c r="D621" s="9">
        <v>2365.5</v>
      </c>
      <c r="E621" s="9">
        <v>2333.8</v>
      </c>
      <c r="F621" s="7" t="s">
        <v>1409</v>
      </c>
      <c r="G621" s="8">
        <v>0</v>
      </c>
    </row>
    <row r="622" spans="1:7">
      <c r="A622" s="6">
        <v>45441</v>
      </c>
      <c r="B622" s="9">
        <v>2341.2</v>
      </c>
      <c r="C622" s="9">
        <v>2362.5</v>
      </c>
      <c r="D622" s="9">
        <v>2363.7</v>
      </c>
      <c r="E622" s="9">
        <v>2334.2</v>
      </c>
      <c r="F622" s="7" t="s">
        <v>1410</v>
      </c>
      <c r="G622" s="8">
        <v>-0.0065</v>
      </c>
    </row>
    <row r="623" spans="1:7">
      <c r="A623" s="6">
        <v>45442</v>
      </c>
      <c r="B623" s="9">
        <v>2354.7</v>
      </c>
      <c r="C623" s="9">
        <v>2357.9</v>
      </c>
      <c r="D623" s="9">
        <v>2360.7</v>
      </c>
      <c r="E623" s="9">
        <v>2332.1</v>
      </c>
      <c r="F623" s="7" t="s">
        <v>1411</v>
      </c>
      <c r="G623" s="8">
        <v>0.0058</v>
      </c>
    </row>
    <row r="624" spans="1:7">
      <c r="A624" s="6">
        <v>45443</v>
      </c>
      <c r="B624" s="9">
        <v>2333.9</v>
      </c>
      <c r="C624" s="9">
        <v>2352.4</v>
      </c>
      <c r="D624" s="9">
        <v>2368.6</v>
      </c>
      <c r="E624" s="9">
        <v>2330</v>
      </c>
      <c r="F624" s="7" t="s">
        <v>1016</v>
      </c>
      <c r="G624" s="8">
        <v>-0.0088</v>
      </c>
    </row>
    <row r="625" spans="1:7">
      <c r="A625" s="6">
        <v>45446</v>
      </c>
      <c r="B625" s="9">
        <v>2357.5</v>
      </c>
      <c r="C625" s="9">
        <v>2335</v>
      </c>
      <c r="D625" s="9">
        <v>2363.5</v>
      </c>
      <c r="E625" s="9">
        <v>2323.9</v>
      </c>
      <c r="F625" s="7" t="s">
        <v>949</v>
      </c>
      <c r="G625" s="8">
        <v>0.0101</v>
      </c>
    </row>
    <row r="626" spans="1:7">
      <c r="A626" s="6">
        <v>45447</v>
      </c>
      <c r="B626" s="9">
        <v>2335.7</v>
      </c>
      <c r="C626" s="9">
        <v>2360.2</v>
      </c>
      <c r="D626" s="9">
        <v>2361</v>
      </c>
      <c r="E626" s="9">
        <v>2324.5</v>
      </c>
      <c r="F626" s="7" t="s">
        <v>1412</v>
      </c>
      <c r="G626" s="8">
        <v>-0.0092</v>
      </c>
    </row>
    <row r="627" spans="1:7">
      <c r="A627" s="6">
        <v>45448</v>
      </c>
      <c r="B627" s="9">
        <v>2363.6</v>
      </c>
      <c r="C627" s="9">
        <v>2335.5</v>
      </c>
      <c r="D627" s="9">
        <v>2365.2</v>
      </c>
      <c r="E627" s="9">
        <v>2335.1</v>
      </c>
      <c r="F627" s="7" t="s">
        <v>1134</v>
      </c>
      <c r="G627" s="8">
        <v>0.0119</v>
      </c>
    </row>
    <row r="628" spans="1:7">
      <c r="A628" s="6">
        <v>45449</v>
      </c>
      <c r="B628" s="9">
        <v>2378.9</v>
      </c>
      <c r="C628" s="9">
        <v>2363.8</v>
      </c>
      <c r="D628" s="9">
        <v>2385.2</v>
      </c>
      <c r="E628" s="9">
        <v>2361.4</v>
      </c>
      <c r="F628" s="7" t="s">
        <v>977</v>
      </c>
      <c r="G628" s="8">
        <v>0.0065</v>
      </c>
    </row>
    <row r="629" spans="1:7">
      <c r="A629" s="6">
        <v>45450</v>
      </c>
      <c r="B629" s="9">
        <v>2313.2</v>
      </c>
      <c r="C629" s="9">
        <v>2383.6</v>
      </c>
      <c r="D629" s="9">
        <v>2394.3</v>
      </c>
      <c r="E629" s="9">
        <v>2293.1</v>
      </c>
      <c r="F629" s="7" t="s">
        <v>969</v>
      </c>
      <c r="G629" s="8">
        <v>-0.0276</v>
      </c>
    </row>
    <row r="630" spans="1:7">
      <c r="A630" s="6">
        <v>45453</v>
      </c>
      <c r="B630" s="9">
        <v>2315.1</v>
      </c>
      <c r="C630" s="9">
        <v>2299.5</v>
      </c>
      <c r="D630" s="9">
        <v>2319.3</v>
      </c>
      <c r="E630" s="9">
        <v>2292.9</v>
      </c>
      <c r="F630" s="7" t="s">
        <v>1224</v>
      </c>
      <c r="G630" s="8">
        <v>0.0008</v>
      </c>
    </row>
    <row r="631" spans="1:7">
      <c r="A631" s="6">
        <v>45454</v>
      </c>
      <c r="B631" s="9">
        <v>2314.6</v>
      </c>
      <c r="C631" s="9">
        <v>2315.7</v>
      </c>
      <c r="D631" s="9">
        <v>2325.2</v>
      </c>
      <c r="E631" s="9">
        <v>2303.3</v>
      </c>
      <c r="F631" s="7" t="s">
        <v>978</v>
      </c>
      <c r="G631" s="8">
        <v>-0.0002</v>
      </c>
    </row>
    <row r="632" spans="1:7">
      <c r="A632" s="6">
        <v>45455</v>
      </c>
      <c r="B632" s="9">
        <v>2342.7</v>
      </c>
      <c r="C632" s="9">
        <v>2321.7</v>
      </c>
      <c r="D632" s="9">
        <v>2345.1</v>
      </c>
      <c r="E632" s="9">
        <v>2315.7</v>
      </c>
      <c r="F632" s="7" t="s">
        <v>1129</v>
      </c>
      <c r="G632" s="8">
        <v>0.0121</v>
      </c>
    </row>
    <row r="633" spans="1:7">
      <c r="A633" s="6">
        <v>45456</v>
      </c>
      <c r="B633" s="9">
        <v>2305.9</v>
      </c>
      <c r="C633" s="9">
        <v>2328.4</v>
      </c>
      <c r="D633" s="9">
        <v>2330.2</v>
      </c>
      <c r="E633" s="9">
        <v>2299.2</v>
      </c>
      <c r="F633" s="7" t="s">
        <v>1198</v>
      </c>
      <c r="G633" s="8">
        <v>-0.0157</v>
      </c>
    </row>
    <row r="634" spans="1:7">
      <c r="A634" s="6">
        <v>45457</v>
      </c>
      <c r="B634" s="9">
        <v>2337</v>
      </c>
      <c r="C634" s="9">
        <v>2306.3</v>
      </c>
      <c r="D634" s="9">
        <v>2339.3</v>
      </c>
      <c r="E634" s="9">
        <v>2305.8</v>
      </c>
      <c r="F634" s="7" t="s">
        <v>1064</v>
      </c>
      <c r="G634" s="8">
        <v>0.0135</v>
      </c>
    </row>
    <row r="635" spans="1:7">
      <c r="A635" s="6">
        <v>45460</v>
      </c>
      <c r="B635" s="9">
        <v>2316.9</v>
      </c>
      <c r="C635" s="9">
        <v>2336</v>
      </c>
      <c r="D635" s="9">
        <v>2336</v>
      </c>
      <c r="E635" s="9">
        <v>2312.4</v>
      </c>
      <c r="F635" s="7" t="s">
        <v>1308</v>
      </c>
      <c r="G635" s="8">
        <v>-0.0086</v>
      </c>
    </row>
    <row r="636" spans="1:7">
      <c r="A636" s="6">
        <v>45461</v>
      </c>
      <c r="B636" s="9">
        <v>2334.8</v>
      </c>
      <c r="C636" s="9">
        <v>2323.3</v>
      </c>
      <c r="D636" s="9">
        <v>2334.5</v>
      </c>
      <c r="E636" s="9">
        <v>2309.1</v>
      </c>
      <c r="F636" s="7" t="s">
        <v>1067</v>
      </c>
      <c r="G636" s="8">
        <v>0.0077</v>
      </c>
    </row>
    <row r="637" spans="1:7">
      <c r="A637" s="6">
        <v>45462</v>
      </c>
      <c r="B637" s="9">
        <v>2343</v>
      </c>
      <c r="C637" s="9">
        <v>2342.95</v>
      </c>
      <c r="D637" s="9">
        <v>2349.65</v>
      </c>
      <c r="E637" s="9">
        <v>2338.6</v>
      </c>
      <c r="G637" s="8">
        <v>0.0035</v>
      </c>
    </row>
    <row r="638" spans="1:7">
      <c r="A638" s="6">
        <v>45463</v>
      </c>
      <c r="B638" s="9">
        <v>2357</v>
      </c>
      <c r="C638" s="9">
        <v>2331.4</v>
      </c>
      <c r="D638" s="9">
        <v>2367</v>
      </c>
      <c r="E638" s="9">
        <v>2327</v>
      </c>
      <c r="F638" s="7" t="s">
        <v>1197</v>
      </c>
      <c r="G638" s="8">
        <v>0.006</v>
      </c>
    </row>
    <row r="639" spans="1:7">
      <c r="A639" s="6">
        <v>45464</v>
      </c>
      <c r="B639" s="9">
        <v>2319.1</v>
      </c>
      <c r="C639" s="9">
        <v>2361.5</v>
      </c>
      <c r="D639" s="9">
        <v>2370</v>
      </c>
      <c r="E639" s="9">
        <v>2318</v>
      </c>
      <c r="F639" s="7" t="s">
        <v>1129</v>
      </c>
      <c r="G639" s="8">
        <v>-0.0161</v>
      </c>
    </row>
    <row r="640" spans="1:7">
      <c r="A640" s="6">
        <v>45467</v>
      </c>
      <c r="B640" s="9">
        <v>2332.4</v>
      </c>
      <c r="C640" s="9">
        <v>2322.1</v>
      </c>
      <c r="D640" s="9">
        <v>2334.7</v>
      </c>
      <c r="E640" s="9">
        <v>2318</v>
      </c>
      <c r="F640" s="7" t="s">
        <v>1129</v>
      </c>
      <c r="G640" s="8">
        <v>0.0057</v>
      </c>
    </row>
    <row r="641" spans="1:7">
      <c r="A641" s="6">
        <v>45468</v>
      </c>
      <c r="B641" s="9">
        <v>2318.4</v>
      </c>
      <c r="C641" s="9">
        <v>2334.4</v>
      </c>
      <c r="D641" s="9">
        <v>2336.2</v>
      </c>
      <c r="E641" s="9">
        <v>2314.8</v>
      </c>
      <c r="F641" s="7" t="s">
        <v>1413</v>
      </c>
      <c r="G641" s="8">
        <v>-0.006</v>
      </c>
    </row>
    <row r="642" spans="1:7">
      <c r="A642" s="6">
        <v>45469</v>
      </c>
      <c r="B642" s="9">
        <v>2301</v>
      </c>
      <c r="C642" s="9">
        <v>2318.8</v>
      </c>
      <c r="D642" s="9">
        <v>2320.5</v>
      </c>
      <c r="E642" s="9">
        <v>2292.9</v>
      </c>
      <c r="F642" s="7" t="s">
        <v>1383</v>
      </c>
      <c r="G642" s="8">
        <v>-0.0075</v>
      </c>
    </row>
    <row r="643" spans="1:7">
      <c r="A643" s="6">
        <v>45470</v>
      </c>
      <c r="B643" s="9">
        <v>2336.6</v>
      </c>
      <c r="C643" s="9">
        <v>2309.4</v>
      </c>
      <c r="D643" s="9">
        <v>2342</v>
      </c>
      <c r="E643" s="9">
        <v>2306.8</v>
      </c>
      <c r="F643" s="7" t="s">
        <v>1414</v>
      </c>
      <c r="G643" s="8">
        <v>0.0155</v>
      </c>
    </row>
    <row r="644" spans="1:7">
      <c r="A644" s="6">
        <v>45471</v>
      </c>
      <c r="B644" s="9">
        <v>2339.6</v>
      </c>
      <c r="C644" s="9">
        <v>2338.6</v>
      </c>
      <c r="D644" s="9">
        <v>2350.6</v>
      </c>
      <c r="E644" s="9">
        <v>2329.7</v>
      </c>
      <c r="F644" s="7" t="s">
        <v>1415</v>
      </c>
      <c r="G644" s="8">
        <v>0.0013</v>
      </c>
    </row>
    <row r="645" spans="1:7">
      <c r="A645" s="6">
        <v>45474</v>
      </c>
      <c r="B645" s="9">
        <v>2338.9</v>
      </c>
      <c r="C645" s="9">
        <v>2336.2</v>
      </c>
      <c r="D645" s="9">
        <v>2348.8</v>
      </c>
      <c r="E645" s="9">
        <v>2328.2</v>
      </c>
      <c r="F645" s="7" t="s">
        <v>1416</v>
      </c>
      <c r="G645" s="8">
        <v>-0.0003</v>
      </c>
    </row>
    <row r="646" spans="1:7">
      <c r="A646" s="6">
        <v>45475</v>
      </c>
      <c r="B646" s="9">
        <v>2333.4</v>
      </c>
      <c r="C646" s="9">
        <v>2341.6</v>
      </c>
      <c r="D646" s="9">
        <v>2346.1</v>
      </c>
      <c r="E646" s="9">
        <v>2327.4</v>
      </c>
      <c r="F646" s="7" t="s">
        <v>1417</v>
      </c>
      <c r="G646" s="8">
        <v>-0.0024</v>
      </c>
    </row>
    <row r="647" spans="1:7">
      <c r="A647" s="6">
        <v>45476</v>
      </c>
      <c r="B647" s="9">
        <v>2369.4</v>
      </c>
      <c r="C647" s="9">
        <v>2338.6</v>
      </c>
      <c r="D647" s="9">
        <v>2374.5</v>
      </c>
      <c r="E647" s="9">
        <v>2335.7</v>
      </c>
      <c r="F647" s="7" t="s">
        <v>1418</v>
      </c>
      <c r="G647" s="8">
        <v>0.0154</v>
      </c>
    </row>
    <row r="648" spans="1:7">
      <c r="A648" s="6">
        <v>45477</v>
      </c>
      <c r="B648" s="9">
        <v>2364.6</v>
      </c>
      <c r="C648" s="9">
        <v>2367.2</v>
      </c>
      <c r="D648" s="9">
        <v>2371.05</v>
      </c>
      <c r="E648" s="9">
        <v>2359.35</v>
      </c>
      <c r="G648" s="8">
        <v>-0.002</v>
      </c>
    </row>
    <row r="649" spans="1:7">
      <c r="A649" s="6">
        <v>45478</v>
      </c>
      <c r="B649" s="9">
        <v>2397.7</v>
      </c>
      <c r="C649" s="9">
        <v>2365.8</v>
      </c>
      <c r="D649" s="9">
        <v>2401.5</v>
      </c>
      <c r="E649" s="9">
        <v>2356</v>
      </c>
      <c r="F649" s="7" t="s">
        <v>1419</v>
      </c>
      <c r="G649" s="8">
        <v>0.014</v>
      </c>
    </row>
    <row r="650" spans="1:7">
      <c r="A650" s="6">
        <v>45481</v>
      </c>
      <c r="B650" s="9">
        <v>2363.5</v>
      </c>
      <c r="C650" s="9">
        <v>2396.2</v>
      </c>
      <c r="D650" s="9">
        <v>2399.3</v>
      </c>
      <c r="E650" s="9">
        <v>2358.3</v>
      </c>
      <c r="F650" s="7" t="s">
        <v>1420</v>
      </c>
      <c r="G650" s="8">
        <v>-0.0143</v>
      </c>
    </row>
    <row r="651" spans="1:7">
      <c r="A651" s="6">
        <v>45482</v>
      </c>
      <c r="B651" s="9">
        <v>2367.9</v>
      </c>
      <c r="C651" s="9">
        <v>2366.5</v>
      </c>
      <c r="D651" s="9">
        <v>2378.3</v>
      </c>
      <c r="E651" s="9">
        <v>2356</v>
      </c>
      <c r="F651" s="7" t="s">
        <v>1421</v>
      </c>
      <c r="G651" s="8">
        <v>0.0019</v>
      </c>
    </row>
    <row r="652" spans="1:7">
      <c r="A652" s="6">
        <v>45483</v>
      </c>
      <c r="B652" s="9">
        <v>2379.7</v>
      </c>
      <c r="C652" s="9">
        <v>2371</v>
      </c>
      <c r="D652" s="9">
        <v>2393.4</v>
      </c>
      <c r="E652" s="9">
        <v>2369.7</v>
      </c>
      <c r="F652" s="7" t="s">
        <v>1422</v>
      </c>
      <c r="G652" s="8">
        <v>0.005</v>
      </c>
    </row>
    <row r="653" spans="1:7">
      <c r="A653" s="6">
        <v>45484</v>
      </c>
      <c r="B653" s="9">
        <v>2421.9</v>
      </c>
      <c r="C653" s="9">
        <v>2377.4</v>
      </c>
      <c r="D653" s="9">
        <v>2430.4</v>
      </c>
      <c r="E653" s="9">
        <v>2376.8</v>
      </c>
      <c r="F653" s="7" t="s">
        <v>1423</v>
      </c>
      <c r="G653" s="8">
        <v>0.0177</v>
      </c>
    </row>
    <row r="654" spans="1:7">
      <c r="A654" s="6">
        <v>45485</v>
      </c>
      <c r="B654" s="9">
        <v>2420.7</v>
      </c>
      <c r="C654" s="9">
        <v>2421</v>
      </c>
      <c r="D654" s="9">
        <v>2423.2</v>
      </c>
      <c r="E654" s="9">
        <v>2396.1</v>
      </c>
      <c r="F654" s="7" t="s">
        <v>1139</v>
      </c>
      <c r="G654" s="8">
        <v>-0.0005</v>
      </c>
    </row>
    <row r="655" spans="1:7">
      <c r="A655" s="6">
        <v>45488</v>
      </c>
      <c r="B655" s="9">
        <v>2428.9</v>
      </c>
      <c r="C655" s="9">
        <v>2419.3</v>
      </c>
      <c r="D655" s="9">
        <v>2445</v>
      </c>
      <c r="E655" s="9">
        <v>2406.1</v>
      </c>
      <c r="F655" s="7" t="s">
        <v>1424</v>
      </c>
      <c r="G655" s="8">
        <v>0.0034</v>
      </c>
    </row>
    <row r="656" spans="1:7">
      <c r="A656" s="6">
        <v>45489</v>
      </c>
      <c r="B656" s="9">
        <v>2467.8</v>
      </c>
      <c r="C656" s="9">
        <v>2427.1</v>
      </c>
      <c r="D656" s="9">
        <v>2474.5</v>
      </c>
      <c r="E656" s="9">
        <v>2424.5</v>
      </c>
      <c r="F656" s="7" t="s">
        <v>1425</v>
      </c>
      <c r="G656" s="8">
        <v>0.016</v>
      </c>
    </row>
    <row r="657" spans="1:7">
      <c r="A657" s="6">
        <v>45490</v>
      </c>
      <c r="B657" s="9">
        <v>2459.9</v>
      </c>
      <c r="C657" s="9">
        <v>2473.2</v>
      </c>
      <c r="D657" s="9">
        <v>2488.4</v>
      </c>
      <c r="E657" s="9">
        <v>2455.5</v>
      </c>
      <c r="F657" s="7" t="s">
        <v>1426</v>
      </c>
      <c r="G657" s="8">
        <v>-0.0032</v>
      </c>
    </row>
    <row r="658" spans="1:7">
      <c r="A658" s="6">
        <v>45491</v>
      </c>
      <c r="B658" s="9">
        <v>2456.4</v>
      </c>
      <c r="C658" s="9">
        <v>2462.5</v>
      </c>
      <c r="D658" s="9">
        <v>2478.5</v>
      </c>
      <c r="E658" s="9">
        <v>2442.9</v>
      </c>
      <c r="F658" s="7" t="s">
        <v>1427</v>
      </c>
      <c r="G658" s="8">
        <v>-0.0014</v>
      </c>
    </row>
    <row r="659" spans="1:7">
      <c r="A659" s="6">
        <v>45492</v>
      </c>
      <c r="B659" s="9">
        <v>2399.1</v>
      </c>
      <c r="C659" s="9">
        <v>2448</v>
      </c>
      <c r="D659" s="9">
        <v>2448.4</v>
      </c>
      <c r="E659" s="9">
        <v>2395.7</v>
      </c>
      <c r="F659" s="7" t="s">
        <v>1428</v>
      </c>
      <c r="G659" s="8">
        <v>-0.0233</v>
      </c>
    </row>
    <row r="660" spans="1:7">
      <c r="A660" s="6">
        <v>45495</v>
      </c>
      <c r="B660" s="9">
        <v>2394.7</v>
      </c>
      <c r="C660" s="9">
        <v>2403.7</v>
      </c>
      <c r="D660" s="9">
        <v>2414.4</v>
      </c>
      <c r="E660" s="9">
        <v>2385.2</v>
      </c>
      <c r="F660" s="7" t="s">
        <v>1429</v>
      </c>
      <c r="G660" s="8">
        <v>-0.0018</v>
      </c>
    </row>
    <row r="661" spans="1:7">
      <c r="A661" s="6">
        <v>45496</v>
      </c>
      <c r="B661" s="9">
        <v>2407.3</v>
      </c>
      <c r="C661" s="9">
        <v>2398</v>
      </c>
      <c r="D661" s="9">
        <v>2413.5</v>
      </c>
      <c r="E661" s="9">
        <v>2389.2</v>
      </c>
      <c r="F661" s="7" t="s">
        <v>1430</v>
      </c>
      <c r="G661" s="8">
        <v>0.0053</v>
      </c>
    </row>
    <row r="662" spans="1:7">
      <c r="A662" s="6">
        <v>45497</v>
      </c>
      <c r="B662" s="9">
        <v>2415.7</v>
      </c>
      <c r="C662" s="9">
        <v>2410.7</v>
      </c>
      <c r="D662" s="9">
        <v>2433</v>
      </c>
      <c r="E662" s="9">
        <v>2397</v>
      </c>
      <c r="F662" s="7" t="s">
        <v>1431</v>
      </c>
      <c r="G662" s="8">
        <v>0.0035</v>
      </c>
    </row>
    <row r="663" spans="1:7">
      <c r="A663" s="6">
        <v>45498</v>
      </c>
      <c r="B663" s="9">
        <v>2353.5</v>
      </c>
      <c r="C663" s="9">
        <v>2398.1</v>
      </c>
      <c r="D663" s="9">
        <v>2400.8</v>
      </c>
      <c r="E663" s="9">
        <v>2351.9</v>
      </c>
      <c r="F663" s="7" t="s">
        <v>1432</v>
      </c>
      <c r="G663" s="8">
        <v>-0.0257</v>
      </c>
    </row>
    <row r="664" spans="1:7">
      <c r="A664" s="6">
        <v>45499</v>
      </c>
      <c r="B664" s="9">
        <v>2381</v>
      </c>
      <c r="C664" s="9">
        <v>2363.8</v>
      </c>
      <c r="D664" s="9">
        <v>2389.7</v>
      </c>
      <c r="E664" s="9">
        <v>2354.6</v>
      </c>
      <c r="F664" s="7" t="s">
        <v>1433</v>
      </c>
      <c r="G664" s="8">
        <v>0.0117</v>
      </c>
    </row>
    <row r="665" spans="1:7">
      <c r="A665" s="6">
        <v>45502</v>
      </c>
      <c r="B665" s="9">
        <v>2377.8</v>
      </c>
      <c r="C665" s="9">
        <v>2386.9</v>
      </c>
      <c r="D665" s="9">
        <v>2402.1</v>
      </c>
      <c r="E665" s="9">
        <v>2367.3</v>
      </c>
      <c r="F665" s="7" t="s">
        <v>1434</v>
      </c>
      <c r="G665" s="8">
        <v>-0.0013</v>
      </c>
    </row>
    <row r="666" spans="1:7">
      <c r="A666" s="6">
        <v>45503</v>
      </c>
      <c r="B666" s="9">
        <v>2417.6</v>
      </c>
      <c r="C666" s="9">
        <v>2392.8</v>
      </c>
      <c r="D666" s="9">
        <v>2422.4</v>
      </c>
      <c r="E666" s="9">
        <v>2388.8</v>
      </c>
      <c r="F666" s="7" t="s">
        <v>1435</v>
      </c>
      <c r="G666" s="8">
        <v>0.0167</v>
      </c>
    </row>
    <row r="667" spans="1:7">
      <c r="A667" s="6">
        <v>45504</v>
      </c>
      <c r="B667" s="9">
        <v>2438.5</v>
      </c>
      <c r="C667" s="9">
        <v>2420.8</v>
      </c>
      <c r="D667" s="9">
        <v>2461.1</v>
      </c>
      <c r="E667" s="9">
        <v>2415.4</v>
      </c>
      <c r="F667" s="7" t="s">
        <v>1436</v>
      </c>
      <c r="G667" s="8">
        <v>0.0086</v>
      </c>
    </row>
    <row r="668" spans="1:7">
      <c r="A668" s="6">
        <v>45505</v>
      </c>
      <c r="B668" s="9">
        <v>2445.9</v>
      </c>
      <c r="C668" s="9">
        <v>2458.8</v>
      </c>
      <c r="D668" s="9">
        <v>2470.8</v>
      </c>
      <c r="E668" s="9">
        <v>2439.1</v>
      </c>
      <c r="F668" s="7" t="s">
        <v>1058</v>
      </c>
      <c r="G668" s="8">
        <v>0.003</v>
      </c>
    </row>
    <row r="669" spans="1:7">
      <c r="A669" s="6">
        <v>45506</v>
      </c>
      <c r="B669" s="9">
        <v>2436.2</v>
      </c>
      <c r="C669" s="9">
        <v>2456.4</v>
      </c>
      <c r="D669" s="9">
        <v>2487.6</v>
      </c>
      <c r="E669" s="9">
        <v>2420.5</v>
      </c>
      <c r="F669" s="7" t="s">
        <v>1437</v>
      </c>
      <c r="G669" s="8">
        <v>-0.004</v>
      </c>
    </row>
    <row r="670" spans="1:7">
      <c r="A670" s="6">
        <v>45509</v>
      </c>
      <c r="B670" s="9">
        <v>2411.8</v>
      </c>
      <c r="C670" s="9">
        <v>2458.5</v>
      </c>
      <c r="D670" s="9">
        <v>2466.1</v>
      </c>
      <c r="E670" s="9">
        <v>2373.8</v>
      </c>
      <c r="F670" s="7" t="s">
        <v>1251</v>
      </c>
      <c r="G670" s="8">
        <v>-0.01</v>
      </c>
    </row>
    <row r="671" spans="1:7">
      <c r="A671" s="6">
        <v>45510</v>
      </c>
      <c r="B671" s="9">
        <v>2398.9</v>
      </c>
      <c r="C671" s="9">
        <v>2420.9</v>
      </c>
      <c r="D671" s="9">
        <v>2431.2</v>
      </c>
      <c r="E671" s="9">
        <v>2390.2</v>
      </c>
      <c r="F671" s="7" t="s">
        <v>1132</v>
      </c>
      <c r="G671" s="8">
        <v>-0.0053</v>
      </c>
    </row>
    <row r="672" spans="1:7">
      <c r="A672" s="6">
        <v>45511</v>
      </c>
      <c r="B672" s="9">
        <v>2400</v>
      </c>
      <c r="C672" s="9">
        <v>2398.6</v>
      </c>
      <c r="D672" s="9">
        <v>2414.2</v>
      </c>
      <c r="E672" s="9">
        <v>2387</v>
      </c>
      <c r="F672" s="7" t="s">
        <v>1026</v>
      </c>
      <c r="G672" s="8">
        <v>0.0005</v>
      </c>
    </row>
    <row r="673" spans="1:7">
      <c r="A673" s="6">
        <v>45512</v>
      </c>
      <c r="B673" s="9">
        <v>2430.3</v>
      </c>
      <c r="C673" s="9">
        <v>2389.5</v>
      </c>
      <c r="D673" s="9">
        <v>2433.9</v>
      </c>
      <c r="E673" s="9">
        <v>2388</v>
      </c>
      <c r="F673" s="7" t="s">
        <v>1066</v>
      </c>
      <c r="G673" s="8">
        <v>0.0126</v>
      </c>
    </row>
    <row r="674" spans="1:7">
      <c r="A674" s="6">
        <v>45513</v>
      </c>
      <c r="B674" s="9">
        <v>2439.8</v>
      </c>
      <c r="C674" s="9">
        <v>2431.9</v>
      </c>
      <c r="D674" s="9">
        <v>2441.7</v>
      </c>
      <c r="E674" s="9">
        <v>2424.1</v>
      </c>
      <c r="F674" s="7" t="s">
        <v>1053</v>
      </c>
      <c r="G674" s="8">
        <v>0.0039</v>
      </c>
    </row>
    <row r="675" spans="1:7">
      <c r="A675" s="6">
        <v>45516</v>
      </c>
      <c r="B675" s="9">
        <v>2469.9</v>
      </c>
      <c r="C675" s="9">
        <v>2436</v>
      </c>
      <c r="D675" s="9">
        <v>2478</v>
      </c>
      <c r="E675" s="9">
        <v>2430</v>
      </c>
      <c r="F675" s="7" t="s">
        <v>1059</v>
      </c>
      <c r="G675" s="8">
        <v>0.0123</v>
      </c>
    </row>
    <row r="676" spans="1:7">
      <c r="A676" s="6">
        <v>45517</v>
      </c>
      <c r="B676" s="9">
        <v>2473.9</v>
      </c>
      <c r="C676" s="9">
        <v>2477.3</v>
      </c>
      <c r="D676" s="9">
        <v>2482.5</v>
      </c>
      <c r="E676" s="9">
        <v>2464.2</v>
      </c>
      <c r="F676" s="7" t="s">
        <v>1258</v>
      </c>
      <c r="G676" s="8">
        <v>0.0016</v>
      </c>
    </row>
    <row r="677" spans="1:7">
      <c r="A677" s="6">
        <v>45518</v>
      </c>
      <c r="B677" s="9">
        <v>2446.2</v>
      </c>
      <c r="C677" s="9">
        <v>2470.6</v>
      </c>
      <c r="D677" s="9">
        <v>2485.4</v>
      </c>
      <c r="E677" s="9">
        <v>2443</v>
      </c>
      <c r="F677" s="7" t="s">
        <v>1164</v>
      </c>
      <c r="G677" s="8">
        <v>-0.0112</v>
      </c>
    </row>
    <row r="678" spans="1:7">
      <c r="A678" s="6">
        <v>45519</v>
      </c>
      <c r="B678" s="9">
        <v>2458.6</v>
      </c>
      <c r="C678" s="9">
        <v>2452</v>
      </c>
      <c r="D678" s="9">
        <v>2471.8</v>
      </c>
      <c r="E678" s="9">
        <v>2437.1</v>
      </c>
      <c r="F678" s="7" t="s">
        <v>1019</v>
      </c>
      <c r="G678" s="8">
        <v>0.0051</v>
      </c>
    </row>
    <row r="679" spans="1:7">
      <c r="A679" s="6">
        <v>45520</v>
      </c>
      <c r="B679" s="9">
        <v>2503.6</v>
      </c>
      <c r="C679" s="9">
        <v>2460.2</v>
      </c>
      <c r="D679" s="9">
        <v>2513.8</v>
      </c>
      <c r="E679" s="9">
        <v>2454.6</v>
      </c>
      <c r="F679" s="7" t="s">
        <v>1134</v>
      </c>
      <c r="G679" s="8">
        <v>0.0183</v>
      </c>
    </row>
    <row r="680" spans="1:7">
      <c r="A680" s="6">
        <v>45523</v>
      </c>
      <c r="B680" s="9">
        <v>2506.8</v>
      </c>
      <c r="C680" s="9">
        <v>2512.8</v>
      </c>
      <c r="D680" s="9">
        <v>2513.8</v>
      </c>
      <c r="E680" s="9">
        <v>2489.3</v>
      </c>
      <c r="F680" s="7" t="s">
        <v>1022</v>
      </c>
      <c r="G680" s="8">
        <v>0.0013</v>
      </c>
    </row>
    <row r="681" spans="1:7">
      <c r="A681" s="6">
        <v>45524</v>
      </c>
      <c r="B681" s="9">
        <v>2516.1</v>
      </c>
      <c r="C681" s="9">
        <v>2507.7</v>
      </c>
      <c r="D681" s="9">
        <v>2535.4</v>
      </c>
      <c r="E681" s="9">
        <v>2502.1</v>
      </c>
      <c r="F681" s="7" t="s">
        <v>1094</v>
      </c>
      <c r="G681" s="8">
        <v>0.0037</v>
      </c>
    </row>
    <row r="682" spans="1:7">
      <c r="A682" s="6">
        <v>45525</v>
      </c>
      <c r="B682" s="9">
        <v>2512.8</v>
      </c>
      <c r="C682" s="9">
        <v>2517.4</v>
      </c>
      <c r="D682" s="9">
        <v>2522</v>
      </c>
      <c r="E682" s="9">
        <v>2495</v>
      </c>
      <c r="F682" s="7" t="s">
        <v>1129</v>
      </c>
      <c r="G682" s="8">
        <v>-0.0013</v>
      </c>
    </row>
    <row r="683" spans="1:7">
      <c r="A683" s="6">
        <v>45526</v>
      </c>
      <c r="B683" s="9">
        <v>2482.1</v>
      </c>
      <c r="C683" s="9">
        <v>2515.6</v>
      </c>
      <c r="D683" s="9">
        <v>2516</v>
      </c>
      <c r="E683" s="9">
        <v>2472.6</v>
      </c>
      <c r="F683" s="7" t="s">
        <v>1127</v>
      </c>
      <c r="G683" s="8">
        <v>-0.0122</v>
      </c>
    </row>
    <row r="684" spans="1:7">
      <c r="A684" s="6">
        <v>45527</v>
      </c>
      <c r="B684" s="9">
        <v>2511.2</v>
      </c>
      <c r="C684" s="9">
        <v>2486.2</v>
      </c>
      <c r="D684" s="9">
        <v>2518.7</v>
      </c>
      <c r="E684" s="9">
        <v>2486.1</v>
      </c>
      <c r="F684" s="7" t="s">
        <v>1224</v>
      </c>
      <c r="G684" s="8">
        <v>0.0117</v>
      </c>
    </row>
    <row r="685" spans="1:7">
      <c r="A685" s="6">
        <v>45530</v>
      </c>
      <c r="B685" s="9">
        <v>2520.2</v>
      </c>
      <c r="C685" s="9">
        <v>2512.6</v>
      </c>
      <c r="D685" s="9">
        <v>2527.7</v>
      </c>
      <c r="E685" s="9">
        <v>2509.3</v>
      </c>
      <c r="F685" s="7" t="s">
        <v>1094</v>
      </c>
      <c r="G685" s="8">
        <v>0.0036</v>
      </c>
    </row>
    <row r="686" spans="1:7">
      <c r="A686" s="6">
        <v>45531</v>
      </c>
      <c r="B686" s="9">
        <v>2517.7</v>
      </c>
      <c r="C686" s="9">
        <v>2517.6</v>
      </c>
      <c r="D686" s="9">
        <v>2525.2</v>
      </c>
      <c r="E686" s="9">
        <v>2504.4</v>
      </c>
      <c r="F686" s="7" t="s">
        <v>1198</v>
      </c>
      <c r="G686" s="8">
        <v>-0.001</v>
      </c>
    </row>
    <row r="687" spans="1:7">
      <c r="A687" s="6">
        <v>45532</v>
      </c>
      <c r="B687" s="9">
        <v>2502.6</v>
      </c>
      <c r="C687" s="9">
        <v>2525.2</v>
      </c>
      <c r="D687" s="9">
        <v>2526.4</v>
      </c>
      <c r="E687" s="9">
        <v>2493.2</v>
      </c>
      <c r="F687" s="7" t="s">
        <v>1438</v>
      </c>
      <c r="G687" s="8">
        <v>-0.006</v>
      </c>
    </row>
    <row r="688" spans="1:7">
      <c r="A688" s="6">
        <v>45533</v>
      </c>
      <c r="B688" s="9">
        <v>2536.7</v>
      </c>
      <c r="C688" s="9">
        <v>2516.6</v>
      </c>
      <c r="D688" s="9">
        <v>2538.7</v>
      </c>
      <c r="E688" s="9">
        <v>2513.8</v>
      </c>
      <c r="F688" s="7" t="s">
        <v>1439</v>
      </c>
      <c r="G688" s="8">
        <v>0.0136</v>
      </c>
    </row>
    <row r="689" spans="1:7">
      <c r="A689" s="6">
        <v>45534</v>
      </c>
      <c r="B689" s="9">
        <v>2504.5</v>
      </c>
      <c r="C689" s="9">
        <v>2530.7</v>
      </c>
      <c r="D689" s="9">
        <v>2536.2</v>
      </c>
      <c r="E689" s="9">
        <v>2503.9</v>
      </c>
      <c r="F689" s="7" t="s">
        <v>1440</v>
      </c>
      <c r="G689" s="8">
        <v>-0.0127</v>
      </c>
    </row>
    <row r="690" spans="1:7">
      <c r="A690" s="6">
        <v>45538</v>
      </c>
      <c r="B690" s="9">
        <v>2499.7</v>
      </c>
      <c r="C690" s="9">
        <v>2509</v>
      </c>
      <c r="D690" s="9">
        <v>2516.3</v>
      </c>
      <c r="E690" s="9">
        <v>2481.6</v>
      </c>
      <c r="F690" s="7" t="s">
        <v>1441</v>
      </c>
      <c r="G690" s="8">
        <v>-0.0019</v>
      </c>
    </row>
    <row r="691" spans="1:7">
      <c r="A691" s="6">
        <v>45539</v>
      </c>
      <c r="B691" s="9">
        <v>2502.7</v>
      </c>
      <c r="C691" s="9">
        <v>2500.4</v>
      </c>
      <c r="D691" s="9">
        <v>2507.8</v>
      </c>
      <c r="E691" s="9">
        <v>2479.8</v>
      </c>
      <c r="F691" s="7" t="s">
        <v>1442</v>
      </c>
      <c r="G691" s="8">
        <v>0.0012</v>
      </c>
    </row>
    <row r="692" spans="1:7">
      <c r="A692" s="6">
        <v>45540</v>
      </c>
      <c r="B692" s="9">
        <v>2519.7</v>
      </c>
      <c r="C692" s="9">
        <v>2502.3</v>
      </c>
      <c r="D692" s="9">
        <v>2530.5</v>
      </c>
      <c r="E692" s="9">
        <v>2500.7</v>
      </c>
      <c r="F692" s="7" t="s">
        <v>1443</v>
      </c>
      <c r="G692" s="8">
        <v>0.0068</v>
      </c>
    </row>
    <row r="693" spans="1:7">
      <c r="A693" s="6">
        <v>45541</v>
      </c>
      <c r="B693" s="9">
        <v>2501.5</v>
      </c>
      <c r="C693" s="9">
        <v>2523.7</v>
      </c>
      <c r="D693" s="9">
        <v>2536.1</v>
      </c>
      <c r="E693" s="9">
        <v>2490.7</v>
      </c>
      <c r="F693" s="7" t="s">
        <v>1444</v>
      </c>
      <c r="G693" s="8">
        <v>-0.0072</v>
      </c>
    </row>
    <row r="694" spans="1:7">
      <c r="A694" s="6">
        <v>45544</v>
      </c>
      <c r="B694" s="9">
        <v>2509.3</v>
      </c>
      <c r="C694" s="9">
        <v>2503.2</v>
      </c>
      <c r="D694" s="9">
        <v>2512.7</v>
      </c>
      <c r="E694" s="9">
        <v>2491.3</v>
      </c>
      <c r="F694" s="7" t="s">
        <v>1445</v>
      </c>
      <c r="G694" s="8">
        <v>0.0031</v>
      </c>
    </row>
    <row r="695" spans="1:7">
      <c r="A695" s="6">
        <v>45545</v>
      </c>
      <c r="B695" s="9">
        <v>2519.5</v>
      </c>
      <c r="C695" s="9">
        <v>2511.6</v>
      </c>
      <c r="D695" s="9">
        <v>2523.9</v>
      </c>
      <c r="E695" s="9">
        <v>2505.6</v>
      </c>
      <c r="F695" s="7" t="s">
        <v>1446</v>
      </c>
      <c r="G695" s="8">
        <v>0.0041</v>
      </c>
    </row>
    <row r="696" spans="1:7">
      <c r="A696" s="6">
        <v>45546</v>
      </c>
      <c r="B696" s="9">
        <v>2519</v>
      </c>
      <c r="C696" s="9">
        <v>2522</v>
      </c>
      <c r="D696" s="9">
        <v>2534.4</v>
      </c>
      <c r="E696" s="9">
        <v>2505.7</v>
      </c>
      <c r="F696" s="7" t="s">
        <v>1447</v>
      </c>
      <c r="G696" s="8">
        <v>-0.0002</v>
      </c>
    </row>
    <row r="697" spans="1:7">
      <c r="A697" s="6">
        <v>45547</v>
      </c>
      <c r="B697" s="9">
        <v>2557.1</v>
      </c>
      <c r="C697" s="9">
        <v>2517.9</v>
      </c>
      <c r="D697" s="9">
        <v>2564.8</v>
      </c>
      <c r="E697" s="9">
        <v>2515.5</v>
      </c>
      <c r="F697" s="7" t="s">
        <v>1448</v>
      </c>
      <c r="G697" s="8">
        <v>0.0151</v>
      </c>
    </row>
    <row r="698" spans="1:7">
      <c r="A698" s="6">
        <v>45548</v>
      </c>
      <c r="B698" s="9">
        <v>2586.8</v>
      </c>
      <c r="C698" s="9">
        <v>2565.1</v>
      </c>
      <c r="D698" s="9">
        <v>2590.6</v>
      </c>
      <c r="E698" s="9">
        <v>2562</v>
      </c>
      <c r="F698" s="7" t="s">
        <v>1449</v>
      </c>
      <c r="G698" s="8">
        <v>0.0116</v>
      </c>
    </row>
    <row r="699" spans="1:7">
      <c r="A699" s="6">
        <v>45551</v>
      </c>
      <c r="B699" s="9">
        <v>2585.2</v>
      </c>
      <c r="C699" s="9">
        <v>2584.8</v>
      </c>
      <c r="D699" s="9">
        <v>2593.4</v>
      </c>
      <c r="E699" s="9">
        <v>2578.8</v>
      </c>
      <c r="F699" s="7" t="s">
        <v>1450</v>
      </c>
      <c r="G699" s="8">
        <v>-0.0006</v>
      </c>
    </row>
    <row r="700" spans="1:7">
      <c r="A700" s="6">
        <v>45552</v>
      </c>
      <c r="B700" s="9">
        <v>2568.9</v>
      </c>
      <c r="C700" s="9">
        <v>2586.3</v>
      </c>
      <c r="D700" s="9">
        <v>2590</v>
      </c>
      <c r="E700" s="9">
        <v>2564.1</v>
      </c>
      <c r="F700" s="7" t="s">
        <v>1100</v>
      </c>
      <c r="G700" s="8">
        <v>-0.0063</v>
      </c>
    </row>
    <row r="701" spans="1:7">
      <c r="A701" s="6">
        <v>45553</v>
      </c>
      <c r="B701" s="9">
        <v>2574.9</v>
      </c>
      <c r="C701" s="9">
        <v>2573.4</v>
      </c>
      <c r="D701" s="9">
        <v>2603.7</v>
      </c>
      <c r="E701" s="9">
        <v>2549.4</v>
      </c>
      <c r="F701" s="7" t="s">
        <v>1451</v>
      </c>
      <c r="G701" s="8">
        <v>0.0023</v>
      </c>
    </row>
    <row r="702" spans="1:7">
      <c r="A702" s="6">
        <v>45554</v>
      </c>
      <c r="B702" s="9">
        <v>2590.9</v>
      </c>
      <c r="C702" s="9">
        <v>2561.6</v>
      </c>
      <c r="D702" s="9">
        <v>2597</v>
      </c>
      <c r="E702" s="9">
        <v>2552.1</v>
      </c>
      <c r="F702" s="7" t="s">
        <v>1452</v>
      </c>
      <c r="G702" s="8">
        <v>0.0062</v>
      </c>
    </row>
    <row r="703" spans="1:7">
      <c r="A703" s="6">
        <v>45555</v>
      </c>
      <c r="B703" s="9">
        <v>2622.4</v>
      </c>
      <c r="C703" s="9">
        <v>2588.1</v>
      </c>
      <c r="D703" s="9">
        <v>2626.5</v>
      </c>
      <c r="E703" s="9">
        <v>2585.4</v>
      </c>
      <c r="F703" s="7" t="s">
        <v>1453</v>
      </c>
      <c r="G703" s="8">
        <v>0.0122</v>
      </c>
    </row>
    <row r="704" spans="1:7">
      <c r="A704" s="6">
        <v>45558</v>
      </c>
      <c r="B704" s="9">
        <v>2628.6</v>
      </c>
      <c r="C704" s="9">
        <v>2622.5</v>
      </c>
      <c r="D704" s="9">
        <v>2635.7</v>
      </c>
      <c r="E704" s="9">
        <v>2615.4</v>
      </c>
      <c r="F704" s="7" t="s">
        <v>1454</v>
      </c>
      <c r="G704" s="8">
        <v>0.0024</v>
      </c>
    </row>
    <row r="705" spans="1:7">
      <c r="A705" s="6">
        <v>45559</v>
      </c>
      <c r="B705" s="9">
        <v>2653</v>
      </c>
      <c r="C705" s="9">
        <v>2628.6</v>
      </c>
      <c r="D705" s="9">
        <v>2665.1</v>
      </c>
      <c r="E705" s="9">
        <v>2623.5</v>
      </c>
      <c r="F705" s="7" t="s">
        <v>1455</v>
      </c>
      <c r="G705" s="8">
        <v>0.0093</v>
      </c>
    </row>
    <row r="706" spans="1:7">
      <c r="A706" s="6">
        <v>45560</v>
      </c>
      <c r="B706" s="9">
        <v>2660.7</v>
      </c>
      <c r="C706" s="9">
        <v>2658.7</v>
      </c>
      <c r="D706" s="9">
        <v>2670.5</v>
      </c>
      <c r="E706" s="9">
        <v>2649.8</v>
      </c>
      <c r="F706" s="7" t="s">
        <v>1456</v>
      </c>
      <c r="G706" s="8">
        <v>0.0029</v>
      </c>
    </row>
    <row r="707" spans="1:7">
      <c r="A707" s="6">
        <v>45561</v>
      </c>
      <c r="B707" s="9">
        <v>2670.4</v>
      </c>
      <c r="C707" s="9">
        <v>2656.8</v>
      </c>
      <c r="D707" s="9">
        <v>2683.9</v>
      </c>
      <c r="E707" s="9">
        <v>2653.4</v>
      </c>
      <c r="F707" s="7" t="s">
        <v>1457</v>
      </c>
      <c r="G707" s="8">
        <v>0.0036</v>
      </c>
    </row>
    <row r="708" spans="1:7">
      <c r="A708" s="6">
        <v>45562</v>
      </c>
      <c r="B708" s="9">
        <v>2656.5</v>
      </c>
      <c r="C708" s="9">
        <v>2682.3</v>
      </c>
      <c r="D708" s="9">
        <v>2684</v>
      </c>
      <c r="E708" s="9">
        <v>2655</v>
      </c>
      <c r="F708" s="7" t="s">
        <v>983</v>
      </c>
      <c r="G708" s="8">
        <v>-0.0052</v>
      </c>
    </row>
    <row r="709" spans="1:7">
      <c r="A709" s="6">
        <v>45565</v>
      </c>
      <c r="B709" s="9">
        <v>2647.9</v>
      </c>
      <c r="C709" s="9">
        <v>2667.9</v>
      </c>
      <c r="D709" s="9">
        <v>2675.2</v>
      </c>
      <c r="E709" s="9">
        <v>2636.8</v>
      </c>
      <c r="F709" s="7" t="s">
        <v>1162</v>
      </c>
      <c r="G709" s="8">
        <v>-0.0032</v>
      </c>
    </row>
    <row r="710" spans="1:7">
      <c r="A710" s="6">
        <v>45566</v>
      </c>
      <c r="B710" s="9">
        <v>2678.5</v>
      </c>
      <c r="C710" s="9">
        <v>2644.4</v>
      </c>
      <c r="D710" s="9">
        <v>2681.7</v>
      </c>
      <c r="E710" s="9">
        <v>2644.4</v>
      </c>
      <c r="F710" s="7" t="s">
        <v>1026</v>
      </c>
      <c r="G710" s="8">
        <v>0.0116</v>
      </c>
    </row>
    <row r="711" spans="1:7">
      <c r="A711" s="6">
        <v>45567</v>
      </c>
      <c r="B711" s="9">
        <v>2658.1</v>
      </c>
      <c r="C711" s="9">
        <v>2671.1</v>
      </c>
      <c r="D711" s="9">
        <v>2672.4</v>
      </c>
      <c r="E711" s="9">
        <v>2653.3</v>
      </c>
      <c r="F711" s="7" t="s">
        <v>1057</v>
      </c>
      <c r="G711" s="8">
        <v>-0.0076</v>
      </c>
    </row>
    <row r="712" spans="1:7">
      <c r="A712" s="6">
        <v>45568</v>
      </c>
      <c r="B712" s="9">
        <v>2667.4</v>
      </c>
      <c r="C712" s="9">
        <v>2668.3</v>
      </c>
      <c r="D712" s="9">
        <v>2670.7</v>
      </c>
      <c r="E712" s="9">
        <v>2646.5</v>
      </c>
      <c r="F712" s="7" t="s">
        <v>1198</v>
      </c>
      <c r="G712" s="8">
        <v>0.0035</v>
      </c>
    </row>
    <row r="713" spans="1:7">
      <c r="A713" s="6">
        <v>45569</v>
      </c>
      <c r="B713" s="9">
        <v>2656</v>
      </c>
      <c r="C713" s="9">
        <v>2663</v>
      </c>
      <c r="D713" s="9">
        <v>2678.2</v>
      </c>
      <c r="E713" s="9">
        <v>2641.9</v>
      </c>
      <c r="F713" s="7" t="s">
        <v>1196</v>
      </c>
      <c r="G713" s="8">
        <v>-0.0043</v>
      </c>
    </row>
    <row r="714" spans="1:7">
      <c r="A714" s="6">
        <v>45572</v>
      </c>
      <c r="B714" s="9">
        <v>2654</v>
      </c>
      <c r="C714" s="9">
        <v>2658.8</v>
      </c>
      <c r="D714" s="9">
        <v>2666.6</v>
      </c>
      <c r="E714" s="9">
        <v>2646</v>
      </c>
      <c r="F714" s="7" t="s">
        <v>1067</v>
      </c>
      <c r="G714" s="8">
        <v>-0.0008</v>
      </c>
    </row>
    <row r="715" spans="1:7">
      <c r="A715" s="6">
        <v>45573</v>
      </c>
      <c r="B715" s="9">
        <v>2623.5</v>
      </c>
      <c r="C715" s="9">
        <v>2649.6</v>
      </c>
      <c r="D715" s="9">
        <v>2660.4</v>
      </c>
      <c r="E715" s="9">
        <v>2612.7</v>
      </c>
      <c r="F715" s="7" t="s">
        <v>1099</v>
      </c>
      <c r="G715" s="8">
        <v>-0.0115</v>
      </c>
    </row>
    <row r="716" spans="1:7">
      <c r="A716" s="6">
        <v>45574</v>
      </c>
      <c r="B716" s="9">
        <v>2614.1</v>
      </c>
      <c r="C716" s="9">
        <v>2628.8</v>
      </c>
      <c r="D716" s="9">
        <v>2630.6</v>
      </c>
      <c r="E716" s="9">
        <v>2612</v>
      </c>
      <c r="F716" s="7" t="s">
        <v>949</v>
      </c>
      <c r="G716" s="8">
        <v>-0.0036</v>
      </c>
    </row>
    <row r="717" spans="1:7">
      <c r="A717" s="6">
        <v>45575</v>
      </c>
      <c r="B717" s="9">
        <v>2627.4</v>
      </c>
      <c r="C717" s="9">
        <v>2614.8</v>
      </c>
      <c r="D717" s="9">
        <v>2636.9</v>
      </c>
      <c r="E717" s="9">
        <v>2608.8</v>
      </c>
      <c r="F717" s="7" t="s">
        <v>977</v>
      </c>
      <c r="G717" s="8">
        <v>0.0051</v>
      </c>
    </row>
    <row r="718" spans="1:7">
      <c r="A718" s="6">
        <v>45576</v>
      </c>
      <c r="B718" s="9">
        <v>2664.4</v>
      </c>
      <c r="C718" s="9">
        <v>2634.4</v>
      </c>
      <c r="D718" s="9">
        <v>2666.8</v>
      </c>
      <c r="E718" s="9">
        <v>2634.4</v>
      </c>
      <c r="F718" s="7" t="s">
        <v>1054</v>
      </c>
      <c r="G718" s="8">
        <v>0.0141</v>
      </c>
    </row>
    <row r="719" spans="1:7">
      <c r="A719" s="6">
        <v>45579</v>
      </c>
      <c r="B719" s="9">
        <v>2653.7</v>
      </c>
      <c r="C719" s="9">
        <v>2659.9</v>
      </c>
      <c r="D719" s="9">
        <v>2671.3</v>
      </c>
      <c r="E719" s="9">
        <v>2648.4</v>
      </c>
      <c r="F719" s="7" t="s">
        <v>1067</v>
      </c>
      <c r="G719" s="8">
        <v>-0.004</v>
      </c>
    </row>
    <row r="720" spans="1:7">
      <c r="A720" s="6">
        <v>45580</v>
      </c>
      <c r="B720" s="9">
        <v>2667</v>
      </c>
      <c r="C720" s="9">
        <v>2654.6</v>
      </c>
      <c r="D720" s="9">
        <v>2673.8</v>
      </c>
      <c r="E720" s="9">
        <v>2643.1</v>
      </c>
      <c r="F720" s="7" t="s">
        <v>1170</v>
      </c>
      <c r="G720" s="8">
        <v>0.005</v>
      </c>
    </row>
    <row r="721" spans="1:7">
      <c r="A721" s="6">
        <v>45581</v>
      </c>
      <c r="B721" s="9">
        <v>2679.3</v>
      </c>
      <c r="C721" s="9">
        <v>2666.8</v>
      </c>
      <c r="D721" s="9">
        <v>2689.5</v>
      </c>
      <c r="E721" s="9">
        <v>2666</v>
      </c>
      <c r="F721" s="7" t="s">
        <v>1458</v>
      </c>
      <c r="G721" s="8">
        <v>0.0046</v>
      </c>
    </row>
    <row r="722" spans="1:7">
      <c r="A722" s="6">
        <v>45582</v>
      </c>
      <c r="B722" s="9">
        <v>2695.5</v>
      </c>
      <c r="C722" s="9">
        <v>2676.9</v>
      </c>
      <c r="D722" s="9">
        <v>2700.5</v>
      </c>
      <c r="E722" s="9">
        <v>2676.9</v>
      </c>
      <c r="F722" s="7" t="s">
        <v>1459</v>
      </c>
      <c r="G722" s="8">
        <v>0.006</v>
      </c>
    </row>
    <row r="723" spans="1:7">
      <c r="A723" s="6">
        <v>45583</v>
      </c>
      <c r="B723" s="9">
        <v>2718</v>
      </c>
      <c r="C723" s="9">
        <v>2696.2</v>
      </c>
      <c r="D723" s="9">
        <v>2725.6</v>
      </c>
      <c r="E723" s="9">
        <v>2696.2</v>
      </c>
      <c r="F723" s="7" t="s">
        <v>1171</v>
      </c>
      <c r="G723" s="8">
        <v>0.0083</v>
      </c>
    </row>
    <row r="724" spans="1:7">
      <c r="A724" s="6">
        <v>45586</v>
      </c>
      <c r="B724" s="9">
        <v>2726.8</v>
      </c>
      <c r="C724" s="9">
        <v>2724.3</v>
      </c>
      <c r="D724" s="9">
        <v>2742.6</v>
      </c>
      <c r="E724" s="9">
        <v>2716.9</v>
      </c>
      <c r="F724" s="7" t="s">
        <v>1169</v>
      </c>
      <c r="G724" s="8">
        <v>0.0032</v>
      </c>
    </row>
    <row r="725" spans="1:7">
      <c r="A725" s="6">
        <v>45587</v>
      </c>
      <c r="B725" s="9">
        <v>2747.4</v>
      </c>
      <c r="C725" s="9">
        <v>2723.1</v>
      </c>
      <c r="D725" s="9">
        <v>2749.5</v>
      </c>
      <c r="E725" s="9">
        <v>2721.8</v>
      </c>
      <c r="F725" s="7" t="s">
        <v>981</v>
      </c>
      <c r="G725" s="8">
        <v>0.0076</v>
      </c>
    </row>
    <row r="726" spans="1:7">
      <c r="A726" s="6">
        <v>45588</v>
      </c>
      <c r="B726" s="9">
        <v>2717.1</v>
      </c>
      <c r="C726" s="9">
        <v>2748.9</v>
      </c>
      <c r="D726" s="9">
        <v>2758.5</v>
      </c>
      <c r="E726" s="9">
        <v>2709.9</v>
      </c>
      <c r="F726" s="7" t="s">
        <v>1198</v>
      </c>
      <c r="G726" s="8">
        <v>-0.011</v>
      </c>
    </row>
    <row r="727" spans="1:7">
      <c r="A727" s="6">
        <v>45589</v>
      </c>
      <c r="B727" s="9">
        <v>2736.5</v>
      </c>
      <c r="C727" s="9">
        <v>2717.4</v>
      </c>
      <c r="D727" s="9">
        <v>2743.3</v>
      </c>
      <c r="E727" s="9">
        <v>2717.4</v>
      </c>
      <c r="F727" s="7" t="s">
        <v>1057</v>
      </c>
      <c r="G727" s="8">
        <v>0.0071</v>
      </c>
    </row>
    <row r="728" spans="1:7">
      <c r="A728" s="6">
        <v>45590</v>
      </c>
      <c r="B728" s="9">
        <v>2742.2</v>
      </c>
      <c r="C728" s="9">
        <v>2735.4</v>
      </c>
      <c r="D728" s="9">
        <v>2747.2</v>
      </c>
      <c r="E728" s="9">
        <v>2716.9</v>
      </c>
      <c r="F728" s="7" t="s">
        <v>1125</v>
      </c>
      <c r="G728" s="8">
        <v>0.0021</v>
      </c>
    </row>
    <row r="729" spans="1:7">
      <c r="A729" s="6">
        <v>45593</v>
      </c>
      <c r="B729" s="9">
        <v>2743.6</v>
      </c>
      <c r="C729" s="9">
        <v>2739.4</v>
      </c>
      <c r="D729" s="9">
        <v>2745.6</v>
      </c>
      <c r="E729" s="9">
        <v>2725.8</v>
      </c>
      <c r="F729" s="7" t="s">
        <v>1020</v>
      </c>
      <c r="G729" s="8">
        <v>0.0005</v>
      </c>
    </row>
    <row r="730" spans="1:7">
      <c r="A730" s="6">
        <v>45594</v>
      </c>
      <c r="B730" s="9">
        <v>2768.8</v>
      </c>
      <c r="C730" s="9">
        <v>2741.9</v>
      </c>
      <c r="D730" s="9">
        <v>2773.2</v>
      </c>
      <c r="E730" s="9">
        <v>2741.9</v>
      </c>
      <c r="F730" s="7" t="s">
        <v>1196</v>
      </c>
      <c r="G730" s="8">
        <v>0.0092</v>
      </c>
    </row>
    <row r="731" spans="1:7">
      <c r="A731" s="6">
        <v>45595</v>
      </c>
      <c r="B731" s="9">
        <v>2800.8</v>
      </c>
      <c r="C731" s="9">
        <v>2786.9</v>
      </c>
      <c r="D731" s="9">
        <v>2801.8</v>
      </c>
      <c r="E731" s="9">
        <v>2782.4</v>
      </c>
      <c r="F731" s="7" t="s">
        <v>1460</v>
      </c>
      <c r="G731" s="8">
        <v>0.0116</v>
      </c>
    </row>
    <row r="732" spans="1:7">
      <c r="A732" s="6">
        <v>45596</v>
      </c>
      <c r="B732" s="9">
        <v>2749.3</v>
      </c>
      <c r="C732" s="9">
        <v>2799.1</v>
      </c>
      <c r="D732" s="9">
        <v>2801.2</v>
      </c>
      <c r="E732" s="9">
        <v>2741.8</v>
      </c>
      <c r="F732" s="7" t="s">
        <v>1461</v>
      </c>
      <c r="G732" s="8">
        <v>-0.0184</v>
      </c>
    </row>
    <row r="733" spans="1:7">
      <c r="A733" s="6">
        <v>45597</v>
      </c>
      <c r="B733" s="9">
        <v>2749.2</v>
      </c>
      <c r="C733" s="9">
        <v>2754</v>
      </c>
      <c r="D733" s="9">
        <v>2772.4</v>
      </c>
      <c r="E733" s="9">
        <v>2742.6</v>
      </c>
      <c r="F733" s="7" t="s">
        <v>1462</v>
      </c>
      <c r="G733" s="8">
        <v>0</v>
      </c>
    </row>
    <row r="734" spans="1:7">
      <c r="A734" s="6">
        <v>45600</v>
      </c>
      <c r="B734" s="9">
        <v>2746.2</v>
      </c>
      <c r="C734" s="9">
        <v>2743.5</v>
      </c>
      <c r="D734" s="9">
        <v>2757.5</v>
      </c>
      <c r="E734" s="9">
        <v>2739.4</v>
      </c>
      <c r="F734" s="7" t="s">
        <v>1463</v>
      </c>
      <c r="G734" s="8">
        <v>-0.0011</v>
      </c>
    </row>
    <row r="735" spans="1:7">
      <c r="A735" s="6">
        <v>45601</v>
      </c>
      <c r="B735" s="9">
        <v>2749.7</v>
      </c>
      <c r="C735" s="9">
        <v>2746</v>
      </c>
      <c r="D735" s="9">
        <v>2759.5</v>
      </c>
      <c r="E735" s="9">
        <v>2733.4</v>
      </c>
      <c r="F735" s="7" t="s">
        <v>1464</v>
      </c>
      <c r="G735" s="8">
        <v>0.0013</v>
      </c>
    </row>
    <row r="736" spans="1:7">
      <c r="A736" s="6">
        <v>45602</v>
      </c>
      <c r="B736" s="9">
        <v>2676.3</v>
      </c>
      <c r="C736" s="9">
        <v>2752.6</v>
      </c>
      <c r="D736" s="9">
        <v>2758.8</v>
      </c>
      <c r="E736" s="9">
        <v>2660.7</v>
      </c>
      <c r="F736" s="7" t="s">
        <v>1465</v>
      </c>
      <c r="G736" s="8">
        <v>-0.0267</v>
      </c>
    </row>
    <row r="737" spans="1:7">
      <c r="A737" s="6">
        <v>45603</v>
      </c>
      <c r="B737" s="9">
        <v>2705.8</v>
      </c>
      <c r="C737" s="9">
        <v>2667.7</v>
      </c>
      <c r="D737" s="9">
        <v>2718.3</v>
      </c>
      <c r="E737" s="9">
        <v>2650.3</v>
      </c>
      <c r="F737" s="7" t="s">
        <v>1466</v>
      </c>
      <c r="G737" s="8">
        <v>0.011</v>
      </c>
    </row>
    <row r="738" spans="1:7">
      <c r="A738" s="6">
        <v>45604</v>
      </c>
      <c r="B738" s="9">
        <v>2694.8</v>
      </c>
      <c r="C738" s="9">
        <v>2713.6</v>
      </c>
      <c r="D738" s="9">
        <v>2717.8</v>
      </c>
      <c r="E738" s="9">
        <v>2687.3</v>
      </c>
      <c r="F738" s="7" t="s">
        <v>1467</v>
      </c>
      <c r="G738" s="8">
        <v>-0.0041</v>
      </c>
    </row>
    <row r="739" spans="1:7">
      <c r="A739" s="6">
        <v>45607</v>
      </c>
      <c r="B739" s="9">
        <v>2617.7</v>
      </c>
      <c r="C739" s="9">
        <v>2692.1</v>
      </c>
      <c r="D739" s="9">
        <v>2693.4</v>
      </c>
      <c r="E739" s="9">
        <v>2617.1</v>
      </c>
      <c r="F739" s="7" t="s">
        <v>1468</v>
      </c>
      <c r="G739" s="8">
        <v>-0.0286</v>
      </c>
    </row>
    <row r="740" spans="1:7">
      <c r="A740" s="6">
        <v>45608</v>
      </c>
      <c r="B740" s="9">
        <v>2606.3</v>
      </c>
      <c r="C740" s="9">
        <v>2625.7</v>
      </c>
      <c r="D740" s="9">
        <v>2633.4</v>
      </c>
      <c r="E740" s="9">
        <v>2595.7</v>
      </c>
      <c r="F740" s="7" t="s">
        <v>1469</v>
      </c>
      <c r="G740" s="8">
        <v>-0.0044</v>
      </c>
    </row>
    <row r="741" spans="1:7">
      <c r="A741" s="6">
        <v>45609</v>
      </c>
      <c r="B741" s="9">
        <v>2586.5</v>
      </c>
      <c r="C741" s="9">
        <v>2604.7</v>
      </c>
      <c r="D741" s="9">
        <v>2625</v>
      </c>
      <c r="E741" s="9">
        <v>2578.1</v>
      </c>
      <c r="F741" s="7" t="s">
        <v>1470</v>
      </c>
      <c r="G741" s="8">
        <v>-0.0076</v>
      </c>
    </row>
    <row r="742" spans="1:7">
      <c r="A742" s="6">
        <v>45610</v>
      </c>
      <c r="B742" s="9">
        <v>2572.9</v>
      </c>
      <c r="C742" s="9">
        <v>2578.1</v>
      </c>
      <c r="D742" s="9">
        <v>2585.8</v>
      </c>
      <c r="E742" s="9">
        <v>2541.5</v>
      </c>
      <c r="F742" s="7" t="s">
        <v>1471</v>
      </c>
      <c r="G742" s="8">
        <v>-0.0053</v>
      </c>
    </row>
    <row r="743" spans="1:7">
      <c r="A743" s="6">
        <v>45611</v>
      </c>
      <c r="B743" s="9">
        <v>2570.1</v>
      </c>
      <c r="C743" s="9">
        <v>2570.4</v>
      </c>
      <c r="D743" s="9">
        <v>2580.8</v>
      </c>
      <c r="E743" s="9">
        <v>2558.9</v>
      </c>
      <c r="F743" s="7" t="s">
        <v>1472</v>
      </c>
      <c r="G743" s="8">
        <v>-0.0011</v>
      </c>
    </row>
    <row r="744" spans="1:7">
      <c r="A744" s="6">
        <v>45614</v>
      </c>
      <c r="B744" s="9">
        <v>2614.6</v>
      </c>
      <c r="C744" s="9">
        <v>2571.5</v>
      </c>
      <c r="D744" s="9">
        <v>2619.5</v>
      </c>
      <c r="E744" s="9">
        <v>2568.5</v>
      </c>
      <c r="F744" s="7" t="s">
        <v>1473</v>
      </c>
      <c r="G744" s="8">
        <v>0.0173</v>
      </c>
    </row>
    <row r="745" spans="1:7">
      <c r="A745" s="6">
        <v>45615</v>
      </c>
      <c r="B745" s="9">
        <v>2631</v>
      </c>
      <c r="C745" s="9">
        <v>2616.3</v>
      </c>
      <c r="D745" s="9">
        <v>2643.4</v>
      </c>
      <c r="E745" s="9">
        <v>2614.2</v>
      </c>
      <c r="F745" s="7" t="s">
        <v>1474</v>
      </c>
      <c r="G745" s="8">
        <v>0.0063</v>
      </c>
    </row>
    <row r="746" spans="1:7">
      <c r="A746" s="6">
        <v>45616</v>
      </c>
      <c r="B746" s="9">
        <v>2651.7</v>
      </c>
      <c r="C746" s="9">
        <v>2635.8</v>
      </c>
      <c r="D746" s="9">
        <v>2659</v>
      </c>
      <c r="E746" s="9">
        <v>2621.9</v>
      </c>
      <c r="F746" s="7" t="s">
        <v>1475</v>
      </c>
      <c r="G746" s="8">
        <v>0.0079</v>
      </c>
    </row>
    <row r="747" spans="1:7">
      <c r="A747" s="6">
        <v>45617</v>
      </c>
      <c r="B747" s="9">
        <v>2674.9</v>
      </c>
      <c r="C747" s="9">
        <v>2653.5</v>
      </c>
      <c r="D747" s="9">
        <v>2676.5</v>
      </c>
      <c r="E747" s="9">
        <v>2651.6</v>
      </c>
      <c r="F747" s="7" t="s">
        <v>1476</v>
      </c>
      <c r="G747" s="8">
        <v>0.0087</v>
      </c>
    </row>
    <row r="748" spans="1:7">
      <c r="A748" s="6">
        <v>45618</v>
      </c>
      <c r="B748" s="9">
        <v>2712.2</v>
      </c>
      <c r="C748" s="9">
        <v>2672</v>
      </c>
      <c r="D748" s="9">
        <v>2718.5</v>
      </c>
      <c r="E748" s="9">
        <v>2670.1</v>
      </c>
      <c r="F748" s="7" t="s">
        <v>1477</v>
      </c>
      <c r="G748" s="8">
        <v>0.0139</v>
      </c>
    </row>
    <row r="749" spans="1:7">
      <c r="A749" s="6">
        <v>45621</v>
      </c>
      <c r="B749" s="9">
        <v>2618.5</v>
      </c>
      <c r="C749" s="9">
        <v>2716.9</v>
      </c>
      <c r="D749" s="9">
        <v>2723.2</v>
      </c>
      <c r="E749" s="9">
        <v>2616.6</v>
      </c>
      <c r="F749" s="7" t="s">
        <v>1478</v>
      </c>
      <c r="G749" s="8">
        <v>-0.0345</v>
      </c>
    </row>
    <row r="750" spans="1:7">
      <c r="A750" s="6">
        <v>45622</v>
      </c>
      <c r="B750" s="9">
        <v>2621.3</v>
      </c>
      <c r="C750" s="9">
        <v>2626.2</v>
      </c>
      <c r="D750" s="9">
        <v>2642.7</v>
      </c>
      <c r="E750" s="9">
        <v>2605.3</v>
      </c>
      <c r="F750" s="7" t="s">
        <v>1479</v>
      </c>
      <c r="G750" s="8">
        <v>0.0011</v>
      </c>
    </row>
    <row r="751" spans="1:7">
      <c r="A751" s="6">
        <v>45623</v>
      </c>
      <c r="B751" s="9">
        <v>2652.3</v>
      </c>
      <c r="C751" s="9">
        <v>2646.4</v>
      </c>
      <c r="D751" s="9">
        <v>2670.7</v>
      </c>
      <c r="E751" s="9">
        <v>2641.1</v>
      </c>
      <c r="F751" s="7" t="s">
        <v>1480</v>
      </c>
      <c r="G751" s="8">
        <v>0.0118</v>
      </c>
    </row>
    <row r="752" spans="1:7">
      <c r="A752" s="6">
        <v>45625</v>
      </c>
      <c r="B752" s="9">
        <v>2669</v>
      </c>
      <c r="C752" s="9">
        <v>2649.7</v>
      </c>
      <c r="D752" s="9">
        <v>2678.1</v>
      </c>
      <c r="E752" s="9">
        <v>2631.8</v>
      </c>
      <c r="F752" s="7" t="s">
        <v>1356</v>
      </c>
      <c r="G752" s="8">
        <v>0.0063</v>
      </c>
    </row>
    <row r="753" spans="1:7">
      <c r="A753" s="6">
        <v>45628</v>
      </c>
      <c r="B753" s="9">
        <v>2646.5</v>
      </c>
      <c r="C753" s="9">
        <v>2663.7</v>
      </c>
      <c r="D753" s="9">
        <v>2663.9</v>
      </c>
      <c r="E753" s="9">
        <v>2633.5</v>
      </c>
      <c r="F753" s="7" t="s">
        <v>1098</v>
      </c>
      <c r="G753" s="8">
        <v>-0.0084</v>
      </c>
    </row>
    <row r="754" spans="1:7">
      <c r="A754" s="6">
        <v>45629</v>
      </c>
      <c r="B754" s="9">
        <v>2655.9</v>
      </c>
      <c r="C754" s="9">
        <v>2652</v>
      </c>
      <c r="D754" s="9">
        <v>2665</v>
      </c>
      <c r="E754" s="9">
        <v>2645</v>
      </c>
      <c r="F754" s="7" t="s">
        <v>1282</v>
      </c>
      <c r="G754" s="8">
        <v>0.0036</v>
      </c>
    </row>
    <row r="755" spans="1:7">
      <c r="A755" s="6">
        <v>45630</v>
      </c>
      <c r="B755" s="9">
        <v>2664.3</v>
      </c>
      <c r="C755" s="9">
        <v>2651.3</v>
      </c>
      <c r="D755" s="9">
        <v>2670</v>
      </c>
      <c r="E755" s="9">
        <v>2643.8</v>
      </c>
      <c r="F755" s="7" t="s">
        <v>1196</v>
      </c>
      <c r="G755" s="8">
        <v>0.0032</v>
      </c>
    </row>
    <row r="756" spans="1:7">
      <c r="A756" s="6">
        <v>45631</v>
      </c>
      <c r="B756" s="9">
        <v>2636.1</v>
      </c>
      <c r="C756" s="9">
        <v>2661.9</v>
      </c>
      <c r="D756" s="9">
        <v>2667.3</v>
      </c>
      <c r="E756" s="9">
        <v>2634.5</v>
      </c>
      <c r="F756" s="7" t="s">
        <v>1284</v>
      </c>
      <c r="G756" s="8">
        <v>-0.0106</v>
      </c>
    </row>
    <row r="757" spans="1:7">
      <c r="A757" s="6">
        <v>45632</v>
      </c>
      <c r="B757" s="9">
        <v>2647.1</v>
      </c>
      <c r="C757" s="9">
        <v>2642.4</v>
      </c>
      <c r="D757" s="9">
        <v>2655</v>
      </c>
      <c r="E757" s="9">
        <v>2629.5</v>
      </c>
      <c r="F757" s="7" t="s">
        <v>1359</v>
      </c>
      <c r="G757" s="8">
        <v>0.0042</v>
      </c>
    </row>
    <row r="758" spans="1:7">
      <c r="A758" s="6">
        <v>45635</v>
      </c>
      <c r="B758" s="9">
        <v>2673.3</v>
      </c>
      <c r="C758" s="9">
        <v>2654.5</v>
      </c>
      <c r="D758" s="9">
        <v>2687</v>
      </c>
      <c r="E758" s="9">
        <v>2637.5</v>
      </c>
      <c r="F758" s="7" t="s">
        <v>982</v>
      </c>
      <c r="G758" s="8">
        <v>0.0099</v>
      </c>
    </row>
    <row r="759" spans="1:7">
      <c r="A759" s="6">
        <v>45636</v>
      </c>
      <c r="B759" s="9">
        <v>2705.6</v>
      </c>
      <c r="C759" s="9">
        <v>2669.8</v>
      </c>
      <c r="D759" s="9">
        <v>2708.8</v>
      </c>
      <c r="E759" s="9">
        <v>2669.8</v>
      </c>
      <c r="F759" s="7" t="s">
        <v>975</v>
      </c>
      <c r="G759" s="8">
        <v>0.0121</v>
      </c>
    </row>
    <row r="760" spans="1:7">
      <c r="A760" s="6">
        <v>45637</v>
      </c>
      <c r="B760" s="9">
        <v>2741.5</v>
      </c>
      <c r="C760" s="9">
        <v>2708.8</v>
      </c>
      <c r="D760" s="9">
        <v>2743.8</v>
      </c>
      <c r="E760" s="9">
        <v>2700.3</v>
      </c>
      <c r="F760" s="7" t="s">
        <v>1481</v>
      </c>
      <c r="G760" s="8">
        <v>0.0133</v>
      </c>
    </row>
    <row r="761" spans="1:7">
      <c r="A761" s="6">
        <v>45638</v>
      </c>
      <c r="B761" s="9">
        <v>2695.1</v>
      </c>
      <c r="C761" s="9">
        <v>2737.8</v>
      </c>
      <c r="D761" s="9">
        <v>2743.5</v>
      </c>
      <c r="E761" s="9">
        <v>2683.3</v>
      </c>
      <c r="F761" s="7" t="s">
        <v>1091</v>
      </c>
      <c r="G761" s="8">
        <v>-0.0169</v>
      </c>
    </row>
    <row r="762" spans="1:7">
      <c r="A762" s="6">
        <v>45639</v>
      </c>
      <c r="B762" s="9">
        <v>2662.4</v>
      </c>
      <c r="C762" s="9">
        <v>2690.2</v>
      </c>
      <c r="D762" s="9">
        <v>2702.1</v>
      </c>
      <c r="E762" s="9">
        <v>2650.6</v>
      </c>
      <c r="F762" s="7" t="s">
        <v>1086</v>
      </c>
      <c r="G762" s="8">
        <v>-0.0121</v>
      </c>
    </row>
    <row r="763" spans="1:7">
      <c r="A763" s="6">
        <v>45642</v>
      </c>
      <c r="B763" s="9">
        <v>2657</v>
      </c>
      <c r="C763" s="9">
        <v>2654.6</v>
      </c>
      <c r="D763" s="9">
        <v>2669.7</v>
      </c>
      <c r="E763" s="9">
        <v>2648.3</v>
      </c>
      <c r="F763" s="7" t="s">
        <v>975</v>
      </c>
      <c r="G763" s="8">
        <v>-0.002</v>
      </c>
    </row>
    <row r="764" spans="1:7">
      <c r="A764" s="6">
        <v>45643</v>
      </c>
      <c r="B764" s="9">
        <v>2649.6</v>
      </c>
      <c r="C764" s="9">
        <v>2657.2</v>
      </c>
      <c r="D764" s="9">
        <v>2662.5</v>
      </c>
      <c r="E764" s="9">
        <v>2634.3</v>
      </c>
      <c r="F764" s="7" t="s">
        <v>1023</v>
      </c>
      <c r="G764" s="8">
        <v>-0.0028</v>
      </c>
    </row>
    <row r="765" spans="1:7">
      <c r="A765" s="6">
        <v>45644</v>
      </c>
      <c r="B765" s="9">
        <v>2640.8</v>
      </c>
      <c r="C765" s="9">
        <v>2651.2</v>
      </c>
      <c r="D765" s="9">
        <v>2654.3</v>
      </c>
      <c r="E765" s="9">
        <v>2587.2</v>
      </c>
      <c r="F765" s="7" t="s">
        <v>977</v>
      </c>
      <c r="G765" s="8">
        <v>-0.0033</v>
      </c>
    </row>
    <row r="766" spans="1:7">
      <c r="A766" s="6">
        <v>45645</v>
      </c>
      <c r="B766" s="9">
        <v>2596</v>
      </c>
      <c r="C766" s="9">
        <v>2586</v>
      </c>
      <c r="D766" s="9">
        <v>2625</v>
      </c>
      <c r="E766" s="9">
        <v>2585.9</v>
      </c>
      <c r="F766" s="7" t="s">
        <v>1304</v>
      </c>
      <c r="G766" s="8">
        <v>-0.017</v>
      </c>
    </row>
    <row r="767" spans="1:7">
      <c r="A767" s="6">
        <v>45646</v>
      </c>
      <c r="B767" s="9">
        <v>2632.5</v>
      </c>
      <c r="C767" s="9">
        <v>2597.7</v>
      </c>
      <c r="D767" s="9">
        <v>2640.7</v>
      </c>
      <c r="E767" s="9">
        <v>2595.7</v>
      </c>
      <c r="F767" s="7" t="s">
        <v>1021</v>
      </c>
      <c r="G767" s="8">
        <v>0.0141</v>
      </c>
    </row>
    <row r="768" spans="1:7">
      <c r="A768" s="6">
        <v>45649</v>
      </c>
      <c r="B768" s="9">
        <v>2615.5</v>
      </c>
      <c r="C768" s="9">
        <v>2627.3</v>
      </c>
      <c r="D768" s="9">
        <v>2632.9</v>
      </c>
      <c r="E768" s="9">
        <v>2610.2</v>
      </c>
      <c r="F768" s="7" t="s">
        <v>1164</v>
      </c>
      <c r="G768" s="8">
        <v>-0.0065</v>
      </c>
    </row>
    <row r="769" spans="1:7">
      <c r="A769" s="6">
        <v>45650</v>
      </c>
      <c r="B769" s="9">
        <v>2622.8</v>
      </c>
      <c r="C769" s="9">
        <v>2616.5</v>
      </c>
      <c r="D769" s="9">
        <v>2622.7</v>
      </c>
      <c r="E769" s="9">
        <v>2612.5</v>
      </c>
      <c r="F769" s="7" t="s">
        <v>1064</v>
      </c>
      <c r="G769" s="8">
        <v>0.0028</v>
      </c>
    </row>
    <row r="770" spans="1:7">
      <c r="A770" s="6">
        <v>45652</v>
      </c>
      <c r="B770" s="9">
        <v>2640.3</v>
      </c>
      <c r="C770" s="9">
        <v>2623.3</v>
      </c>
      <c r="D770" s="9">
        <v>2642.4</v>
      </c>
      <c r="E770" s="9">
        <v>2622.8</v>
      </c>
      <c r="F770" s="7" t="s">
        <v>1412</v>
      </c>
      <c r="G770" s="8">
        <v>0.0067</v>
      </c>
    </row>
    <row r="771" spans="1:7">
      <c r="A771" s="6">
        <v>45653</v>
      </c>
      <c r="B771" s="9">
        <v>2618.4</v>
      </c>
      <c r="C771" s="9">
        <v>2639.7</v>
      </c>
      <c r="D771" s="9">
        <v>2639.7</v>
      </c>
      <c r="E771" s="9">
        <v>2612.1</v>
      </c>
      <c r="F771" s="7" t="s">
        <v>983</v>
      </c>
      <c r="G771" s="8">
        <v>-0.0083</v>
      </c>
    </row>
    <row r="772" spans="1:7">
      <c r="A772" s="6">
        <v>45656</v>
      </c>
      <c r="B772" s="9">
        <v>2618.1</v>
      </c>
      <c r="C772" s="9">
        <v>2636.1</v>
      </c>
      <c r="D772" s="9">
        <v>2640.7</v>
      </c>
      <c r="E772" s="9">
        <v>2608.4</v>
      </c>
      <c r="F772" s="7" t="s">
        <v>1482</v>
      </c>
      <c r="G772" s="8">
        <v>-0.0001</v>
      </c>
    </row>
    <row r="773" spans="1:7">
      <c r="A773" s="6">
        <v>45657</v>
      </c>
      <c r="B773" s="9">
        <v>2641</v>
      </c>
      <c r="C773" s="9">
        <v>2620</v>
      </c>
      <c r="D773" s="9">
        <v>2642</v>
      </c>
      <c r="E773" s="9">
        <v>2614.3</v>
      </c>
      <c r="F773" s="7" t="s">
        <v>1483</v>
      </c>
      <c r="G773" s="8">
        <v>0.0087</v>
      </c>
    </row>
    <row r="774" spans="1:7">
      <c r="A774" s="6">
        <v>45659</v>
      </c>
      <c r="B774" s="9">
        <v>2669</v>
      </c>
      <c r="C774" s="9">
        <v>2641</v>
      </c>
      <c r="D774" s="9">
        <v>2674.2</v>
      </c>
      <c r="E774" s="9">
        <v>2636.1</v>
      </c>
      <c r="F774" s="7" t="s">
        <v>1484</v>
      </c>
      <c r="G774" s="8">
        <v>0.0106</v>
      </c>
    </row>
    <row r="775" spans="1:7">
      <c r="A775" s="6">
        <v>45660</v>
      </c>
      <c r="B775" s="9">
        <v>2654.7</v>
      </c>
      <c r="C775" s="9">
        <v>2671.1</v>
      </c>
      <c r="D775" s="9">
        <v>2681</v>
      </c>
      <c r="E775" s="9">
        <v>2649.7</v>
      </c>
      <c r="F775" s="7" t="s">
        <v>1485</v>
      </c>
      <c r="G775" s="8">
        <v>-0.0054</v>
      </c>
    </row>
    <row r="776" spans="1:7">
      <c r="A776" s="6">
        <v>45663</v>
      </c>
      <c r="B776" s="9">
        <v>2647.4</v>
      </c>
      <c r="C776" s="9">
        <v>2652.8</v>
      </c>
      <c r="D776" s="9">
        <v>2663.8</v>
      </c>
      <c r="E776" s="9">
        <v>2624.6</v>
      </c>
      <c r="F776" s="7" t="s">
        <v>1486</v>
      </c>
      <c r="G776" s="8">
        <v>-0.0027</v>
      </c>
    </row>
    <row r="777" spans="1:7">
      <c r="A777" s="6">
        <v>45664</v>
      </c>
      <c r="B777" s="9">
        <v>2665.4</v>
      </c>
      <c r="C777" s="9">
        <v>2647.1</v>
      </c>
      <c r="D777" s="9">
        <v>2678.5</v>
      </c>
      <c r="E777" s="9">
        <v>2643.5</v>
      </c>
      <c r="F777" s="7" t="s">
        <v>1487</v>
      </c>
      <c r="G777" s="8">
        <v>0.0068</v>
      </c>
    </row>
    <row r="778" spans="1:7">
      <c r="A778" s="6">
        <v>45665</v>
      </c>
      <c r="B778" s="9">
        <v>2672.4</v>
      </c>
      <c r="C778" s="9">
        <v>2662.9</v>
      </c>
      <c r="D778" s="9">
        <v>2687</v>
      </c>
      <c r="E778" s="9">
        <v>2658.4</v>
      </c>
      <c r="F778" s="7" t="s">
        <v>1488</v>
      </c>
      <c r="G778" s="8">
        <v>0.0026</v>
      </c>
    </row>
    <row r="779" spans="1:7">
      <c r="A779" s="6">
        <v>45666</v>
      </c>
      <c r="B779" s="9">
        <v>2690.8</v>
      </c>
      <c r="C779" s="9">
        <v>2679.9</v>
      </c>
      <c r="D779" s="9">
        <v>2696.8</v>
      </c>
      <c r="E779" s="9">
        <v>2673.7</v>
      </c>
      <c r="F779" s="7" t="s">
        <v>1489</v>
      </c>
      <c r="G779" s="8">
        <v>0.0069</v>
      </c>
    </row>
    <row r="780" spans="1:7">
      <c r="A780" s="6">
        <v>45667</v>
      </c>
      <c r="B780" s="9">
        <v>2715</v>
      </c>
      <c r="C780" s="9">
        <v>2692.9</v>
      </c>
      <c r="D780" s="9">
        <v>2735</v>
      </c>
      <c r="E780" s="9">
        <v>2686.9</v>
      </c>
      <c r="F780" s="7" t="s">
        <v>1490</v>
      </c>
      <c r="G780" s="8">
        <v>0.009</v>
      </c>
    </row>
    <row r="781" spans="1:7">
      <c r="A781" s="6">
        <v>45670</v>
      </c>
      <c r="B781" s="9">
        <v>2678.6</v>
      </c>
      <c r="C781" s="9">
        <v>2716.8</v>
      </c>
      <c r="D781" s="9">
        <v>2723.8</v>
      </c>
      <c r="E781" s="9">
        <v>2675.2</v>
      </c>
      <c r="F781" s="7" t="s">
        <v>1491</v>
      </c>
      <c r="G781" s="8">
        <v>-0.0134</v>
      </c>
    </row>
    <row r="782" spans="1:7">
      <c r="A782" s="6">
        <v>45671</v>
      </c>
      <c r="B782" s="9">
        <v>2682.3</v>
      </c>
      <c r="C782" s="9">
        <v>2682</v>
      </c>
      <c r="D782" s="9">
        <v>2693.7</v>
      </c>
      <c r="E782" s="9">
        <v>2672</v>
      </c>
      <c r="F782" s="7" t="s">
        <v>1492</v>
      </c>
      <c r="G782" s="8">
        <v>0.0014</v>
      </c>
    </row>
    <row r="783" spans="1:7">
      <c r="A783" s="6">
        <v>45672</v>
      </c>
      <c r="B783" s="9">
        <v>2717.8</v>
      </c>
      <c r="C783" s="9">
        <v>2693.3</v>
      </c>
      <c r="D783" s="9">
        <v>2722.7</v>
      </c>
      <c r="E783" s="9">
        <v>2685.4</v>
      </c>
      <c r="F783" s="7" t="s">
        <v>1493</v>
      </c>
      <c r="G783" s="8">
        <v>0.0132</v>
      </c>
    </row>
    <row r="784" spans="1:7">
      <c r="A784" s="6">
        <v>45673</v>
      </c>
      <c r="B784" s="9">
        <v>2750.9</v>
      </c>
      <c r="C784" s="9">
        <v>2722.3</v>
      </c>
      <c r="D784" s="9">
        <v>2757.9</v>
      </c>
      <c r="E784" s="9">
        <v>2720.4</v>
      </c>
      <c r="F784" s="7" t="s">
        <v>1494</v>
      </c>
      <c r="G784" s="8">
        <v>0.0122</v>
      </c>
    </row>
    <row r="785" spans="1:7">
      <c r="A785" s="6">
        <v>45674</v>
      </c>
      <c r="B785" s="9">
        <v>2748.7</v>
      </c>
      <c r="C785" s="9">
        <v>2746.8</v>
      </c>
      <c r="D785" s="9">
        <v>2759.2</v>
      </c>
      <c r="E785" s="9">
        <v>2729.2</v>
      </c>
      <c r="F785" s="7" t="s">
        <v>1495</v>
      </c>
      <c r="G785" s="8">
        <v>-0.0008</v>
      </c>
    </row>
    <row r="786" spans="1:7">
      <c r="A786" s="6">
        <v>45678</v>
      </c>
      <c r="B786" s="9">
        <v>2785.6</v>
      </c>
      <c r="C786" s="9">
        <v>2766</v>
      </c>
      <c r="D786" s="9">
        <v>2788.4</v>
      </c>
      <c r="E786" s="9">
        <v>2741.5</v>
      </c>
      <c r="F786" s="7" t="s">
        <v>1496</v>
      </c>
      <c r="G786" s="8">
        <v>0.0134</v>
      </c>
    </row>
    <row r="787" spans="1:7">
      <c r="A787" s="6">
        <v>45679</v>
      </c>
      <c r="B787" s="9">
        <v>2797.4</v>
      </c>
      <c r="C787" s="9">
        <v>2784.5</v>
      </c>
      <c r="D787" s="9">
        <v>2800.3</v>
      </c>
      <c r="E787" s="9">
        <v>2782.5</v>
      </c>
      <c r="F787" s="7" t="s">
        <v>1497</v>
      </c>
      <c r="G787" s="8">
        <v>0.0042</v>
      </c>
    </row>
    <row r="788" spans="1:7">
      <c r="A788" s="6">
        <v>45680</v>
      </c>
      <c r="B788" s="9">
        <v>2778.3</v>
      </c>
      <c r="C788" s="9">
        <v>2778.1</v>
      </c>
      <c r="D788" s="9">
        <v>2780.2</v>
      </c>
      <c r="E788" s="9">
        <v>2754.7</v>
      </c>
      <c r="F788" s="7" t="s">
        <v>1498</v>
      </c>
      <c r="G788" s="8">
        <v>-0.0068</v>
      </c>
    </row>
    <row r="789" spans="1:7">
      <c r="A789" s="6">
        <v>45681</v>
      </c>
      <c r="B789" s="9">
        <v>2792.7</v>
      </c>
      <c r="C789" s="9">
        <v>2779.3</v>
      </c>
      <c r="D789" s="9">
        <v>2808.1</v>
      </c>
      <c r="E789" s="9">
        <v>2779.3</v>
      </c>
      <c r="F789" s="7" t="s">
        <v>1049</v>
      </c>
      <c r="G789" s="8">
        <v>0.0052</v>
      </c>
    </row>
    <row r="790" spans="1:7">
      <c r="A790" s="6">
        <v>45684</v>
      </c>
      <c r="B790" s="9">
        <v>2752.4</v>
      </c>
      <c r="C790" s="9">
        <v>2791</v>
      </c>
      <c r="D790" s="9">
        <v>2791</v>
      </c>
      <c r="E790" s="9">
        <v>2746.8</v>
      </c>
      <c r="F790" s="7" t="s">
        <v>1499</v>
      </c>
      <c r="G790" s="8">
        <v>-0.0144</v>
      </c>
    </row>
    <row r="791" spans="1:7">
      <c r="A791" s="6">
        <v>45685</v>
      </c>
      <c r="B791" s="9">
        <v>2781</v>
      </c>
      <c r="C791" s="9">
        <v>2757</v>
      </c>
      <c r="D791" s="9">
        <v>2786.9</v>
      </c>
      <c r="E791" s="9">
        <v>2752.9</v>
      </c>
      <c r="F791" s="7" t="s">
        <v>1500</v>
      </c>
      <c r="G791" s="8">
        <v>0.0104</v>
      </c>
    </row>
    <row r="792" spans="1:7">
      <c r="A792" s="6">
        <v>45686</v>
      </c>
      <c r="B792" s="9">
        <v>2781.5</v>
      </c>
      <c r="C792" s="9">
        <v>2784.9</v>
      </c>
      <c r="D792" s="9">
        <v>2790.1</v>
      </c>
      <c r="E792" s="9">
        <v>2772.8</v>
      </c>
      <c r="F792" s="7" t="s">
        <v>1501</v>
      </c>
      <c r="G792" s="8">
        <v>0.0002</v>
      </c>
    </row>
    <row r="793" spans="1:7">
      <c r="A793" s="6">
        <v>45687</v>
      </c>
      <c r="B793" s="9">
        <v>2845.2</v>
      </c>
      <c r="C793" s="9">
        <v>2796.2</v>
      </c>
      <c r="D793" s="9">
        <v>2853.2</v>
      </c>
      <c r="E793" s="9">
        <v>2794.9</v>
      </c>
      <c r="F793" s="7" t="s">
        <v>1502</v>
      </c>
      <c r="G793" s="8">
        <v>0.0229</v>
      </c>
    </row>
    <row r="794" spans="1:7">
      <c r="A794" s="6">
        <v>45688</v>
      </c>
      <c r="B794" s="9">
        <v>2835</v>
      </c>
      <c r="C794" s="9">
        <v>2851.9</v>
      </c>
      <c r="D794" s="9">
        <v>2862.9</v>
      </c>
      <c r="E794" s="9">
        <v>2826</v>
      </c>
      <c r="F794" s="7" t="s">
        <v>1503</v>
      </c>
      <c r="G794" s="8">
        <v>-0.0036</v>
      </c>
    </row>
    <row r="795" spans="1:7">
      <c r="A795" s="6">
        <v>45691</v>
      </c>
      <c r="B795" s="9">
        <v>2857.1</v>
      </c>
      <c r="C795" s="9">
        <v>2846.5</v>
      </c>
      <c r="D795" s="9">
        <v>2872</v>
      </c>
      <c r="E795" s="9">
        <v>2802.2</v>
      </c>
      <c r="F795" s="7" t="s">
        <v>1310</v>
      </c>
      <c r="G795" s="8">
        <v>0.0078</v>
      </c>
    </row>
    <row r="796" spans="1:7">
      <c r="A796" s="6">
        <v>45692</v>
      </c>
      <c r="B796" s="9">
        <v>2875.8</v>
      </c>
      <c r="C796" s="9">
        <v>2850.4</v>
      </c>
      <c r="D796" s="9">
        <v>2877.1</v>
      </c>
      <c r="E796" s="9">
        <v>2837.4</v>
      </c>
      <c r="F796" s="7" t="s">
        <v>1504</v>
      </c>
      <c r="G796" s="8">
        <v>0.0065</v>
      </c>
    </row>
    <row r="797" spans="1:7">
      <c r="A797" s="6">
        <v>45693</v>
      </c>
      <c r="B797" s="9">
        <v>2893</v>
      </c>
      <c r="C797" s="9">
        <v>2873.7</v>
      </c>
      <c r="D797" s="9">
        <v>2906</v>
      </c>
      <c r="E797" s="9">
        <v>2870.1</v>
      </c>
      <c r="F797" s="7" t="s">
        <v>1505</v>
      </c>
      <c r="G797" s="8">
        <v>0.006</v>
      </c>
    </row>
    <row r="798" spans="1:7">
      <c r="A798" s="6">
        <v>45694</v>
      </c>
      <c r="B798" s="9">
        <v>2876.7</v>
      </c>
      <c r="C798" s="9">
        <v>2885</v>
      </c>
      <c r="D798" s="9">
        <v>2894.2</v>
      </c>
      <c r="E798" s="9">
        <v>2855</v>
      </c>
      <c r="F798" s="7" t="s">
        <v>1506</v>
      </c>
      <c r="G798" s="8">
        <v>-0.0056</v>
      </c>
    </row>
    <row r="799" spans="1:7">
      <c r="A799" s="6">
        <v>45695</v>
      </c>
      <c r="B799" s="9">
        <v>2887.6</v>
      </c>
      <c r="C799" s="9">
        <v>2880.2</v>
      </c>
      <c r="D799" s="9">
        <v>2910.6</v>
      </c>
      <c r="E799" s="9">
        <v>2876.1</v>
      </c>
      <c r="F799" s="7" t="s">
        <v>1507</v>
      </c>
      <c r="G799" s="8">
        <v>0.0038</v>
      </c>
    </row>
    <row r="800" spans="1:7">
      <c r="A800" s="6">
        <v>45698</v>
      </c>
      <c r="B800" s="9">
        <v>2934.4</v>
      </c>
      <c r="C800" s="9">
        <v>2884.8</v>
      </c>
      <c r="D800" s="9">
        <v>2938.1</v>
      </c>
      <c r="E800" s="9">
        <v>2879.9</v>
      </c>
      <c r="F800" s="7" t="s">
        <v>1508</v>
      </c>
      <c r="G800" s="8">
        <v>0.0162</v>
      </c>
    </row>
    <row r="801" spans="1:7">
      <c r="A801" s="6">
        <v>45699</v>
      </c>
      <c r="B801" s="9">
        <v>2932.6</v>
      </c>
      <c r="C801" s="9">
        <v>2937</v>
      </c>
      <c r="D801" s="9">
        <v>2968.5</v>
      </c>
      <c r="E801" s="9">
        <v>2907</v>
      </c>
      <c r="F801" s="7" t="s">
        <v>1509</v>
      </c>
      <c r="G801" s="8">
        <v>-0.0006</v>
      </c>
    </row>
    <row r="802" spans="1:7">
      <c r="A802" s="6">
        <v>45700</v>
      </c>
      <c r="B802" s="9">
        <v>2928.7</v>
      </c>
      <c r="C802" s="9">
        <v>2927</v>
      </c>
      <c r="D802" s="9">
        <v>2936.5</v>
      </c>
      <c r="E802" s="9">
        <v>2886.5</v>
      </c>
      <c r="F802" s="7" t="s">
        <v>1510</v>
      </c>
      <c r="G802" s="8">
        <v>-0.0013</v>
      </c>
    </row>
    <row r="803" spans="1:7">
      <c r="A803" s="6">
        <v>45701</v>
      </c>
      <c r="B803" s="9">
        <v>2945.4</v>
      </c>
      <c r="C803" s="9">
        <v>2928.8</v>
      </c>
      <c r="D803" s="9">
        <v>2958.8</v>
      </c>
      <c r="E803" s="9">
        <v>2925.8</v>
      </c>
      <c r="F803" s="7" t="s">
        <v>1511</v>
      </c>
      <c r="G803" s="8">
        <v>0.0057</v>
      </c>
    </row>
    <row r="804" spans="1:7">
      <c r="A804" s="6">
        <v>45702</v>
      </c>
      <c r="B804" s="9">
        <v>2900.7</v>
      </c>
      <c r="C804" s="9">
        <v>2957.3</v>
      </c>
      <c r="D804" s="9">
        <v>2964.1</v>
      </c>
      <c r="E804" s="9">
        <v>2889.9</v>
      </c>
      <c r="F804" s="7" t="s">
        <v>1512</v>
      </c>
      <c r="G804" s="8">
        <v>-0.0152</v>
      </c>
    </row>
    <row r="805" spans="1:7">
      <c r="A805" s="6">
        <v>45706</v>
      </c>
      <c r="B805" s="9">
        <v>2949</v>
      </c>
      <c r="C805" s="9">
        <v>2895.1</v>
      </c>
      <c r="D805" s="9">
        <v>2956.5</v>
      </c>
      <c r="E805" s="9">
        <v>2887.6</v>
      </c>
      <c r="F805" s="7" t="s">
        <v>1513</v>
      </c>
      <c r="G805" s="8">
        <v>0.0167</v>
      </c>
    </row>
    <row r="806" spans="1:7">
      <c r="A806" s="6">
        <v>45707</v>
      </c>
      <c r="B806" s="9">
        <v>2936.1</v>
      </c>
      <c r="C806" s="9">
        <v>2954.1</v>
      </c>
      <c r="D806" s="9">
        <v>2964.4</v>
      </c>
      <c r="E806" s="9">
        <v>2933.7</v>
      </c>
      <c r="F806" s="7" t="s">
        <v>1514</v>
      </c>
      <c r="G806" s="8">
        <v>-0.0044</v>
      </c>
    </row>
    <row r="807" spans="1:7">
      <c r="A807" s="6">
        <v>45708</v>
      </c>
      <c r="B807" s="9">
        <v>2956.1</v>
      </c>
      <c r="C807" s="9">
        <v>2949.5</v>
      </c>
      <c r="D807" s="9">
        <v>2973.4</v>
      </c>
      <c r="E807" s="9">
        <v>2939.3</v>
      </c>
      <c r="F807" s="7" t="s">
        <v>1515</v>
      </c>
      <c r="G807" s="8">
        <v>0.0068</v>
      </c>
    </row>
    <row r="808" spans="1:7">
      <c r="A808" s="6">
        <v>45709</v>
      </c>
      <c r="B808" s="9">
        <v>2953.2</v>
      </c>
      <c r="C808" s="9">
        <v>2955.7</v>
      </c>
      <c r="D808" s="9">
        <v>2964.7</v>
      </c>
      <c r="E808" s="9">
        <v>2930.1</v>
      </c>
      <c r="F808" s="7" t="s">
        <v>1516</v>
      </c>
      <c r="G808" s="8">
        <v>-0.001</v>
      </c>
    </row>
    <row r="809" spans="1:7">
      <c r="A809" s="6">
        <v>45712</v>
      </c>
      <c r="B809" s="9">
        <v>2949.7</v>
      </c>
      <c r="C809" s="9">
        <v>2939.3</v>
      </c>
      <c r="D809" s="9">
        <v>2960</v>
      </c>
      <c r="E809" s="9">
        <v>2926.4</v>
      </c>
      <c r="F809" s="7" t="s">
        <v>1517</v>
      </c>
      <c r="G809" s="8">
        <v>-0.0012</v>
      </c>
    </row>
    <row r="810" spans="1:7">
      <c r="A810" s="6">
        <v>45713</v>
      </c>
      <c r="B810" s="9">
        <v>2906</v>
      </c>
      <c r="C810" s="9">
        <v>2955.9</v>
      </c>
      <c r="D810" s="9">
        <v>2955.9</v>
      </c>
      <c r="E810" s="9">
        <v>2884.5</v>
      </c>
      <c r="F810" s="7" t="s">
        <v>1518</v>
      </c>
      <c r="G810" s="8">
        <v>-0.0148</v>
      </c>
    </row>
    <row r="811" spans="1:7">
      <c r="A811" s="6">
        <v>45714</v>
      </c>
      <c r="B811" s="9">
        <v>2917.8</v>
      </c>
      <c r="C811" s="9">
        <v>2915.6</v>
      </c>
      <c r="D811" s="9">
        <v>2926.4</v>
      </c>
      <c r="E811" s="9">
        <v>2891</v>
      </c>
      <c r="F811" s="7" t="s">
        <v>1519</v>
      </c>
      <c r="G811" s="8">
        <v>0.0041</v>
      </c>
    </row>
    <row r="812" spans="1:7">
      <c r="A812" s="6">
        <v>45715</v>
      </c>
      <c r="B812" s="9">
        <v>2895.9</v>
      </c>
      <c r="C812" s="9">
        <v>2931.4</v>
      </c>
      <c r="D812" s="9">
        <v>2935.8</v>
      </c>
      <c r="E812" s="9">
        <v>2879</v>
      </c>
      <c r="F812" s="7" t="s">
        <v>1520</v>
      </c>
      <c r="G812" s="8">
        <v>-0.0075</v>
      </c>
    </row>
    <row r="813" spans="1:7">
      <c r="A813" s="6">
        <v>45716</v>
      </c>
      <c r="B813" s="9">
        <v>2848.5</v>
      </c>
      <c r="C813" s="9">
        <v>2889</v>
      </c>
      <c r="D813" s="9">
        <v>2896.1</v>
      </c>
      <c r="E813" s="9">
        <v>2844.1</v>
      </c>
      <c r="F813" s="7" t="s">
        <v>1521</v>
      </c>
      <c r="G813" s="8">
        <v>-0.0164</v>
      </c>
    </row>
    <row r="814" spans="1:7">
      <c r="A814" s="6">
        <v>45719</v>
      </c>
      <c r="B814" s="9">
        <v>2901.1</v>
      </c>
      <c r="C814" s="9">
        <v>2872</v>
      </c>
      <c r="D814" s="9">
        <v>2906.4</v>
      </c>
      <c r="E814" s="9">
        <v>2866.3</v>
      </c>
      <c r="F814" s="7" t="s">
        <v>1522</v>
      </c>
      <c r="G814" s="8">
        <v>0.0185</v>
      </c>
    </row>
    <row r="815" spans="1:7">
      <c r="A815" s="6">
        <v>45720</v>
      </c>
      <c r="B815" s="9">
        <v>2920.6</v>
      </c>
      <c r="C815" s="9">
        <v>2904.2</v>
      </c>
      <c r="D815" s="9">
        <v>2939.8</v>
      </c>
      <c r="E815" s="9">
        <v>2892.5</v>
      </c>
      <c r="F815" s="7" t="s">
        <v>1523</v>
      </c>
      <c r="G815" s="8">
        <v>0.0067</v>
      </c>
    </row>
    <row r="816" spans="1:7">
      <c r="A816" s="6">
        <v>45721</v>
      </c>
      <c r="B816" s="9">
        <v>2926</v>
      </c>
      <c r="C816" s="9">
        <v>2929</v>
      </c>
      <c r="D816" s="9">
        <v>2941.3</v>
      </c>
      <c r="E816" s="9">
        <v>2903.4</v>
      </c>
      <c r="F816" s="7" t="s">
        <v>1524</v>
      </c>
      <c r="G816" s="8">
        <v>0.0018</v>
      </c>
    </row>
    <row r="817" spans="1:7">
      <c r="A817" s="6">
        <v>45722</v>
      </c>
      <c r="B817" s="9">
        <v>2926.6</v>
      </c>
      <c r="C817" s="9">
        <v>2929.5</v>
      </c>
      <c r="D817" s="9">
        <v>2935.9</v>
      </c>
      <c r="E817" s="9">
        <v>2897.6</v>
      </c>
      <c r="F817" s="7" t="s">
        <v>1525</v>
      </c>
      <c r="G817" s="8">
        <v>0.0002</v>
      </c>
    </row>
    <row r="818" spans="1:7">
      <c r="A818" s="6">
        <v>45723</v>
      </c>
      <c r="B818" s="9">
        <v>2914.1</v>
      </c>
      <c r="C818" s="9">
        <v>2919.2</v>
      </c>
      <c r="D818" s="9">
        <v>2938.8</v>
      </c>
      <c r="E818" s="9">
        <v>2905.3</v>
      </c>
      <c r="F818" s="7" t="s">
        <v>1526</v>
      </c>
      <c r="G818" s="8">
        <v>-0.0043</v>
      </c>
    </row>
    <row r="819" spans="1:7">
      <c r="A819" s="6">
        <v>45726</v>
      </c>
      <c r="B819" s="9">
        <v>2899.4</v>
      </c>
      <c r="C819" s="9">
        <v>2919.6</v>
      </c>
      <c r="D819" s="9">
        <v>2926.4</v>
      </c>
      <c r="E819" s="9">
        <v>2885.2</v>
      </c>
      <c r="F819" s="7" t="s">
        <v>1527</v>
      </c>
      <c r="G819" s="8">
        <v>-0.005</v>
      </c>
    </row>
    <row r="820" spans="1:7">
      <c r="A820" s="6">
        <v>45727</v>
      </c>
      <c r="B820" s="9">
        <v>2920.9</v>
      </c>
      <c r="C820" s="9">
        <v>2893.2</v>
      </c>
      <c r="D820" s="9">
        <v>2929</v>
      </c>
      <c r="E820" s="9">
        <v>2882.5</v>
      </c>
      <c r="F820" s="7" t="s">
        <v>1528</v>
      </c>
      <c r="G820" s="8">
        <v>0.0074</v>
      </c>
    </row>
    <row r="821" spans="1:7">
      <c r="A821" s="6">
        <v>45728</v>
      </c>
      <c r="B821" s="9">
        <v>2946.8</v>
      </c>
      <c r="C821" s="9">
        <v>2922.3</v>
      </c>
      <c r="D821" s="9">
        <v>2948.9</v>
      </c>
      <c r="E821" s="9">
        <v>2911</v>
      </c>
      <c r="F821" s="7" t="s">
        <v>1529</v>
      </c>
      <c r="G821" s="8">
        <v>0.0089</v>
      </c>
    </row>
    <row r="822" spans="1:7">
      <c r="A822" s="6">
        <v>45729</v>
      </c>
      <c r="B822" s="9">
        <v>2991.3</v>
      </c>
      <c r="C822" s="9">
        <v>2943.3</v>
      </c>
      <c r="D822" s="9">
        <v>3001.5</v>
      </c>
      <c r="E822" s="9">
        <v>2942.2</v>
      </c>
      <c r="F822" s="7" t="s">
        <v>1530</v>
      </c>
      <c r="G822" s="8">
        <v>0.0151</v>
      </c>
    </row>
    <row r="823" spans="1:7">
      <c r="A823" s="6">
        <v>45730</v>
      </c>
      <c r="B823" s="9">
        <v>3001.1</v>
      </c>
      <c r="C823" s="9">
        <v>3001.4</v>
      </c>
      <c r="D823" s="9">
        <v>3017.1</v>
      </c>
      <c r="E823" s="9">
        <v>2988.6</v>
      </c>
      <c r="F823" s="7" t="s">
        <v>1531</v>
      </c>
      <c r="G823" s="8">
        <v>0.0033</v>
      </c>
    </row>
    <row r="824" spans="1:7">
      <c r="A824" s="6">
        <v>45733</v>
      </c>
      <c r="B824" s="9">
        <v>3034.1</v>
      </c>
      <c r="C824" s="9">
        <v>3021.2</v>
      </c>
      <c r="D824" s="9">
        <v>3038.6</v>
      </c>
      <c r="E824" s="9">
        <v>3019.5</v>
      </c>
      <c r="F824" s="7" t="s">
        <v>1532</v>
      </c>
      <c r="G824" s="8">
        <v>0.011</v>
      </c>
    </row>
    <row r="825" spans="1:7">
      <c r="A825" s="6">
        <v>45734</v>
      </c>
      <c r="B825" s="9">
        <v>3068.9</v>
      </c>
      <c r="C825" s="9">
        <v>3036.9</v>
      </c>
      <c r="D825" s="9">
        <v>3075.1</v>
      </c>
      <c r="E825" s="9">
        <v>3036</v>
      </c>
      <c r="F825" s="7" t="s">
        <v>1533</v>
      </c>
      <c r="G825" s="8">
        <v>0.0115</v>
      </c>
    </row>
    <row r="826" spans="1:7">
      <c r="A826" s="6">
        <v>45735</v>
      </c>
      <c r="B826" s="9">
        <v>3069.1</v>
      </c>
      <c r="C826" s="9">
        <v>3069.3</v>
      </c>
      <c r="D826" s="9">
        <v>3089.4</v>
      </c>
      <c r="E826" s="9">
        <v>3059.2</v>
      </c>
      <c r="F826" s="7" t="s">
        <v>1534</v>
      </c>
      <c r="G826" s="8">
        <v>0.0001</v>
      </c>
    </row>
    <row r="827" spans="1:7">
      <c r="A827" s="6">
        <v>45736</v>
      </c>
      <c r="B827" s="9">
        <v>3071.3</v>
      </c>
      <c r="C827" s="9">
        <v>3085.6</v>
      </c>
      <c r="D827" s="9">
        <v>3092.8</v>
      </c>
      <c r="E827" s="9">
        <v>3060.3</v>
      </c>
      <c r="F827" s="7" t="s">
        <v>1535</v>
      </c>
      <c r="G827" s="8">
        <v>0.0007</v>
      </c>
    </row>
    <row r="828" spans="1:7">
      <c r="A828" s="6">
        <v>45737</v>
      </c>
      <c r="B828" s="9">
        <v>3048.4</v>
      </c>
      <c r="C828" s="9">
        <v>3080.1</v>
      </c>
      <c r="D828" s="9">
        <v>3082.2</v>
      </c>
      <c r="E828" s="9">
        <v>3031.2</v>
      </c>
      <c r="F828" s="7" t="s">
        <v>1536</v>
      </c>
      <c r="G828" s="8">
        <v>-0.0075</v>
      </c>
    </row>
    <row r="829" spans="1:7">
      <c r="A829" s="6">
        <v>45740</v>
      </c>
      <c r="B829" s="9">
        <v>3044</v>
      </c>
      <c r="C829" s="9">
        <v>3054.7</v>
      </c>
      <c r="D829" s="9">
        <v>3066.4</v>
      </c>
      <c r="E829" s="9">
        <v>3036</v>
      </c>
      <c r="F829" s="7" t="s">
        <v>1537</v>
      </c>
      <c r="G829" s="8">
        <v>-0.0014</v>
      </c>
    </row>
    <row r="830" spans="1:7">
      <c r="A830" s="6">
        <v>45741</v>
      </c>
      <c r="B830" s="9">
        <v>3039.6</v>
      </c>
      <c r="C830" s="9">
        <v>3030.6</v>
      </c>
      <c r="D830" s="9">
        <v>3055.4</v>
      </c>
      <c r="E830" s="9">
        <v>3025.9</v>
      </c>
      <c r="F830" s="7" t="s">
        <v>970</v>
      </c>
      <c r="G830" s="8">
        <v>-0.0014</v>
      </c>
    </row>
    <row r="831" spans="1:7">
      <c r="A831" s="6">
        <v>45742</v>
      </c>
      <c r="B831" s="9">
        <v>3037.3</v>
      </c>
      <c r="C831" s="9">
        <v>3039.5</v>
      </c>
      <c r="D831" s="9">
        <v>3049.7</v>
      </c>
      <c r="E831" s="9">
        <v>3032.8</v>
      </c>
      <c r="F831" s="7" t="s">
        <v>1538</v>
      </c>
      <c r="G831" s="8">
        <v>-0.0008</v>
      </c>
    </row>
    <row r="832" spans="1:7">
      <c r="A832" s="6">
        <v>45743</v>
      </c>
      <c r="B832" s="9">
        <v>3075.8</v>
      </c>
      <c r="C832" s="9">
        <v>3040.9</v>
      </c>
      <c r="D832" s="9">
        <v>3086</v>
      </c>
      <c r="E832" s="9">
        <v>3038.9</v>
      </c>
      <c r="F832" s="7" t="s">
        <v>1539</v>
      </c>
      <c r="G832" s="8">
        <v>0.0127</v>
      </c>
    </row>
    <row r="833" spans="1:7">
      <c r="A833" s="6">
        <v>45744</v>
      </c>
      <c r="B833" s="9">
        <v>3114.3</v>
      </c>
      <c r="C833" s="9">
        <v>3099.3</v>
      </c>
      <c r="D833" s="9">
        <v>3124.4</v>
      </c>
      <c r="E833" s="9">
        <v>3096.3</v>
      </c>
      <c r="F833" s="7" t="s">
        <v>1540</v>
      </c>
      <c r="G833" s="8">
        <v>0.0125</v>
      </c>
    </row>
    <row r="834" spans="1:7">
      <c r="A834" s="6">
        <v>45747</v>
      </c>
      <c r="B834" s="9">
        <v>3150.3</v>
      </c>
      <c r="C834" s="9">
        <v>3118.8</v>
      </c>
      <c r="D834" s="9">
        <v>3162</v>
      </c>
      <c r="E834" s="9">
        <v>3112.4</v>
      </c>
      <c r="F834" s="7" t="s">
        <v>1541</v>
      </c>
      <c r="G834" s="8">
        <v>0.0116</v>
      </c>
    </row>
    <row r="835" spans="1:7">
      <c r="A835" s="6">
        <v>45748</v>
      </c>
      <c r="B835" s="9">
        <v>3146</v>
      </c>
      <c r="C835" s="9">
        <v>3157.3</v>
      </c>
      <c r="D835" s="9">
        <v>3177</v>
      </c>
      <c r="E835" s="9">
        <v>3130.5</v>
      </c>
      <c r="F835" s="7" t="s">
        <v>1542</v>
      </c>
      <c r="G835" s="8">
        <v>-0.0014</v>
      </c>
    </row>
    <row r="836" spans="1:7">
      <c r="A836" s="6">
        <v>45749</v>
      </c>
      <c r="B836" s="9">
        <v>3166.2</v>
      </c>
      <c r="C836" s="9">
        <v>3147.5</v>
      </c>
      <c r="D836" s="9">
        <v>3201.6</v>
      </c>
      <c r="E836" s="9">
        <v>3135.7</v>
      </c>
      <c r="F836" s="7" t="s">
        <v>1543</v>
      </c>
      <c r="G836" s="8">
        <v>0.0064</v>
      </c>
    </row>
    <row r="837" spans="1:7">
      <c r="A837" s="6">
        <v>45750</v>
      </c>
      <c r="B837" s="9">
        <v>3121.7</v>
      </c>
      <c r="C837" s="9">
        <v>3196.6</v>
      </c>
      <c r="D837" s="9">
        <v>3196.6</v>
      </c>
      <c r="E837" s="9">
        <v>3073.5</v>
      </c>
      <c r="F837" s="7" t="s">
        <v>1544</v>
      </c>
      <c r="G837" s="8">
        <v>-0.0141</v>
      </c>
    </row>
    <row r="838" spans="1:7">
      <c r="A838" s="6">
        <v>45751</v>
      </c>
      <c r="B838" s="9">
        <v>3035.4</v>
      </c>
      <c r="C838" s="9">
        <v>3138</v>
      </c>
      <c r="D838" s="9">
        <v>3160.2</v>
      </c>
      <c r="E838" s="9">
        <v>3032.7</v>
      </c>
      <c r="F838" s="7" t="s">
        <v>1545</v>
      </c>
      <c r="G838" s="8">
        <v>-0.0276</v>
      </c>
    </row>
    <row r="839" spans="1:7">
      <c r="A839" s="6">
        <v>45754</v>
      </c>
      <c r="B839" s="9">
        <v>2973.6</v>
      </c>
      <c r="C839" s="9">
        <v>3055.1</v>
      </c>
      <c r="D839" s="9">
        <v>3084.4</v>
      </c>
      <c r="E839" s="9">
        <v>2970.4</v>
      </c>
      <c r="F839" s="7" t="s">
        <v>1546</v>
      </c>
      <c r="G839" s="8">
        <v>-0.0204</v>
      </c>
    </row>
    <row r="840" spans="1:7">
      <c r="A840" s="6">
        <v>45755</v>
      </c>
      <c r="B840" s="9">
        <v>2990.2</v>
      </c>
      <c r="C840" s="9">
        <v>2997.5</v>
      </c>
      <c r="D840" s="9">
        <v>3037.9</v>
      </c>
      <c r="E840" s="9">
        <v>2988.6</v>
      </c>
      <c r="F840" s="7" t="s">
        <v>1547</v>
      </c>
      <c r="G840" s="8">
        <v>0.0056</v>
      </c>
    </row>
    <row r="841" spans="1:7">
      <c r="A841" s="6">
        <v>45756</v>
      </c>
      <c r="B841" s="9">
        <v>3079.4</v>
      </c>
      <c r="C841" s="9">
        <v>2998.3</v>
      </c>
      <c r="D841" s="9">
        <v>3118.5</v>
      </c>
      <c r="E841" s="9">
        <v>2983.3</v>
      </c>
      <c r="F841" s="7" t="s">
        <v>1548</v>
      </c>
      <c r="G841" s="8">
        <v>0.0298</v>
      </c>
    </row>
    <row r="842" spans="1:7">
      <c r="A842" s="6">
        <v>45757</v>
      </c>
      <c r="B842" s="9">
        <v>3177.5</v>
      </c>
      <c r="C842" s="9">
        <v>3099.1</v>
      </c>
      <c r="D842" s="9">
        <v>3195</v>
      </c>
      <c r="E842" s="9">
        <v>3086.1</v>
      </c>
      <c r="F842" s="7" t="s">
        <v>1549</v>
      </c>
      <c r="G842" s="8">
        <v>0.0319</v>
      </c>
    </row>
    <row r="843" spans="1:7">
      <c r="A843" s="6">
        <v>45758</v>
      </c>
      <c r="B843" s="9">
        <v>3244.6</v>
      </c>
      <c r="C843" s="9">
        <v>3194.2</v>
      </c>
      <c r="D843" s="9">
        <v>3263</v>
      </c>
      <c r="E843" s="9">
        <v>3193.4</v>
      </c>
      <c r="F843" s="7" t="s">
        <v>1550</v>
      </c>
      <c r="G843" s="8">
        <v>0.0211</v>
      </c>
    </row>
    <row r="844" spans="1:7">
      <c r="A844" s="6">
        <v>45761</v>
      </c>
      <c r="B844" s="9">
        <v>3226.3</v>
      </c>
      <c r="C844" s="9">
        <v>3246</v>
      </c>
      <c r="D844" s="9">
        <v>3261.6</v>
      </c>
      <c r="E844" s="9">
        <v>3208.7</v>
      </c>
      <c r="F844" s="7" t="s">
        <v>1551</v>
      </c>
      <c r="G844" s="8">
        <v>-0.0056</v>
      </c>
    </row>
    <row r="845" spans="1:7">
      <c r="A845" s="6">
        <v>45762</v>
      </c>
      <c r="B845" s="9">
        <v>3240.4</v>
      </c>
      <c r="C845" s="9">
        <v>3226.1</v>
      </c>
      <c r="D845" s="9">
        <v>3250.9</v>
      </c>
      <c r="E845" s="9">
        <v>3225.5</v>
      </c>
      <c r="F845" s="7" t="s">
        <v>1552</v>
      </c>
      <c r="G845" s="8">
        <v>0.0044</v>
      </c>
    </row>
    <row r="846" spans="1:7">
      <c r="A846" s="6">
        <v>45763</v>
      </c>
      <c r="B846" s="9">
        <v>3346.4</v>
      </c>
      <c r="C846" s="9">
        <v>3248.4</v>
      </c>
      <c r="D846" s="9">
        <v>3358.4</v>
      </c>
      <c r="E846" s="9">
        <v>3245.2</v>
      </c>
      <c r="F846" s="7" t="s">
        <v>1553</v>
      </c>
      <c r="G846" s="8">
        <v>0.0327</v>
      </c>
    </row>
    <row r="847" spans="1:7">
      <c r="A847" s="6">
        <v>45764</v>
      </c>
      <c r="B847" s="9">
        <v>3328.4</v>
      </c>
      <c r="C847" s="9">
        <v>3357.5</v>
      </c>
      <c r="D847" s="9">
        <v>3371.9</v>
      </c>
      <c r="E847" s="9">
        <v>3296.4</v>
      </c>
      <c r="F847" s="7" t="s">
        <v>1554</v>
      </c>
      <c r="G847" s="8">
        <v>-0.0054</v>
      </c>
    </row>
    <row r="848" spans="1:7">
      <c r="A848" s="6">
        <v>45768</v>
      </c>
      <c r="B848" s="9">
        <v>3425.3</v>
      </c>
      <c r="C848" s="9">
        <v>3347</v>
      </c>
      <c r="D848" s="9">
        <v>3442.3</v>
      </c>
      <c r="E848" s="9">
        <v>3344</v>
      </c>
      <c r="F848" s="7" t="s">
        <v>1555</v>
      </c>
      <c r="G848" s="8">
        <v>0.0291</v>
      </c>
    </row>
    <row r="849" spans="1:7">
      <c r="A849" s="6">
        <v>45769</v>
      </c>
      <c r="B849" s="9">
        <v>3419.4</v>
      </c>
      <c r="C849" s="9">
        <v>3435.1</v>
      </c>
      <c r="D849" s="9">
        <v>3509.9</v>
      </c>
      <c r="E849" s="9">
        <v>3379.1</v>
      </c>
      <c r="F849" s="7" t="s">
        <v>1556</v>
      </c>
      <c r="G849" s="8">
        <v>-0.0017</v>
      </c>
    </row>
    <row r="850" spans="1:7">
      <c r="A850" s="6">
        <v>45770</v>
      </c>
      <c r="B850" s="9">
        <v>3294.1</v>
      </c>
      <c r="C850" s="9">
        <v>3367.7</v>
      </c>
      <c r="D850" s="9">
        <v>3396</v>
      </c>
      <c r="E850" s="9">
        <v>3270.8</v>
      </c>
      <c r="F850" s="7" t="s">
        <v>1557</v>
      </c>
      <c r="G850" s="8">
        <v>-0.0366</v>
      </c>
    </row>
    <row r="851" spans="1:7">
      <c r="A851" s="6">
        <v>45771</v>
      </c>
      <c r="B851" s="9">
        <v>3348.6</v>
      </c>
      <c r="C851" s="9">
        <v>3301.8</v>
      </c>
      <c r="D851" s="9">
        <v>3377</v>
      </c>
      <c r="E851" s="9">
        <v>3301.3</v>
      </c>
      <c r="F851" s="7" t="s">
        <v>249</v>
      </c>
      <c r="G851" s="8">
        <v>0.0165</v>
      </c>
    </row>
    <row r="852" spans="1:7">
      <c r="A852" s="6">
        <v>45772</v>
      </c>
      <c r="B852" s="9">
        <v>3298.4</v>
      </c>
      <c r="C852" s="9">
        <v>3362</v>
      </c>
      <c r="D852" s="9">
        <v>3384.1</v>
      </c>
      <c r="E852" s="9">
        <v>3274.8</v>
      </c>
      <c r="F852" s="7" t="s">
        <v>1558</v>
      </c>
      <c r="G852" s="8">
        <v>-0.015</v>
      </c>
    </row>
    <row r="853" spans="1:7">
      <c r="A853" s="6">
        <v>45775</v>
      </c>
      <c r="B853" s="9">
        <v>3333</v>
      </c>
      <c r="C853" s="9">
        <v>3318.3</v>
      </c>
      <c r="D853" s="9">
        <v>3347.7</v>
      </c>
      <c r="E853" s="9">
        <v>3266.3</v>
      </c>
      <c r="F853" s="7" t="s">
        <v>969</v>
      </c>
      <c r="G853" s="8">
        <v>0.0105</v>
      </c>
    </row>
    <row r="854" spans="1:7">
      <c r="A854" s="6">
        <v>45776</v>
      </c>
      <c r="B854" s="9">
        <v>3333.6</v>
      </c>
      <c r="C854" s="9">
        <v>3354.9</v>
      </c>
      <c r="D854" s="9">
        <v>3359.3</v>
      </c>
      <c r="E854" s="9">
        <v>3309.2</v>
      </c>
      <c r="F854" s="7" t="s">
        <v>1559</v>
      </c>
      <c r="G854" s="8">
        <v>0.0002</v>
      </c>
    </row>
    <row r="855" spans="1:7">
      <c r="A855" s="6">
        <v>45777</v>
      </c>
      <c r="B855" s="9">
        <v>3319.1</v>
      </c>
      <c r="C855" s="9">
        <v>3324.5</v>
      </c>
      <c r="D855" s="9">
        <v>3337.6</v>
      </c>
      <c r="E855" s="9">
        <v>3275.6</v>
      </c>
      <c r="F855" s="7" t="s">
        <v>1560</v>
      </c>
      <c r="G855" s="8">
        <v>-0.0043</v>
      </c>
    </row>
    <row r="856" spans="1:7">
      <c r="A856" s="6">
        <v>45778</v>
      </c>
      <c r="B856" s="9">
        <v>3222.2</v>
      </c>
      <c r="C856" s="9">
        <v>3299</v>
      </c>
      <c r="D856" s="9">
        <v>3300.6</v>
      </c>
      <c r="E856" s="9">
        <v>3209.4</v>
      </c>
      <c r="F856" s="7" t="s">
        <v>1395</v>
      </c>
      <c r="G856" s="8">
        <v>-0.0292</v>
      </c>
    </row>
    <row r="857" spans="1:7">
      <c r="A857" s="6">
        <v>45779</v>
      </c>
      <c r="B857" s="9">
        <v>3243.3</v>
      </c>
      <c r="C857" s="9">
        <v>3247.6</v>
      </c>
      <c r="D857" s="9">
        <v>3277</v>
      </c>
      <c r="E857" s="9">
        <v>3229.5</v>
      </c>
      <c r="F857" s="7" t="s">
        <v>1561</v>
      </c>
      <c r="G857" s="8">
        <v>0.0065</v>
      </c>
    </row>
    <row r="858" spans="1:7">
      <c r="A858" s="6">
        <v>45782</v>
      </c>
      <c r="B858" s="9">
        <v>3322.3</v>
      </c>
      <c r="C858" s="9">
        <v>3247.1</v>
      </c>
      <c r="D858" s="9">
        <v>3346.7</v>
      </c>
      <c r="E858" s="9">
        <v>3243.1</v>
      </c>
      <c r="F858" s="7" t="s">
        <v>1562</v>
      </c>
      <c r="G858" s="8">
        <v>0.0244</v>
      </c>
    </row>
    <row r="859" spans="1:7">
      <c r="A859" s="6">
        <v>45783</v>
      </c>
      <c r="B859" s="9">
        <v>3422.8</v>
      </c>
      <c r="C859" s="9">
        <v>3345.7</v>
      </c>
      <c r="D859" s="9">
        <v>3444.5</v>
      </c>
      <c r="E859" s="9">
        <v>3332.1</v>
      </c>
      <c r="F859" s="7" t="s">
        <v>1563</v>
      </c>
      <c r="G859" s="8">
        <v>0.0303</v>
      </c>
    </row>
    <row r="860" spans="1:7">
      <c r="A860" s="6">
        <v>45784</v>
      </c>
      <c r="B860" s="9">
        <v>3391.9</v>
      </c>
      <c r="C860" s="9">
        <v>3448.1</v>
      </c>
      <c r="D860" s="9">
        <v>3448.2</v>
      </c>
      <c r="E860" s="9">
        <v>3367</v>
      </c>
      <c r="F860" s="7" t="s">
        <v>1564</v>
      </c>
      <c r="G860" s="8">
        <v>-0.009</v>
      </c>
    </row>
    <row r="861" spans="1:7">
      <c r="A861" s="6">
        <v>45785</v>
      </c>
      <c r="B861" s="9">
        <v>3306</v>
      </c>
      <c r="C861" s="9">
        <v>3373.1</v>
      </c>
      <c r="D861" s="9">
        <v>3422</v>
      </c>
      <c r="E861" s="9">
        <v>3293.3</v>
      </c>
      <c r="F861" s="7" t="s">
        <v>1565</v>
      </c>
      <c r="G861" s="8">
        <v>-0.0253</v>
      </c>
    </row>
    <row r="862" spans="1:7">
      <c r="A862" s="6">
        <v>45786</v>
      </c>
      <c r="B862" s="9">
        <v>3344</v>
      </c>
      <c r="C862" s="9">
        <v>3310.2</v>
      </c>
      <c r="D862" s="9">
        <v>3352.7</v>
      </c>
      <c r="E862" s="9">
        <v>3278.9</v>
      </c>
      <c r="F862" s="7" t="s">
        <v>1566</v>
      </c>
      <c r="G862" s="8">
        <v>0.0115</v>
      </c>
    </row>
    <row r="863" spans="1:7">
      <c r="A863" s="6">
        <v>45789</v>
      </c>
      <c r="B863" s="9">
        <v>3228</v>
      </c>
      <c r="C863" s="9">
        <v>3281</v>
      </c>
      <c r="D863" s="9">
        <v>3295.5</v>
      </c>
      <c r="E863" s="9">
        <v>3211.2</v>
      </c>
      <c r="F863" s="7" t="s">
        <v>1567</v>
      </c>
      <c r="G863" s="8">
        <v>-0.0347</v>
      </c>
    </row>
    <row r="864" spans="1:7">
      <c r="A864" s="6">
        <v>45790</v>
      </c>
      <c r="B864" s="9">
        <v>3247.8</v>
      </c>
      <c r="C864" s="9">
        <v>3240.7</v>
      </c>
      <c r="D864" s="9">
        <v>3270.4</v>
      </c>
      <c r="E864" s="9">
        <v>3220.1</v>
      </c>
      <c r="F864" s="7" t="s">
        <v>1568</v>
      </c>
      <c r="G864" s="8">
        <v>0.0061</v>
      </c>
    </row>
    <row r="865" spans="1:7">
      <c r="A865" s="6">
        <v>45791</v>
      </c>
      <c r="B865" s="9">
        <v>3188.3</v>
      </c>
      <c r="C865" s="9">
        <v>3254.1</v>
      </c>
      <c r="D865" s="9">
        <v>3261.3</v>
      </c>
      <c r="E865" s="9">
        <v>3170.7</v>
      </c>
      <c r="F865" s="7" t="s">
        <v>1569</v>
      </c>
      <c r="G865" s="8">
        <v>-0.0183</v>
      </c>
    </row>
    <row r="866" spans="1:7">
      <c r="A866" s="6">
        <v>45792</v>
      </c>
      <c r="B866" s="9">
        <v>3226.6</v>
      </c>
      <c r="C866" s="9">
        <v>3180.8</v>
      </c>
      <c r="D866" s="9">
        <v>3244.3</v>
      </c>
      <c r="E866" s="9">
        <v>3123.3</v>
      </c>
      <c r="F866" s="7" t="s">
        <v>1570</v>
      </c>
      <c r="G866" s="8">
        <v>0.012</v>
      </c>
    </row>
    <row r="867" spans="1:7">
      <c r="A867" s="6">
        <v>45793</v>
      </c>
      <c r="B867" s="9">
        <v>3187.2</v>
      </c>
      <c r="C867" s="9">
        <v>3243.5</v>
      </c>
      <c r="D867" s="9">
        <v>3255.8</v>
      </c>
      <c r="E867" s="9">
        <v>3156.4</v>
      </c>
      <c r="F867" s="7" t="s">
        <v>1571</v>
      </c>
      <c r="G867" s="8">
        <v>-0.0122</v>
      </c>
    </row>
    <row r="868" spans="1:7">
      <c r="A868" s="6">
        <v>45796</v>
      </c>
      <c r="B868" s="9">
        <v>3261.4</v>
      </c>
      <c r="C868" s="9">
        <v>3246</v>
      </c>
      <c r="D868" s="9">
        <v>3280</v>
      </c>
      <c r="E868" s="9">
        <v>3236.2</v>
      </c>
      <c r="F868" s="7" t="s">
        <v>1572</v>
      </c>
      <c r="G868" s="8">
        <v>0.0233</v>
      </c>
    </row>
    <row r="869" spans="1:7">
      <c r="A869" s="6">
        <v>45797</v>
      </c>
      <c r="B869" s="9">
        <v>3312.6</v>
      </c>
      <c r="C869" s="9">
        <v>3260.7</v>
      </c>
      <c r="D869" s="9">
        <v>3326.4</v>
      </c>
      <c r="E869" s="9">
        <v>3235.3</v>
      </c>
      <c r="F869" s="7" t="s">
        <v>1573</v>
      </c>
      <c r="G869" s="8">
        <v>0.0157</v>
      </c>
    </row>
    <row r="870" spans="1:7">
      <c r="A870" s="6">
        <v>45798</v>
      </c>
      <c r="B870" s="9">
        <v>3341.9</v>
      </c>
      <c r="C870" s="9">
        <v>3321.2</v>
      </c>
      <c r="D870" s="9">
        <v>3355.5</v>
      </c>
      <c r="E870" s="9">
        <v>3315.3</v>
      </c>
      <c r="F870" s="7" t="s">
        <v>1574</v>
      </c>
      <c r="G870" s="8">
        <v>0.0088</v>
      </c>
    </row>
    <row r="871" spans="1:7">
      <c r="A871" s="6">
        <v>45799</v>
      </c>
      <c r="B871" s="9">
        <v>3323.6</v>
      </c>
      <c r="C871" s="9">
        <v>3346.5</v>
      </c>
      <c r="D871" s="9">
        <v>3375.3</v>
      </c>
      <c r="E871" s="9">
        <v>3306.9</v>
      </c>
      <c r="F871" s="7" t="s">
        <v>1575</v>
      </c>
      <c r="G871" s="8">
        <v>-0.0055</v>
      </c>
    </row>
    <row r="872" spans="1:7">
      <c r="A872" s="6">
        <v>45800</v>
      </c>
      <c r="B872" s="9">
        <v>3394.5</v>
      </c>
      <c r="C872" s="9">
        <v>3323.2</v>
      </c>
      <c r="D872" s="9">
        <v>3395.3</v>
      </c>
      <c r="E872" s="9">
        <v>3314.4</v>
      </c>
      <c r="F872" s="7" t="s">
        <v>1576</v>
      </c>
      <c r="G872" s="8">
        <v>0.0213</v>
      </c>
    </row>
    <row r="873" spans="1:7">
      <c r="A873" s="6">
        <v>45802</v>
      </c>
      <c r="B873" s="9">
        <v>3370.27</v>
      </c>
      <c r="C873" s="9">
        <v>3384</v>
      </c>
      <c r="D873" s="9">
        <v>3384.12</v>
      </c>
      <c r="E873" s="9">
        <v>3367.94</v>
      </c>
      <c r="F873" s="7" t="s">
        <v>1577</v>
      </c>
      <c r="G873" s="8">
        <v>-0.0071</v>
      </c>
    </row>
    <row r="874" spans="1:7">
      <c r="A874" s="6">
        <v>45803</v>
      </c>
      <c r="B874" s="9">
        <v>3374.47</v>
      </c>
      <c r="C874" s="9">
        <v>3370.17</v>
      </c>
      <c r="D874" s="9">
        <v>3384</v>
      </c>
      <c r="E874" s="9">
        <v>3352.5</v>
      </c>
      <c r="F874" s="7" t="s">
        <v>1578</v>
      </c>
      <c r="G874" s="8">
        <v>0.0012</v>
      </c>
    </row>
    <row r="875" spans="1:7">
      <c r="A875" s="6">
        <v>45804</v>
      </c>
      <c r="B875" s="9">
        <v>3313.7</v>
      </c>
      <c r="C875" s="9">
        <v>3369.6</v>
      </c>
      <c r="D875" s="9">
        <v>3369.6</v>
      </c>
      <c r="E875" s="9">
        <v>3297.9</v>
      </c>
      <c r="F875" s="7" t="s">
        <v>1579</v>
      </c>
      <c r="G875" s="8">
        <v>-0.018</v>
      </c>
    </row>
    <row r="876" spans="1:7">
      <c r="A876" s="6">
        <v>45805</v>
      </c>
      <c r="B876" s="9">
        <v>3308.3</v>
      </c>
      <c r="C876" s="9">
        <v>3317.3</v>
      </c>
      <c r="D876" s="9">
        <v>3337.5</v>
      </c>
      <c r="E876" s="9">
        <v>3287.9</v>
      </c>
      <c r="F876" s="7" t="s">
        <v>1580</v>
      </c>
      <c r="G876" s="8">
        <v>-0.0016</v>
      </c>
    </row>
    <row r="877" spans="1:7">
      <c r="A877" s="6">
        <v>45806</v>
      </c>
      <c r="B877" s="9">
        <v>3343.9</v>
      </c>
      <c r="C877" s="9">
        <v>3311.8</v>
      </c>
      <c r="D877" s="9">
        <v>3356.3</v>
      </c>
      <c r="E877" s="9">
        <v>3269.1</v>
      </c>
      <c r="F877" s="7" t="s">
        <v>1581</v>
      </c>
      <c r="G877" s="8">
        <v>0.0108</v>
      </c>
    </row>
    <row r="878" spans="1:7">
      <c r="A878" s="6">
        <v>45807</v>
      </c>
      <c r="B878" s="9">
        <v>3315.4</v>
      </c>
      <c r="C878" s="9">
        <v>3343.2</v>
      </c>
      <c r="D878" s="9">
        <v>3347</v>
      </c>
      <c r="E878" s="9">
        <v>3294.8</v>
      </c>
      <c r="F878" s="7" t="s">
        <v>1582</v>
      </c>
      <c r="G878" s="8">
        <v>-0.0085</v>
      </c>
    </row>
    <row r="879" spans="1:7">
      <c r="A879" s="6">
        <v>45810</v>
      </c>
      <c r="B879" s="9">
        <v>3397.2</v>
      </c>
      <c r="C879" s="9">
        <v>3323</v>
      </c>
      <c r="D879" s="9">
        <v>3408.1</v>
      </c>
      <c r="E879" s="9">
        <v>3319.4</v>
      </c>
      <c r="F879" s="7" t="s">
        <v>1583</v>
      </c>
      <c r="G879" s="8">
        <v>0.0247</v>
      </c>
    </row>
    <row r="880" spans="1:7">
      <c r="A880" s="6">
        <v>45811</v>
      </c>
      <c r="B880" s="9">
        <v>3377.1</v>
      </c>
      <c r="C880" s="9">
        <v>3406.5</v>
      </c>
      <c r="D880" s="9">
        <v>3417.8</v>
      </c>
      <c r="E880" s="9">
        <v>3357.2</v>
      </c>
      <c r="F880" s="7" t="s">
        <v>1584</v>
      </c>
      <c r="G880" s="8">
        <v>-0.0059</v>
      </c>
    </row>
    <row r="881" spans="1:7">
      <c r="A881" s="6">
        <v>45812</v>
      </c>
      <c r="B881" s="9">
        <v>3399.2</v>
      </c>
      <c r="C881" s="9">
        <v>3377.8</v>
      </c>
      <c r="D881" s="9">
        <v>3409.7</v>
      </c>
      <c r="E881" s="9">
        <v>3366.9</v>
      </c>
      <c r="F881" s="7" t="s">
        <v>1585</v>
      </c>
      <c r="G881" s="8">
        <v>0.0065</v>
      </c>
    </row>
    <row r="882" spans="1:7">
      <c r="A882" s="6">
        <v>45813</v>
      </c>
      <c r="B882" s="9">
        <v>3375.1</v>
      </c>
      <c r="C882" s="9">
        <v>3398</v>
      </c>
      <c r="D882" s="9">
        <v>3427.7</v>
      </c>
      <c r="E882" s="9">
        <v>3362.3</v>
      </c>
      <c r="F882" s="7" t="s">
        <v>1586</v>
      </c>
      <c r="G882" s="8">
        <v>-0.0071</v>
      </c>
    </row>
    <row r="883" spans="1:7">
      <c r="A883" s="6">
        <v>45814</v>
      </c>
      <c r="B883" s="9">
        <v>3346.6</v>
      </c>
      <c r="C883" s="9">
        <v>3377.4</v>
      </c>
      <c r="D883" s="9">
        <v>3398.3</v>
      </c>
      <c r="E883" s="9">
        <v>3328.8</v>
      </c>
      <c r="F883" s="7" t="s">
        <v>1587</v>
      </c>
      <c r="G883" s="8">
        <v>-0.0084</v>
      </c>
    </row>
    <row r="884" spans="1:7">
      <c r="A884" s="6">
        <v>45817</v>
      </c>
      <c r="B884" s="9">
        <v>3354.9</v>
      </c>
      <c r="C884" s="9">
        <v>3333.4</v>
      </c>
      <c r="D884" s="9">
        <v>3359</v>
      </c>
      <c r="E884" s="9">
        <v>3313.1</v>
      </c>
      <c r="F884" s="7" t="s">
        <v>1588</v>
      </c>
      <c r="G884" s="8">
        <v>0.0025</v>
      </c>
    </row>
    <row r="885" spans="1:7">
      <c r="A885" s="6">
        <v>45818</v>
      </c>
      <c r="B885" s="9">
        <v>3343.4</v>
      </c>
      <c r="C885" s="9">
        <v>3346.3</v>
      </c>
      <c r="D885" s="9">
        <v>3370.4</v>
      </c>
      <c r="E885" s="9">
        <v>3321.3</v>
      </c>
      <c r="F885" s="7" t="s">
        <v>648</v>
      </c>
      <c r="G885" s="8">
        <v>-0.0034</v>
      </c>
    </row>
    <row r="886" spans="1:7">
      <c r="A886" s="6">
        <v>45819</v>
      </c>
      <c r="B886" s="9">
        <v>3343.7</v>
      </c>
      <c r="C886" s="9">
        <v>3344.3</v>
      </c>
      <c r="D886" s="9">
        <v>3382.3</v>
      </c>
      <c r="E886" s="9">
        <v>3335.4</v>
      </c>
      <c r="F886" s="7" t="s">
        <v>1589</v>
      </c>
      <c r="G886" s="8">
        <v>0.0001</v>
      </c>
    </row>
    <row r="887" spans="1:7">
      <c r="A887" s="6">
        <v>45820</v>
      </c>
      <c r="B887" s="9">
        <v>3402.4</v>
      </c>
      <c r="C887" s="9">
        <v>3377.5</v>
      </c>
      <c r="D887" s="9">
        <v>3419.8</v>
      </c>
      <c r="E887" s="9">
        <v>3358.5</v>
      </c>
      <c r="F887" s="7" t="s">
        <v>1590</v>
      </c>
      <c r="G887" s="8">
        <v>0.0176</v>
      </c>
    </row>
    <row r="888" spans="1:7">
      <c r="A888" s="6">
        <v>45821</v>
      </c>
      <c r="B888" s="9">
        <v>3452.8</v>
      </c>
      <c r="C888" s="9">
        <v>3406.7</v>
      </c>
      <c r="D888" s="9">
        <v>3468</v>
      </c>
      <c r="E888" s="9">
        <v>3399.6</v>
      </c>
      <c r="F888" s="7" t="s">
        <v>1591</v>
      </c>
      <c r="G888" s="8">
        <v>0.0148</v>
      </c>
    </row>
    <row r="889" spans="1:7">
      <c r="A889" s="6">
        <v>45824</v>
      </c>
      <c r="B889" s="9">
        <v>3417.3</v>
      </c>
      <c r="C889" s="9">
        <v>3473</v>
      </c>
      <c r="D889" s="9">
        <v>3476.3</v>
      </c>
      <c r="E889" s="9">
        <v>3400.9</v>
      </c>
      <c r="F889" s="7" t="s">
        <v>1592</v>
      </c>
      <c r="G889" s="8">
        <v>-0.0103</v>
      </c>
    </row>
    <row r="890" spans="1:7">
      <c r="A890" s="6">
        <v>45825</v>
      </c>
      <c r="B890" s="9">
        <v>3406.9</v>
      </c>
      <c r="C890" s="9">
        <v>3404.2</v>
      </c>
      <c r="D890" s="9">
        <v>3422.7</v>
      </c>
      <c r="E890" s="9">
        <v>3384.4</v>
      </c>
      <c r="F890" s="7" t="s">
        <v>1593</v>
      </c>
      <c r="G890" s="8">
        <v>-0.003</v>
      </c>
    </row>
    <row r="891" spans="1:7">
      <c r="A891" s="6">
        <v>45826</v>
      </c>
      <c r="B891" s="9">
        <v>3408.1</v>
      </c>
      <c r="C891" s="9">
        <v>3409</v>
      </c>
      <c r="D891" s="9">
        <v>3419</v>
      </c>
      <c r="E891" s="9">
        <v>3380.1</v>
      </c>
      <c r="F891" s="7" t="s">
        <v>1594</v>
      </c>
      <c r="G891" s="8">
        <v>0.0004</v>
      </c>
    </row>
    <row r="892" spans="1:7">
      <c r="A892" s="6">
        <v>45827</v>
      </c>
      <c r="B892" s="9">
        <v>3384.97</v>
      </c>
      <c r="C892" s="9">
        <v>3391.81</v>
      </c>
      <c r="D892" s="9">
        <v>3404.95</v>
      </c>
      <c r="E892" s="9">
        <v>3363.81</v>
      </c>
      <c r="F892" s="7" t="s">
        <v>1595</v>
      </c>
      <c r="G892" s="8">
        <v>-0.0068</v>
      </c>
    </row>
    <row r="893" spans="1:7">
      <c r="A893" s="6">
        <v>45828</v>
      </c>
      <c r="B893" s="9">
        <v>3385.7</v>
      </c>
      <c r="C893" s="9">
        <v>3387.1</v>
      </c>
      <c r="D893" s="9">
        <v>3405.2</v>
      </c>
      <c r="E893" s="9">
        <v>3356.2</v>
      </c>
      <c r="F893" s="7" t="s">
        <v>1596</v>
      </c>
      <c r="G893" s="8">
        <v>0.0002</v>
      </c>
    </row>
    <row r="894" spans="1:7">
      <c r="A894" s="6">
        <v>45831</v>
      </c>
      <c r="B894" s="9">
        <v>3380.6</v>
      </c>
      <c r="C894" s="9">
        <v>3387</v>
      </c>
      <c r="D894" s="9">
        <v>3395.7</v>
      </c>
      <c r="E894" s="9">
        <v>3348.3</v>
      </c>
      <c r="F894" s="7" t="s">
        <v>1597</v>
      </c>
      <c r="G894" s="8">
        <v>-0.0015</v>
      </c>
    </row>
    <row r="895" spans="1:7">
      <c r="A895" s="6">
        <v>45832</v>
      </c>
      <c r="B895" s="9">
        <v>3320</v>
      </c>
      <c r="C895" s="9">
        <v>3361.2</v>
      </c>
      <c r="D895" s="9">
        <v>3361.2</v>
      </c>
      <c r="E895" s="9">
        <v>3296.4</v>
      </c>
      <c r="F895" s="7" t="s">
        <v>1598</v>
      </c>
      <c r="G895" s="8">
        <v>-0.0179</v>
      </c>
    </row>
    <row r="896" spans="1:7">
      <c r="A896" s="6">
        <v>45833</v>
      </c>
      <c r="B896" s="9">
        <v>3329</v>
      </c>
      <c r="C896" s="9">
        <v>3322.9</v>
      </c>
      <c r="D896" s="9">
        <v>3335.6</v>
      </c>
      <c r="E896" s="9">
        <v>3312</v>
      </c>
      <c r="F896" s="7" t="s">
        <v>1599</v>
      </c>
      <c r="G896" s="8">
        <v>0.0027</v>
      </c>
    </row>
    <row r="897" spans="1:7">
      <c r="A897" s="6">
        <v>45834</v>
      </c>
      <c r="B897" s="9">
        <v>3333.9</v>
      </c>
      <c r="C897" s="9">
        <v>3333.6</v>
      </c>
      <c r="D897" s="9">
        <v>3349</v>
      </c>
      <c r="E897" s="9">
        <v>3309.2</v>
      </c>
      <c r="F897" s="7" t="s">
        <v>1600</v>
      </c>
      <c r="G897" s="8">
        <v>0.0015</v>
      </c>
    </row>
    <row r="898" spans="1:7">
      <c r="A898" s="6">
        <v>45835</v>
      </c>
      <c r="B898" s="9">
        <v>3287.6</v>
      </c>
      <c r="C898" s="9">
        <v>3341.3</v>
      </c>
      <c r="D898" s="9">
        <v>3341.4</v>
      </c>
      <c r="E898" s="9">
        <v>3266.5</v>
      </c>
      <c r="F898" s="7" t="s">
        <v>1601</v>
      </c>
      <c r="G898" s="8">
        <v>-0.0139</v>
      </c>
    </row>
    <row r="899" spans="1:7">
      <c r="A899" s="6">
        <v>45838</v>
      </c>
      <c r="B899" s="9">
        <v>3307.7</v>
      </c>
      <c r="C899" s="9">
        <v>3284.3</v>
      </c>
      <c r="D899" s="9">
        <v>3321.6</v>
      </c>
      <c r="E899" s="9">
        <v>3250.5</v>
      </c>
      <c r="F899" s="7" t="s">
        <v>1602</v>
      </c>
      <c r="G899" s="8">
        <v>0.0061</v>
      </c>
    </row>
    <row r="900" spans="1:7">
      <c r="A900" s="6">
        <v>45839</v>
      </c>
      <c r="B900" s="9">
        <v>3349.8</v>
      </c>
      <c r="C900" s="9">
        <v>3315.7</v>
      </c>
      <c r="D900" s="9">
        <v>3370.5</v>
      </c>
      <c r="E900" s="9">
        <v>3313.7</v>
      </c>
      <c r="F900" s="7" t="s">
        <v>1603</v>
      </c>
      <c r="G900" s="8">
        <v>0.0127</v>
      </c>
    </row>
    <row r="901" spans="1:7">
      <c r="A901" s="6">
        <v>45840</v>
      </c>
      <c r="B901" s="9">
        <v>3359.7</v>
      </c>
      <c r="C901" s="9">
        <v>3350</v>
      </c>
      <c r="D901" s="9">
        <v>3371</v>
      </c>
      <c r="E901" s="9">
        <v>3337.2</v>
      </c>
      <c r="F901" s="7" t="s">
        <v>1604</v>
      </c>
      <c r="G901" s="8">
        <v>0.003</v>
      </c>
    </row>
    <row r="902" spans="1:7">
      <c r="A902" s="6">
        <v>45841</v>
      </c>
      <c r="B902" s="9">
        <v>3342.9</v>
      </c>
      <c r="C902" s="9">
        <v>3369</v>
      </c>
      <c r="D902" s="9">
        <v>3376.9</v>
      </c>
      <c r="E902" s="9">
        <v>3321.4</v>
      </c>
      <c r="F902" s="7" t="s">
        <v>1605</v>
      </c>
      <c r="G902" s="8">
        <v>-0.005</v>
      </c>
    </row>
    <row r="903" spans="1:7">
      <c r="A903" s="6">
        <v>45842</v>
      </c>
      <c r="B903" s="9">
        <v>3346.5</v>
      </c>
      <c r="C903" s="9">
        <v>3335.9</v>
      </c>
      <c r="D903" s="9">
        <v>3354.97</v>
      </c>
      <c r="E903" s="9">
        <v>3335.47</v>
      </c>
      <c r="F903" s="7" t="s">
        <v>1606</v>
      </c>
      <c r="G903" s="8">
        <v>0.0011</v>
      </c>
    </row>
    <row r="904" spans="1:7">
      <c r="A904" s="6">
        <v>45845</v>
      </c>
      <c r="B904" s="9">
        <v>3342.8</v>
      </c>
      <c r="C904" s="9">
        <v>3344.5</v>
      </c>
      <c r="D904" s="9">
        <v>3352.9</v>
      </c>
      <c r="E904" s="9">
        <v>3304.4</v>
      </c>
      <c r="F904" s="7" t="s">
        <v>1607</v>
      </c>
      <c r="G904" s="8">
        <v>-0.0011</v>
      </c>
    </row>
    <row r="905" spans="1:7">
      <c r="A905" s="6">
        <v>45846</v>
      </c>
      <c r="B905" s="9">
        <v>3316.9</v>
      </c>
      <c r="C905" s="9">
        <v>3348.9</v>
      </c>
      <c r="D905" s="9">
        <v>3355.6</v>
      </c>
      <c r="E905" s="9">
        <v>3295.4</v>
      </c>
      <c r="F905" s="7" t="s">
        <v>1608</v>
      </c>
      <c r="G905" s="8">
        <v>-0.0077</v>
      </c>
    </row>
    <row r="906" spans="1:7">
      <c r="A906" s="6">
        <v>45847</v>
      </c>
      <c r="B906" s="9">
        <v>3321</v>
      </c>
      <c r="C906" s="9">
        <v>3310.6</v>
      </c>
      <c r="D906" s="9">
        <v>3325.6</v>
      </c>
      <c r="E906" s="9">
        <v>3290.2</v>
      </c>
      <c r="F906" s="7" t="s">
        <v>1609</v>
      </c>
      <c r="G906" s="8">
        <v>0.0012</v>
      </c>
    </row>
    <row r="907" spans="1:7">
      <c r="A907" s="6">
        <v>45848</v>
      </c>
      <c r="B907" s="9">
        <v>3325.7</v>
      </c>
      <c r="C907" s="9">
        <v>3322.2</v>
      </c>
      <c r="D907" s="9">
        <v>3339.4</v>
      </c>
      <c r="E907" s="9">
        <v>3319.2</v>
      </c>
      <c r="F907" s="7" t="s">
        <v>1610</v>
      </c>
      <c r="G907" s="8">
        <v>0.0014</v>
      </c>
    </row>
    <row r="908" spans="1:7">
      <c r="A908" s="6">
        <v>45849</v>
      </c>
      <c r="B908" s="9">
        <v>3364</v>
      </c>
      <c r="C908" s="9">
        <v>3333.1</v>
      </c>
      <c r="D908" s="9">
        <v>3381.6</v>
      </c>
      <c r="E908" s="9">
        <v>3332.3</v>
      </c>
      <c r="F908" s="7" t="s">
        <v>1611</v>
      </c>
      <c r="G908" s="8">
        <v>0.0115</v>
      </c>
    </row>
    <row r="909" spans="1:7">
      <c r="A909" s="6">
        <v>45852</v>
      </c>
      <c r="B909" s="9">
        <v>3359.1</v>
      </c>
      <c r="C909" s="9">
        <v>3376.5</v>
      </c>
      <c r="D909" s="9">
        <v>3389.3</v>
      </c>
      <c r="E909" s="9">
        <v>3348.5</v>
      </c>
      <c r="F909" s="7" t="s">
        <v>1612</v>
      </c>
      <c r="G909" s="8">
        <v>-0.0015</v>
      </c>
    </row>
    <row r="910" spans="1:7">
      <c r="A910" s="6">
        <v>45853</v>
      </c>
      <c r="B910" s="9">
        <v>3336.7</v>
      </c>
      <c r="C910" s="9">
        <v>3352</v>
      </c>
      <c r="D910" s="9">
        <v>3375.4</v>
      </c>
      <c r="E910" s="9">
        <v>3327.3</v>
      </c>
      <c r="F910" s="7" t="s">
        <v>1613</v>
      </c>
      <c r="G910" s="8">
        <v>-0.0067</v>
      </c>
    </row>
    <row r="911" spans="1:7">
      <c r="A911" s="6">
        <v>45854</v>
      </c>
      <c r="B911" s="9">
        <v>3359.1</v>
      </c>
      <c r="C911" s="9">
        <v>3330.5</v>
      </c>
      <c r="D911" s="9">
        <v>3385.8</v>
      </c>
      <c r="E911" s="9">
        <v>3326.1</v>
      </c>
      <c r="F911" s="7" t="s">
        <v>1614</v>
      </c>
      <c r="G911" s="8">
        <v>0.0067</v>
      </c>
    </row>
    <row r="912" spans="1:7">
      <c r="A912" s="6">
        <v>45855</v>
      </c>
      <c r="B912" s="9">
        <v>3345.3</v>
      </c>
      <c r="C912" s="9">
        <v>3354.7</v>
      </c>
      <c r="D912" s="9">
        <v>3358.2</v>
      </c>
      <c r="E912" s="9">
        <v>3314.3</v>
      </c>
      <c r="F912" s="7" t="s">
        <v>1615</v>
      </c>
      <c r="G912" s="8">
        <v>-0.0041</v>
      </c>
    </row>
    <row r="913" spans="1:7">
      <c r="A913" s="6">
        <v>45856</v>
      </c>
      <c r="B913" s="9">
        <v>3358.3</v>
      </c>
      <c r="C913" s="9">
        <v>3347.5</v>
      </c>
      <c r="D913" s="9">
        <v>3368</v>
      </c>
      <c r="E913" s="9">
        <v>3337.2</v>
      </c>
      <c r="F913" s="7" t="s">
        <v>1616</v>
      </c>
      <c r="G913" s="8">
        <v>0.0039</v>
      </c>
    </row>
    <row r="914" spans="1:7">
      <c r="A914" s="6">
        <v>45859</v>
      </c>
      <c r="B914" s="9">
        <v>3462.9</v>
      </c>
      <c r="C914" s="9">
        <v>3415</v>
      </c>
      <c r="D914" s="9">
        <v>3473.2</v>
      </c>
      <c r="E914" s="9">
        <v>3407.4</v>
      </c>
      <c r="F914" s="7" t="s">
        <v>1617</v>
      </c>
      <c r="G914" s="8">
        <v>0.0311</v>
      </c>
    </row>
    <row r="915" spans="1:7">
      <c r="A915" s="6">
        <v>45860</v>
      </c>
      <c r="B915" s="9">
        <v>3501.8</v>
      </c>
      <c r="C915" s="9">
        <v>3468.7</v>
      </c>
      <c r="D915" s="9">
        <v>3505.8</v>
      </c>
      <c r="E915" s="9">
        <v>3451.7</v>
      </c>
      <c r="F915" s="7" t="s">
        <v>1618</v>
      </c>
      <c r="G915" s="8">
        <v>0.0112</v>
      </c>
    </row>
    <row r="916" spans="1:7">
      <c r="A916" s="6">
        <v>45861</v>
      </c>
      <c r="B916" s="9">
        <v>3455.1</v>
      </c>
      <c r="C916" s="9">
        <v>3502.8</v>
      </c>
      <c r="D916" s="9">
        <v>3509</v>
      </c>
      <c r="E916" s="9">
        <v>3448.7</v>
      </c>
      <c r="F916" s="7" t="s">
        <v>1619</v>
      </c>
      <c r="G916" s="8">
        <v>-0.0133</v>
      </c>
    </row>
    <row r="917" spans="1:7">
      <c r="A917" s="6">
        <v>45862</v>
      </c>
      <c r="B917" s="9">
        <v>3431.1</v>
      </c>
      <c r="C917" s="9">
        <v>3455.9</v>
      </c>
      <c r="D917" s="9">
        <v>3458.1</v>
      </c>
      <c r="E917" s="9">
        <v>3411.3</v>
      </c>
      <c r="F917" s="7" t="s">
        <v>1620</v>
      </c>
      <c r="G917" s="8">
        <v>-0.0069</v>
      </c>
    </row>
    <row r="918" spans="1:7">
      <c r="A918" s="6">
        <v>45863</v>
      </c>
      <c r="B918" s="9">
        <v>3392.5</v>
      </c>
      <c r="C918" s="9">
        <v>3429.2</v>
      </c>
      <c r="D918" s="9">
        <v>3434.3</v>
      </c>
      <c r="E918" s="9">
        <v>3382.3</v>
      </c>
      <c r="F918" s="7" t="s">
        <v>1621</v>
      </c>
      <c r="G918" s="8">
        <v>-0.0113</v>
      </c>
    </row>
    <row r="919" spans="1:7">
      <c r="A919" s="6">
        <v>45866</v>
      </c>
      <c r="B919" s="9">
        <v>3354</v>
      </c>
      <c r="C919" s="9">
        <v>3373.6</v>
      </c>
      <c r="D919" s="9">
        <v>3381.8</v>
      </c>
      <c r="E919" s="9">
        <v>3346.7</v>
      </c>
      <c r="F919" s="7" t="s">
        <v>1167</v>
      </c>
      <c r="G919" s="8">
        <v>-0.0113</v>
      </c>
    </row>
    <row r="920" spans="1:7">
      <c r="A920" s="6">
        <v>45867</v>
      </c>
      <c r="B920" s="9">
        <v>3368.3</v>
      </c>
      <c r="C920" s="9">
        <v>3366.1</v>
      </c>
      <c r="D920" s="9">
        <v>3368.8</v>
      </c>
      <c r="E920" s="9">
        <v>3362.4</v>
      </c>
      <c r="F920" s="7" t="s">
        <v>1622</v>
      </c>
      <c r="G920" s="8">
        <v>0.0043</v>
      </c>
    </row>
    <row r="921" spans="1:7">
      <c r="A921" s="6">
        <v>45868</v>
      </c>
      <c r="B921" s="9">
        <v>3352.8</v>
      </c>
      <c r="C921" s="9">
        <v>3383.1</v>
      </c>
      <c r="D921" s="9">
        <v>3389.3</v>
      </c>
      <c r="E921" s="9">
        <v>3319.2</v>
      </c>
      <c r="F921" s="7" t="s">
        <v>1623</v>
      </c>
      <c r="G921" s="8">
        <v>-0.0046</v>
      </c>
    </row>
    <row r="922" spans="1:7">
      <c r="A922" s="6">
        <v>45869</v>
      </c>
      <c r="B922" s="9">
        <v>3348.6</v>
      </c>
      <c r="C922" s="9">
        <v>3327.5</v>
      </c>
      <c r="D922" s="9">
        <v>3366.7</v>
      </c>
      <c r="E922" s="9">
        <v>3324.4</v>
      </c>
      <c r="F922" s="7" t="s">
        <v>1624</v>
      </c>
      <c r="G922" s="8">
        <v>-0.0013</v>
      </c>
    </row>
    <row r="923" spans="1:7">
      <c r="A923" s="6">
        <v>45870</v>
      </c>
      <c r="B923" s="9">
        <v>3399.8</v>
      </c>
      <c r="C923" s="9">
        <v>3342.7</v>
      </c>
      <c r="D923" s="9">
        <v>3416.9</v>
      </c>
      <c r="E923" s="9">
        <v>3331.4</v>
      </c>
      <c r="F923" s="7" t="s">
        <v>1625</v>
      </c>
      <c r="G923" s="8">
        <v>0.0153</v>
      </c>
    </row>
    <row r="924" spans="1:7">
      <c r="A924" s="6">
        <v>45873</v>
      </c>
      <c r="B924" s="9">
        <v>3426.4</v>
      </c>
      <c r="C924" s="9">
        <v>3416.6</v>
      </c>
      <c r="D924" s="9">
        <v>3439.5</v>
      </c>
      <c r="E924" s="9">
        <v>3397.9</v>
      </c>
      <c r="F924" s="7" t="s">
        <v>1626</v>
      </c>
      <c r="G924" s="8">
        <v>0.0078</v>
      </c>
    </row>
    <row r="925" spans="1:7">
      <c r="A925" s="6">
        <v>45874</v>
      </c>
      <c r="B925" s="9">
        <v>3434.7</v>
      </c>
      <c r="C925" s="9">
        <v>3428.9</v>
      </c>
      <c r="D925" s="9">
        <v>3444.9</v>
      </c>
      <c r="E925" s="9">
        <v>3403.3</v>
      </c>
      <c r="F925" s="7" t="s">
        <v>1627</v>
      </c>
      <c r="G925" s="8">
        <v>0.0024</v>
      </c>
    </row>
    <row r="926" spans="1:7">
      <c r="A926" s="6">
        <v>45875</v>
      </c>
      <c r="B926" s="9">
        <v>3433.4</v>
      </c>
      <c r="C926" s="9">
        <v>3434.9</v>
      </c>
      <c r="D926" s="9">
        <v>3440.5</v>
      </c>
      <c r="E926" s="9">
        <v>3411.7</v>
      </c>
      <c r="F926" s="7" t="s">
        <v>1628</v>
      </c>
      <c r="G926" s="8">
        <v>-0.0004</v>
      </c>
    </row>
    <row r="927" spans="1:7">
      <c r="A927" s="6">
        <v>45876</v>
      </c>
      <c r="B927" s="9">
        <v>3453.7</v>
      </c>
      <c r="C927" s="9">
        <v>3431.8</v>
      </c>
      <c r="D927" s="9">
        <v>3483.8</v>
      </c>
      <c r="E927" s="9">
        <v>3430</v>
      </c>
      <c r="F927" s="7" t="s">
        <v>1396</v>
      </c>
      <c r="G927" s="8">
        <v>0.0059</v>
      </c>
    </row>
    <row r="928" spans="1:7">
      <c r="A928" s="6">
        <v>45877</v>
      </c>
      <c r="B928" s="9">
        <v>3491.3</v>
      </c>
      <c r="C928" s="9">
        <v>3487.9</v>
      </c>
      <c r="D928" s="9">
        <v>3534.1</v>
      </c>
      <c r="E928" s="9">
        <v>3445</v>
      </c>
      <c r="F928" s="7" t="s">
        <v>1629</v>
      </c>
      <c r="G928" s="8">
        <v>0.0109</v>
      </c>
    </row>
    <row r="929" spans="1:7">
      <c r="A929" s="6">
        <v>45880</v>
      </c>
      <c r="B929" s="9">
        <v>3404.7</v>
      </c>
      <c r="C929" s="9">
        <v>3458.1</v>
      </c>
      <c r="D929" s="9">
        <v>3466.3</v>
      </c>
      <c r="E929" s="9">
        <v>3393</v>
      </c>
      <c r="F929" s="7" t="s">
        <v>1630</v>
      </c>
      <c r="G929" s="8">
        <v>-0.0248</v>
      </c>
    </row>
    <row r="930" spans="1:7">
      <c r="A930" s="6">
        <v>45881</v>
      </c>
      <c r="B930" s="9">
        <v>3399</v>
      </c>
      <c r="C930" s="9">
        <v>3393.6</v>
      </c>
      <c r="D930" s="9">
        <v>3410.8</v>
      </c>
      <c r="E930" s="9">
        <v>3379.1</v>
      </c>
      <c r="F930" s="7" t="s">
        <v>1631</v>
      </c>
      <c r="G930" s="8">
        <v>-0.0017</v>
      </c>
    </row>
    <row r="931" spans="1:7">
      <c r="A931" s="6">
        <v>45882</v>
      </c>
      <c r="B931" s="9">
        <v>3408.3</v>
      </c>
      <c r="C931" s="9">
        <v>3399.6</v>
      </c>
      <c r="D931" s="9">
        <v>3422.6</v>
      </c>
      <c r="E931" s="9">
        <v>3392.7</v>
      </c>
      <c r="F931" s="7" t="s">
        <v>1632</v>
      </c>
      <c r="G931" s="8">
        <v>0.0027</v>
      </c>
    </row>
    <row r="932" spans="1:7">
      <c r="A932" s="6">
        <v>45883</v>
      </c>
      <c r="B932" s="9">
        <v>3383.2</v>
      </c>
      <c r="C932" s="9">
        <v>3407.2</v>
      </c>
      <c r="D932" s="9">
        <v>3423.8</v>
      </c>
      <c r="E932" s="9">
        <v>3375.5</v>
      </c>
      <c r="F932" s="7" t="s">
        <v>1633</v>
      </c>
      <c r="G932" s="8">
        <v>-0.0074</v>
      </c>
    </row>
    <row r="933" spans="1:7">
      <c r="A933" s="6">
        <v>45884</v>
      </c>
      <c r="B933" s="9">
        <v>3382.6</v>
      </c>
      <c r="C933" s="9">
        <v>3383.2</v>
      </c>
      <c r="D933" s="9">
        <v>3394.8</v>
      </c>
      <c r="E933" s="9">
        <v>3377.7</v>
      </c>
      <c r="F933" s="7" t="s">
        <v>1634</v>
      </c>
      <c r="G933" s="8">
        <v>-0.0002</v>
      </c>
    </row>
    <row r="934" spans="1:7">
      <c r="A934" s="6">
        <v>45887</v>
      </c>
      <c r="B934" s="9">
        <v>3378</v>
      </c>
      <c r="C934" s="9">
        <v>3382.4</v>
      </c>
      <c r="D934" s="9">
        <v>3403.6</v>
      </c>
      <c r="E934" s="9">
        <v>3368</v>
      </c>
      <c r="F934" s="7" t="s">
        <v>1635</v>
      </c>
      <c r="G934" s="8">
        <v>-0.0014</v>
      </c>
    </row>
    <row r="935" spans="1:7">
      <c r="A935" s="6">
        <v>45888</v>
      </c>
      <c r="B935" s="9">
        <v>3358.7</v>
      </c>
      <c r="C935" s="9">
        <v>3378.3</v>
      </c>
      <c r="D935" s="9">
        <v>3389.7</v>
      </c>
      <c r="E935" s="9">
        <v>3358.1</v>
      </c>
      <c r="F935" s="7" t="s">
        <v>1636</v>
      </c>
      <c r="G935" s="8">
        <v>-0.0057</v>
      </c>
    </row>
    <row r="936" spans="1:7">
      <c r="A936" s="6">
        <v>45889</v>
      </c>
      <c r="B936" s="9">
        <v>3388.5</v>
      </c>
      <c r="C936" s="9">
        <v>3359</v>
      </c>
      <c r="D936" s="9">
        <v>3394.3</v>
      </c>
      <c r="E936" s="9">
        <v>3353.4</v>
      </c>
      <c r="F936" s="7" t="s">
        <v>1637</v>
      </c>
      <c r="G936" s="8">
        <v>0.0089</v>
      </c>
    </row>
    <row r="937" spans="1:7">
      <c r="A937" s="6">
        <v>45890</v>
      </c>
      <c r="B937" s="9">
        <v>3381.6</v>
      </c>
      <c r="C937" s="9">
        <v>3392.2</v>
      </c>
      <c r="D937" s="9">
        <v>3394.4</v>
      </c>
      <c r="E937" s="9">
        <v>3367.4</v>
      </c>
      <c r="F937" s="7" t="s">
        <v>1638</v>
      </c>
      <c r="G937" s="8">
        <v>-0.002</v>
      </c>
    </row>
    <row r="938" spans="1:7">
      <c r="A938" s="6">
        <v>45891</v>
      </c>
      <c r="B938" s="9">
        <v>3418.5</v>
      </c>
      <c r="C938" s="9">
        <v>3383.3</v>
      </c>
      <c r="D938" s="9">
        <v>3423.4</v>
      </c>
      <c r="E938" s="9">
        <v>3362.8</v>
      </c>
      <c r="F938" s="7" t="s">
        <v>1639</v>
      </c>
      <c r="G938" s="8">
        <v>0.0109</v>
      </c>
    </row>
    <row r="939" spans="1:7">
      <c r="A939" s="6">
        <v>45894</v>
      </c>
      <c r="B939" s="9">
        <v>3404.9</v>
      </c>
      <c r="C939" s="9">
        <v>3399.7</v>
      </c>
      <c r="D939" s="9">
        <v>3407.2</v>
      </c>
      <c r="E939" s="9">
        <v>3395</v>
      </c>
      <c r="F939" s="7" t="s">
        <v>1640</v>
      </c>
      <c r="G939" s="8">
        <v>-0.004</v>
      </c>
    </row>
    <row r="940" spans="1:7">
      <c r="A940" s="6">
        <v>45895</v>
      </c>
      <c r="B940" s="9">
        <v>3420.1</v>
      </c>
      <c r="C940" s="9">
        <v>3398.1</v>
      </c>
      <c r="D940" s="9">
        <v>3427</v>
      </c>
      <c r="E940" s="9">
        <v>3398.1</v>
      </c>
      <c r="F940" s="7" t="s">
        <v>1133</v>
      </c>
      <c r="G940" s="8">
        <v>0.0045</v>
      </c>
    </row>
    <row r="941" spans="1:7">
      <c r="A941" s="6">
        <v>45896</v>
      </c>
      <c r="B941" s="9">
        <v>3435.7</v>
      </c>
      <c r="C941" s="9">
        <v>3428.1</v>
      </c>
      <c r="D941" s="9">
        <v>3436</v>
      </c>
      <c r="E941" s="9">
        <v>3410.7</v>
      </c>
      <c r="F941" s="7" t="s">
        <v>1640</v>
      </c>
      <c r="G941" s="8">
        <v>0.0046</v>
      </c>
    </row>
    <row r="942" spans="1:7">
      <c r="A942" s="6">
        <v>45897</v>
      </c>
      <c r="B942" s="9">
        <v>3474.3</v>
      </c>
      <c r="C942" s="9">
        <v>3452.6</v>
      </c>
      <c r="D942" s="9">
        <v>3478.7</v>
      </c>
      <c r="E942" s="9">
        <v>3442.5</v>
      </c>
      <c r="F942" s="7" t="s">
        <v>1641</v>
      </c>
      <c r="G942" s="8">
        <v>0.0112</v>
      </c>
    </row>
    <row r="943" spans="1:7">
      <c r="A943" s="6">
        <v>45898</v>
      </c>
      <c r="B943" s="9">
        <v>3516.1</v>
      </c>
      <c r="C943" s="9">
        <v>3477.2</v>
      </c>
      <c r="D943" s="9">
        <v>3518.5</v>
      </c>
      <c r="E943" s="9">
        <v>3463</v>
      </c>
      <c r="F943" s="7" t="s">
        <v>1642</v>
      </c>
      <c r="G943" s="8">
        <v>0.012</v>
      </c>
    </row>
    <row r="944" spans="1:7">
      <c r="A944" s="6">
        <v>45900</v>
      </c>
      <c r="B944" s="9">
        <v>3512</v>
      </c>
      <c r="C944" s="9">
        <v>3517.65</v>
      </c>
      <c r="D944" s="9">
        <v>3517.65</v>
      </c>
      <c r="E944" s="9">
        <v>3509.7</v>
      </c>
      <c r="G944" s="8">
        <v>-0.0012</v>
      </c>
    </row>
    <row r="945" spans="1:7">
      <c r="A945" s="6">
        <v>45901</v>
      </c>
      <c r="B945" s="9">
        <v>3551.82</v>
      </c>
      <c r="C945" s="9">
        <v>3511.17</v>
      </c>
      <c r="D945" s="9">
        <v>3556.87</v>
      </c>
      <c r="E945" s="9">
        <v>3506.05</v>
      </c>
      <c r="F945" s="7" t="s">
        <v>1643</v>
      </c>
      <c r="G945" s="8">
        <v>0.0113</v>
      </c>
    </row>
    <row r="946" spans="1:7">
      <c r="A946" s="6">
        <v>45902</v>
      </c>
      <c r="B946" s="9">
        <v>3592.2</v>
      </c>
      <c r="C946" s="9">
        <v>3517.9</v>
      </c>
      <c r="D946" s="9">
        <v>3602.4</v>
      </c>
      <c r="E946" s="9">
        <v>3506</v>
      </c>
      <c r="F946" s="7" t="s">
        <v>1644</v>
      </c>
      <c r="G946" s="8">
        <v>0.0114</v>
      </c>
    </row>
    <row r="947" spans="1:7">
      <c r="A947" s="6">
        <v>45903</v>
      </c>
      <c r="B947" s="9">
        <v>3635.5</v>
      </c>
      <c r="C947" s="9">
        <v>3600</v>
      </c>
      <c r="D947" s="9">
        <v>3640.1</v>
      </c>
      <c r="E947" s="9">
        <v>3592.4</v>
      </c>
      <c r="F947" s="7" t="s">
        <v>1645</v>
      </c>
      <c r="G947" s="8">
        <v>0.0121</v>
      </c>
    </row>
    <row r="948" spans="1:7">
      <c r="A948" s="6">
        <v>45904</v>
      </c>
      <c r="B948" s="9">
        <v>3606.7</v>
      </c>
      <c r="C948" s="9">
        <v>3619.8</v>
      </c>
      <c r="D948" s="9">
        <v>3621.6</v>
      </c>
      <c r="E948" s="9">
        <v>3573.7</v>
      </c>
      <c r="F948" s="7" t="s">
        <v>1646</v>
      </c>
      <c r="G948" s="8">
        <v>-0.0079</v>
      </c>
    </row>
    <row r="949" spans="1:7">
      <c r="A949" s="6">
        <v>45905</v>
      </c>
      <c r="B949" s="9">
        <v>3653.3</v>
      </c>
      <c r="C949" s="9">
        <v>3602</v>
      </c>
      <c r="D949" s="9">
        <v>3655.5</v>
      </c>
      <c r="E949" s="9">
        <v>3595.4</v>
      </c>
      <c r="F949" s="7" t="s">
        <v>1647</v>
      </c>
      <c r="G949" s="8">
        <v>0.0129</v>
      </c>
    </row>
    <row r="950" spans="1:7">
      <c r="A950" s="6">
        <v>45907</v>
      </c>
      <c r="B950" s="9">
        <v>3630.8</v>
      </c>
      <c r="C950" s="9">
        <v>3634.3</v>
      </c>
      <c r="D950" s="9">
        <v>3637.3</v>
      </c>
      <c r="E950" s="9">
        <v>3623.5</v>
      </c>
      <c r="F950" s="7" t="s">
        <v>1648</v>
      </c>
      <c r="G950" s="8">
        <v>-0.0062</v>
      </c>
    </row>
    <row r="951" spans="1:7">
      <c r="A951" s="6">
        <v>45908</v>
      </c>
      <c r="B951" s="9">
        <v>3677.4</v>
      </c>
      <c r="C951" s="9">
        <v>3635</v>
      </c>
      <c r="D951" s="9">
        <v>3685.7</v>
      </c>
      <c r="E951" s="9">
        <v>3621.7</v>
      </c>
      <c r="F951" s="7" t="s">
        <v>1649</v>
      </c>
      <c r="G951" s="8">
        <v>0.0128</v>
      </c>
    </row>
    <row r="952" spans="1:7">
      <c r="A952" s="6">
        <v>45909</v>
      </c>
      <c r="B952" s="9">
        <v>3682.2</v>
      </c>
      <c r="C952" s="9">
        <v>3676.6</v>
      </c>
      <c r="D952" s="9">
        <v>3715.2</v>
      </c>
      <c r="E952" s="9">
        <v>3663.7</v>
      </c>
      <c r="F952" s="7" t="s">
        <v>1650</v>
      </c>
      <c r="G952" s="8">
        <v>0.0013</v>
      </c>
    </row>
    <row r="953" spans="1:7">
      <c r="A953" s="6">
        <v>45910</v>
      </c>
      <c r="B953" s="9">
        <v>3683.3</v>
      </c>
      <c r="C953" s="9">
        <v>3662</v>
      </c>
      <c r="D953" s="9">
        <v>3697.5</v>
      </c>
      <c r="E953" s="9">
        <v>3651.4</v>
      </c>
      <c r="F953" s="7" t="s">
        <v>1651</v>
      </c>
      <c r="G953" s="8">
        <v>0.0003</v>
      </c>
    </row>
    <row r="954" spans="1:7">
      <c r="A954" s="6">
        <v>45911</v>
      </c>
      <c r="B954" s="9">
        <v>3672</v>
      </c>
      <c r="C954" s="9">
        <v>3683.5</v>
      </c>
      <c r="D954" s="9">
        <v>3687.42</v>
      </c>
      <c r="E954" s="9">
        <v>3651.9</v>
      </c>
      <c r="F954" s="7" t="s">
        <v>1652</v>
      </c>
      <c r="G954" s="8">
        <v>-0.0031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72"/>
  <sheetViews>
    <sheetView workbookViewId="0">
      <selection activeCell="K4" sqref="K4"/>
    </sheetView>
  </sheetViews>
  <sheetFormatPr defaultColWidth="9" defaultRowHeight="14.25" outlineLevelCol="6"/>
  <cols>
    <col min="1" max="1" width="11.625" style="6" customWidth="1"/>
    <col min="2" max="16384" width="9" style="7"/>
  </cols>
  <sheetData>
    <row r="1" spans="1:7">
      <c r="A1" s="6" t="s">
        <v>13</v>
      </c>
      <c r="B1" s="7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26</v>
      </c>
    </row>
    <row r="2" spans="1:7">
      <c r="A2" s="6">
        <v>44564</v>
      </c>
      <c r="B2" s="7">
        <v>3.678</v>
      </c>
      <c r="C2" s="7">
        <v>3.554</v>
      </c>
      <c r="D2" s="7">
        <v>3.709</v>
      </c>
      <c r="E2" s="7">
        <v>3.5</v>
      </c>
      <c r="F2" s="7" t="s">
        <v>1653</v>
      </c>
      <c r="G2" s="8">
        <v>0.034</v>
      </c>
    </row>
    <row r="3" spans="1:7">
      <c r="A3" s="6">
        <v>44565</v>
      </c>
      <c r="B3" s="7">
        <v>3.582</v>
      </c>
      <c r="C3" s="7">
        <v>3.674</v>
      </c>
      <c r="D3" s="7">
        <v>3.777</v>
      </c>
      <c r="E3" s="7">
        <v>3.573</v>
      </c>
      <c r="F3" s="7" t="s">
        <v>1654</v>
      </c>
      <c r="G3" s="8">
        <v>-0.0261</v>
      </c>
    </row>
    <row r="4" spans="1:7">
      <c r="A4" s="6">
        <v>44566</v>
      </c>
      <c r="B4" s="7">
        <v>3.71</v>
      </c>
      <c r="C4" s="7">
        <v>3.611</v>
      </c>
      <c r="D4" s="7">
        <v>3.738</v>
      </c>
      <c r="E4" s="7">
        <v>3.591</v>
      </c>
      <c r="F4" s="7" t="s">
        <v>1655</v>
      </c>
      <c r="G4" s="8">
        <v>0.0357</v>
      </c>
    </row>
    <row r="5" spans="1:7">
      <c r="A5" s="6">
        <v>44567</v>
      </c>
      <c r="B5" s="7">
        <v>3.67</v>
      </c>
      <c r="C5" s="7">
        <v>3.679</v>
      </c>
      <c r="D5" s="7">
        <v>3.757</v>
      </c>
      <c r="E5" s="7">
        <v>3.647</v>
      </c>
      <c r="F5" s="7" t="s">
        <v>1656</v>
      </c>
      <c r="G5" s="8">
        <v>-0.0108</v>
      </c>
    </row>
    <row r="6" spans="1:7">
      <c r="A6" s="6">
        <v>44568</v>
      </c>
      <c r="B6" s="7">
        <v>3.726</v>
      </c>
      <c r="C6" s="7">
        <v>3.716</v>
      </c>
      <c r="D6" s="7">
        <v>3.803</v>
      </c>
      <c r="E6" s="7">
        <v>3.664</v>
      </c>
      <c r="F6" s="7" t="s">
        <v>1657</v>
      </c>
      <c r="G6" s="8">
        <v>0.0153</v>
      </c>
    </row>
    <row r="7" spans="1:7">
      <c r="A7" s="6">
        <v>44571</v>
      </c>
      <c r="B7" s="7">
        <v>3.834</v>
      </c>
      <c r="C7" s="7">
        <v>3.91</v>
      </c>
      <c r="D7" s="7">
        <v>3.966</v>
      </c>
      <c r="E7" s="7">
        <v>3.764</v>
      </c>
      <c r="F7" s="7" t="s">
        <v>1658</v>
      </c>
      <c r="G7" s="8">
        <v>0.029</v>
      </c>
    </row>
    <row r="8" spans="1:7">
      <c r="A8" s="6">
        <v>44572</v>
      </c>
      <c r="B8" s="7">
        <v>3.968</v>
      </c>
      <c r="C8" s="7">
        <v>3.868</v>
      </c>
      <c r="D8" s="7">
        <v>3.98</v>
      </c>
      <c r="E8" s="7">
        <v>3.787</v>
      </c>
      <c r="F8" s="7" t="s">
        <v>1659</v>
      </c>
      <c r="G8" s="8">
        <v>0.035</v>
      </c>
    </row>
    <row r="9" spans="1:7">
      <c r="A9" s="6">
        <v>44573</v>
      </c>
      <c r="B9" s="7">
        <v>4.327</v>
      </c>
      <c r="C9" s="7">
        <v>3.948</v>
      </c>
      <c r="D9" s="7">
        <v>4.356</v>
      </c>
      <c r="E9" s="7">
        <v>3.926</v>
      </c>
      <c r="F9" s="7" t="s">
        <v>1660</v>
      </c>
      <c r="G9" s="8">
        <v>0.0905</v>
      </c>
    </row>
    <row r="10" spans="1:7">
      <c r="A10" s="6">
        <v>44574</v>
      </c>
      <c r="B10" s="7">
        <v>4.005</v>
      </c>
      <c r="C10" s="7">
        <v>4.296</v>
      </c>
      <c r="D10" s="7">
        <v>4.329</v>
      </c>
      <c r="E10" s="7">
        <v>3.99</v>
      </c>
      <c r="F10" s="7" t="s">
        <v>1661</v>
      </c>
      <c r="G10" s="8">
        <v>-0.0744</v>
      </c>
    </row>
    <row r="11" spans="1:7">
      <c r="A11" s="6">
        <v>44575</v>
      </c>
      <c r="B11" s="7">
        <v>4.081</v>
      </c>
      <c r="C11" s="7">
        <v>4.01</v>
      </c>
      <c r="D11" s="7">
        <v>4.097</v>
      </c>
      <c r="E11" s="7">
        <v>3.933</v>
      </c>
      <c r="F11" s="7" t="s">
        <v>1662</v>
      </c>
      <c r="G11" s="8">
        <v>0.019</v>
      </c>
    </row>
    <row r="12" spans="1:7">
      <c r="A12" s="6">
        <v>44577</v>
      </c>
      <c r="B12" s="7">
        <v>4.335</v>
      </c>
      <c r="C12" s="7">
        <v>4.338</v>
      </c>
      <c r="D12" s="7">
        <v>4.35</v>
      </c>
      <c r="E12" s="7">
        <v>4.323</v>
      </c>
      <c r="G12" s="8">
        <v>0.0622</v>
      </c>
    </row>
    <row r="13" spans="1:7">
      <c r="A13" s="6">
        <v>44578</v>
      </c>
      <c r="B13" s="7">
        <v>4.276</v>
      </c>
      <c r="C13" s="7">
        <v>4.33</v>
      </c>
      <c r="D13" s="7">
        <v>4.353</v>
      </c>
      <c r="E13" s="7">
        <v>4.216</v>
      </c>
      <c r="G13" s="8">
        <v>-0.0136</v>
      </c>
    </row>
    <row r="14" spans="1:7">
      <c r="A14" s="6">
        <v>44579</v>
      </c>
      <c r="B14" s="7">
        <v>4.048</v>
      </c>
      <c r="C14" s="7">
        <v>4.143</v>
      </c>
      <c r="D14" s="7">
        <v>4.18</v>
      </c>
      <c r="E14" s="7">
        <v>4.002</v>
      </c>
      <c r="F14" s="7" t="s">
        <v>1663</v>
      </c>
      <c r="G14" s="8">
        <v>-0.0533</v>
      </c>
    </row>
    <row r="15" spans="1:7">
      <c r="A15" s="6">
        <v>44580</v>
      </c>
      <c r="B15" s="7">
        <v>3.845</v>
      </c>
      <c r="C15" s="7">
        <v>4.071</v>
      </c>
      <c r="D15" s="7">
        <v>4.119</v>
      </c>
      <c r="E15" s="7">
        <v>3.834</v>
      </c>
      <c r="F15" s="7" t="s">
        <v>1664</v>
      </c>
      <c r="G15" s="8">
        <v>-0.0501</v>
      </c>
    </row>
    <row r="16" spans="1:7">
      <c r="A16" s="6">
        <v>44581</v>
      </c>
      <c r="B16" s="7">
        <v>3.649</v>
      </c>
      <c r="C16" s="7">
        <v>3.834</v>
      </c>
      <c r="D16" s="7">
        <v>3.868</v>
      </c>
      <c r="E16" s="7">
        <v>3.629</v>
      </c>
      <c r="F16" s="7" t="s">
        <v>115</v>
      </c>
      <c r="G16" s="8">
        <v>-0.051</v>
      </c>
    </row>
    <row r="17" spans="1:7">
      <c r="A17" s="6">
        <v>44582</v>
      </c>
      <c r="B17" s="7">
        <v>3.782</v>
      </c>
      <c r="C17" s="7">
        <v>3.68</v>
      </c>
      <c r="D17" s="7">
        <v>3.829</v>
      </c>
      <c r="E17" s="7">
        <v>3.669</v>
      </c>
      <c r="F17" s="7" t="s">
        <v>1665</v>
      </c>
      <c r="G17" s="8">
        <v>0.0364</v>
      </c>
    </row>
    <row r="18" spans="1:7">
      <c r="A18" s="6">
        <v>44585</v>
      </c>
      <c r="B18" s="7">
        <v>3.875</v>
      </c>
      <c r="C18" s="7">
        <v>3.709</v>
      </c>
      <c r="D18" s="7">
        <v>3.912</v>
      </c>
      <c r="E18" s="7">
        <v>3.693</v>
      </c>
      <c r="F18" s="7" t="s">
        <v>1666</v>
      </c>
      <c r="G18" s="8">
        <v>0.0246</v>
      </c>
    </row>
    <row r="19" spans="1:7">
      <c r="A19" s="6">
        <v>44586</v>
      </c>
      <c r="B19" s="7">
        <v>3.894</v>
      </c>
      <c r="C19" s="7">
        <v>3.811</v>
      </c>
      <c r="D19" s="7">
        <v>3.919</v>
      </c>
      <c r="E19" s="7">
        <v>3.761</v>
      </c>
      <c r="F19" s="7" t="s">
        <v>1667</v>
      </c>
      <c r="G19" s="8">
        <v>0.0049</v>
      </c>
    </row>
    <row r="20" spans="1:7">
      <c r="A20" s="6">
        <v>44587</v>
      </c>
      <c r="B20" s="7">
        <v>4.036</v>
      </c>
      <c r="C20" s="7">
        <v>3.885</v>
      </c>
      <c r="D20" s="7">
        <v>4.194</v>
      </c>
      <c r="E20" s="7">
        <v>3.856</v>
      </c>
      <c r="F20" s="7" t="s">
        <v>1668</v>
      </c>
      <c r="G20" s="8">
        <v>0.0365</v>
      </c>
    </row>
    <row r="21" spans="1:7">
      <c r="A21" s="6">
        <v>44588</v>
      </c>
      <c r="B21" s="7">
        <v>4.283</v>
      </c>
      <c r="C21" s="7">
        <v>4</v>
      </c>
      <c r="D21" s="7">
        <v>4.42</v>
      </c>
      <c r="E21" s="7">
        <v>3.99</v>
      </c>
      <c r="F21" s="7" t="s">
        <v>1669</v>
      </c>
      <c r="G21" s="8">
        <v>0.0612</v>
      </c>
    </row>
    <row r="22" spans="1:7">
      <c r="A22" s="6">
        <v>44589</v>
      </c>
      <c r="B22" s="7">
        <v>4.473</v>
      </c>
      <c r="C22" s="7">
        <v>4.222</v>
      </c>
      <c r="D22" s="7">
        <v>4.629</v>
      </c>
      <c r="E22" s="7">
        <v>4.192</v>
      </c>
      <c r="F22" s="7" t="s">
        <v>1670</v>
      </c>
      <c r="G22" s="8">
        <v>0.0444</v>
      </c>
    </row>
    <row r="23" spans="1:7">
      <c r="A23" s="6">
        <v>44592</v>
      </c>
      <c r="B23" s="7">
        <v>4.675</v>
      </c>
      <c r="C23" s="7">
        <v>4.637</v>
      </c>
      <c r="D23" s="7">
        <v>4.803</v>
      </c>
      <c r="E23" s="7">
        <v>4.533</v>
      </c>
      <c r="F23" s="7" t="s">
        <v>1671</v>
      </c>
      <c r="G23" s="8">
        <v>0.0452</v>
      </c>
    </row>
    <row r="24" spans="1:7">
      <c r="A24" s="6">
        <v>44593</v>
      </c>
      <c r="B24" s="7">
        <v>4.573</v>
      </c>
      <c r="C24" s="7">
        <v>4.696</v>
      </c>
      <c r="D24" s="7">
        <v>4.736</v>
      </c>
      <c r="E24" s="7">
        <v>4.474</v>
      </c>
      <c r="F24" s="7" t="s">
        <v>1672</v>
      </c>
      <c r="G24" s="8">
        <v>-0.0218</v>
      </c>
    </row>
    <row r="25" spans="1:7">
      <c r="A25" s="6">
        <v>44594</v>
      </c>
      <c r="B25" s="7">
        <v>5.044</v>
      </c>
      <c r="C25" s="7">
        <v>4.681</v>
      </c>
      <c r="D25" s="7">
        <v>5.053</v>
      </c>
      <c r="E25" s="7">
        <v>4.664</v>
      </c>
      <c r="F25" s="7" t="s">
        <v>1673</v>
      </c>
      <c r="G25" s="8">
        <v>0.103</v>
      </c>
    </row>
    <row r="26" spans="1:7">
      <c r="A26" s="6">
        <v>44595</v>
      </c>
      <c r="B26" s="7">
        <v>4.72</v>
      </c>
      <c r="C26" s="7">
        <v>4.966</v>
      </c>
      <c r="D26" s="7">
        <v>5.009</v>
      </c>
      <c r="E26" s="7">
        <v>4.617</v>
      </c>
      <c r="F26" s="7" t="s">
        <v>1674</v>
      </c>
      <c r="G26" s="8">
        <v>-0.0642</v>
      </c>
    </row>
    <row r="27" spans="1:7">
      <c r="A27" s="6">
        <v>44596</v>
      </c>
      <c r="B27" s="7">
        <v>4.492</v>
      </c>
      <c r="C27" s="7">
        <v>4.75</v>
      </c>
      <c r="D27" s="7">
        <v>4.861</v>
      </c>
      <c r="E27" s="7">
        <v>4.41</v>
      </c>
      <c r="F27" s="7" t="s">
        <v>1675</v>
      </c>
      <c r="G27" s="8">
        <v>-0.0483</v>
      </c>
    </row>
    <row r="28" spans="1:7">
      <c r="A28" s="6">
        <v>44599</v>
      </c>
      <c r="B28" s="7">
        <v>4.198</v>
      </c>
      <c r="C28" s="7">
        <v>4.329</v>
      </c>
      <c r="D28" s="7">
        <v>4.409</v>
      </c>
      <c r="E28" s="7">
        <v>4.1</v>
      </c>
      <c r="F28" s="7" t="s">
        <v>1676</v>
      </c>
      <c r="G28" s="8">
        <v>-0.0654</v>
      </c>
    </row>
    <row r="29" spans="1:7">
      <c r="A29" s="6">
        <v>44600</v>
      </c>
      <c r="B29" s="7">
        <v>4.218</v>
      </c>
      <c r="C29" s="7">
        <v>4.238</v>
      </c>
      <c r="D29" s="7">
        <v>4.343</v>
      </c>
      <c r="E29" s="7">
        <v>4.157</v>
      </c>
      <c r="F29" s="7" t="s">
        <v>1677</v>
      </c>
      <c r="G29" s="8">
        <v>0.0048</v>
      </c>
    </row>
    <row r="30" spans="1:7">
      <c r="A30" s="6">
        <v>44601</v>
      </c>
      <c r="B30" s="7">
        <v>3.98</v>
      </c>
      <c r="C30" s="7">
        <v>4.178</v>
      </c>
      <c r="D30" s="7">
        <v>4.229</v>
      </c>
      <c r="E30" s="7">
        <v>3.955</v>
      </c>
      <c r="F30" s="7" t="s">
        <v>1678</v>
      </c>
      <c r="G30" s="8">
        <v>-0.0564</v>
      </c>
    </row>
    <row r="31" spans="1:7">
      <c r="A31" s="6">
        <v>44602</v>
      </c>
      <c r="B31" s="7">
        <v>3.943</v>
      </c>
      <c r="C31" s="7">
        <v>4</v>
      </c>
      <c r="D31" s="7">
        <v>4.033</v>
      </c>
      <c r="E31" s="7">
        <v>3.867</v>
      </c>
      <c r="F31" s="7" t="s">
        <v>1679</v>
      </c>
      <c r="G31" s="8">
        <v>-0.0093</v>
      </c>
    </row>
    <row r="32" spans="1:7">
      <c r="A32" s="6">
        <v>44603</v>
      </c>
      <c r="B32" s="7">
        <v>3.935</v>
      </c>
      <c r="C32" s="7">
        <v>3.923</v>
      </c>
      <c r="D32" s="7">
        <v>4.045</v>
      </c>
      <c r="E32" s="7">
        <v>3.872</v>
      </c>
      <c r="F32" s="7" t="s">
        <v>1680</v>
      </c>
      <c r="G32" s="8">
        <v>-0.002</v>
      </c>
    </row>
    <row r="33" spans="1:7">
      <c r="A33" s="6">
        <v>44606</v>
      </c>
      <c r="B33" s="7">
        <v>4.16</v>
      </c>
      <c r="C33" s="7">
        <v>4.07</v>
      </c>
      <c r="D33" s="7">
        <v>4.186</v>
      </c>
      <c r="E33" s="7">
        <v>4.019</v>
      </c>
      <c r="F33" s="7" t="s">
        <v>1681</v>
      </c>
      <c r="G33" s="8">
        <v>0.0572</v>
      </c>
    </row>
    <row r="34" spans="1:7">
      <c r="A34" s="6">
        <v>44607</v>
      </c>
      <c r="B34" s="7">
        <v>4.241</v>
      </c>
      <c r="C34" s="7">
        <v>4.147</v>
      </c>
      <c r="D34" s="7">
        <v>4.336</v>
      </c>
      <c r="E34" s="7">
        <v>4.125</v>
      </c>
      <c r="F34" s="7" t="s">
        <v>1682</v>
      </c>
      <c r="G34" s="8">
        <v>0.0195</v>
      </c>
    </row>
    <row r="35" spans="1:7">
      <c r="A35" s="6">
        <v>44608</v>
      </c>
      <c r="B35" s="7">
        <v>4.572</v>
      </c>
      <c r="C35" s="7">
        <v>4.306</v>
      </c>
      <c r="D35" s="7">
        <v>4.592</v>
      </c>
      <c r="E35" s="7">
        <v>4.279</v>
      </c>
      <c r="F35" s="7" t="s">
        <v>1683</v>
      </c>
      <c r="G35" s="8">
        <v>0.078</v>
      </c>
    </row>
    <row r="36" spans="1:7">
      <c r="A36" s="6">
        <v>44609</v>
      </c>
      <c r="B36" s="7">
        <v>4.43</v>
      </c>
      <c r="C36" s="7">
        <v>4.532</v>
      </c>
      <c r="D36" s="7">
        <v>4.645</v>
      </c>
      <c r="E36" s="7">
        <v>4.343</v>
      </c>
      <c r="F36" s="7" t="s">
        <v>1684</v>
      </c>
      <c r="G36" s="8">
        <v>-0.0311</v>
      </c>
    </row>
    <row r="37" spans="1:7">
      <c r="A37" s="6">
        <v>44610</v>
      </c>
      <c r="B37" s="7">
        <v>4.377</v>
      </c>
      <c r="C37" s="7">
        <v>4.451</v>
      </c>
      <c r="D37" s="7">
        <v>4.585</v>
      </c>
      <c r="E37" s="7">
        <v>4.306</v>
      </c>
      <c r="F37" s="7" t="s">
        <v>1685</v>
      </c>
      <c r="G37" s="8">
        <v>-0.012</v>
      </c>
    </row>
    <row r="38" spans="1:7">
      <c r="A38" s="6">
        <v>44612</v>
      </c>
      <c r="B38" s="7">
        <v>4.579</v>
      </c>
      <c r="C38" s="7">
        <v>4.529</v>
      </c>
      <c r="D38" s="7">
        <v>4.598</v>
      </c>
      <c r="E38" s="7">
        <v>4.527</v>
      </c>
      <c r="G38" s="8">
        <v>0.0462</v>
      </c>
    </row>
    <row r="39" spans="1:7">
      <c r="A39" s="6">
        <v>44613</v>
      </c>
      <c r="B39" s="7">
        <v>4.705</v>
      </c>
      <c r="C39" s="7">
        <v>4.58</v>
      </c>
      <c r="D39" s="7">
        <v>4.745</v>
      </c>
      <c r="E39" s="7">
        <v>4.52</v>
      </c>
      <c r="G39" s="8">
        <v>0.0275</v>
      </c>
    </row>
    <row r="40" spans="1:7">
      <c r="A40" s="6">
        <v>44614</v>
      </c>
      <c r="B40" s="7">
        <v>4.461</v>
      </c>
      <c r="C40" s="7">
        <v>4.505</v>
      </c>
      <c r="D40" s="7">
        <v>4.746</v>
      </c>
      <c r="E40" s="7">
        <v>4.409</v>
      </c>
      <c r="F40" s="7" t="s">
        <v>1686</v>
      </c>
      <c r="G40" s="8">
        <v>-0.0519</v>
      </c>
    </row>
    <row r="41" spans="1:7">
      <c r="A41" s="6">
        <v>44615</v>
      </c>
      <c r="B41" s="7">
        <v>4.593</v>
      </c>
      <c r="C41" s="7">
        <v>4.466</v>
      </c>
      <c r="D41" s="7">
        <v>4.685</v>
      </c>
      <c r="E41" s="7">
        <v>4.437</v>
      </c>
      <c r="F41" s="7" t="s">
        <v>1687</v>
      </c>
      <c r="G41" s="8">
        <v>0.0296</v>
      </c>
    </row>
    <row r="42" spans="1:7">
      <c r="A42" s="6">
        <v>44616</v>
      </c>
      <c r="B42" s="7">
        <v>4.641</v>
      </c>
      <c r="C42" s="7">
        <v>4.592</v>
      </c>
      <c r="D42" s="7">
        <v>4.938</v>
      </c>
      <c r="E42" s="7">
        <v>4.555</v>
      </c>
      <c r="F42" s="7" t="s">
        <v>1688</v>
      </c>
      <c r="G42" s="8">
        <v>0.0105</v>
      </c>
    </row>
    <row r="43" spans="1:7">
      <c r="A43" s="6">
        <v>44617</v>
      </c>
      <c r="B43" s="7">
        <v>4.485</v>
      </c>
      <c r="C43" s="7">
        <v>4.591</v>
      </c>
      <c r="D43" s="7">
        <v>4.724</v>
      </c>
      <c r="E43" s="7">
        <v>4.435</v>
      </c>
      <c r="F43" s="7" t="s">
        <v>1689</v>
      </c>
      <c r="G43" s="8">
        <v>-0.0336</v>
      </c>
    </row>
    <row r="44" spans="1:7">
      <c r="A44" s="6">
        <v>44620</v>
      </c>
      <c r="B44" s="7">
        <v>4.42</v>
      </c>
      <c r="C44" s="7">
        <v>4.63</v>
      </c>
      <c r="D44" s="7">
        <v>4.7</v>
      </c>
      <c r="E44" s="7">
        <v>4.392</v>
      </c>
      <c r="F44" s="7" t="s">
        <v>1690</v>
      </c>
      <c r="G44" s="8">
        <v>-0.0145</v>
      </c>
    </row>
    <row r="45" spans="1:7">
      <c r="A45" s="6">
        <v>44621</v>
      </c>
      <c r="B45" s="7">
        <v>4.598</v>
      </c>
      <c r="C45" s="7">
        <v>4.425</v>
      </c>
      <c r="D45" s="7">
        <v>4.649</v>
      </c>
      <c r="E45" s="7">
        <v>4.361</v>
      </c>
      <c r="F45" s="7" t="s">
        <v>1691</v>
      </c>
      <c r="G45" s="8">
        <v>0.0403</v>
      </c>
    </row>
    <row r="46" spans="1:7">
      <c r="A46" s="6">
        <v>44622</v>
      </c>
      <c r="B46" s="7">
        <v>4.787</v>
      </c>
      <c r="C46" s="7">
        <v>4.631</v>
      </c>
      <c r="D46" s="7">
        <v>4.928</v>
      </c>
      <c r="E46" s="7">
        <v>4.63</v>
      </c>
      <c r="F46" s="7" t="s">
        <v>1692</v>
      </c>
      <c r="G46" s="8">
        <v>0.0411</v>
      </c>
    </row>
    <row r="47" spans="1:7">
      <c r="A47" s="6">
        <v>44623</v>
      </c>
      <c r="B47" s="7">
        <v>4.736</v>
      </c>
      <c r="C47" s="7">
        <v>4.813</v>
      </c>
      <c r="D47" s="7">
        <v>4.949</v>
      </c>
      <c r="E47" s="7">
        <v>4.653</v>
      </c>
      <c r="F47" s="7" t="s">
        <v>1693</v>
      </c>
      <c r="G47" s="8">
        <v>-0.0107</v>
      </c>
    </row>
    <row r="48" spans="1:7">
      <c r="A48" s="6">
        <v>44624</v>
      </c>
      <c r="B48" s="7">
        <v>5.036</v>
      </c>
      <c r="C48" s="7">
        <v>4.763</v>
      </c>
      <c r="D48" s="7">
        <v>5.06</v>
      </c>
      <c r="E48" s="7">
        <v>4.758</v>
      </c>
      <c r="F48" s="7" t="s">
        <v>1694</v>
      </c>
      <c r="G48" s="8">
        <v>0.0633</v>
      </c>
    </row>
    <row r="49" spans="1:7">
      <c r="A49" s="6">
        <v>44627</v>
      </c>
      <c r="B49" s="7">
        <v>4.858</v>
      </c>
      <c r="C49" s="7">
        <v>5.057</v>
      </c>
      <c r="D49" s="7">
        <v>5.199</v>
      </c>
      <c r="E49" s="7">
        <v>4.809</v>
      </c>
      <c r="F49" s="7" t="s">
        <v>1695</v>
      </c>
      <c r="G49" s="8">
        <v>-0.0353</v>
      </c>
    </row>
    <row r="50" spans="1:7">
      <c r="A50" s="6">
        <v>44628</v>
      </c>
      <c r="B50" s="7">
        <v>4.563</v>
      </c>
      <c r="C50" s="7">
        <v>4.848</v>
      </c>
      <c r="D50" s="7">
        <v>4.909</v>
      </c>
      <c r="E50" s="7">
        <v>4.541</v>
      </c>
      <c r="F50" s="7" t="s">
        <v>1696</v>
      </c>
      <c r="G50" s="8">
        <v>-0.0607</v>
      </c>
    </row>
    <row r="51" spans="1:7">
      <c r="A51" s="6">
        <v>44629</v>
      </c>
      <c r="B51" s="7">
        <v>4.561</v>
      </c>
      <c r="C51" s="7">
        <v>4.615</v>
      </c>
      <c r="D51" s="7">
        <v>4.664</v>
      </c>
      <c r="E51" s="7">
        <v>4.488</v>
      </c>
      <c r="F51" s="7" t="s">
        <v>1697</v>
      </c>
      <c r="G51" s="8">
        <v>-0.0004</v>
      </c>
    </row>
    <row r="52" spans="1:7">
      <c r="A52" s="6">
        <v>44630</v>
      </c>
      <c r="B52" s="7">
        <v>4.669</v>
      </c>
      <c r="C52" s="7">
        <v>4.561</v>
      </c>
      <c r="D52" s="7">
        <v>4.707</v>
      </c>
      <c r="E52" s="7">
        <v>4.538</v>
      </c>
      <c r="F52" s="7" t="s">
        <v>1698</v>
      </c>
      <c r="G52" s="8">
        <v>0.0237</v>
      </c>
    </row>
    <row r="53" spans="1:7">
      <c r="A53" s="6">
        <v>44631</v>
      </c>
      <c r="B53" s="7">
        <v>4.766</v>
      </c>
      <c r="C53" s="7">
        <v>4.696</v>
      </c>
      <c r="D53" s="7">
        <v>4.837</v>
      </c>
      <c r="E53" s="7">
        <v>4.666</v>
      </c>
      <c r="F53" s="7" t="s">
        <v>1699</v>
      </c>
      <c r="G53" s="8">
        <v>0.0208</v>
      </c>
    </row>
    <row r="54" spans="1:7">
      <c r="A54" s="6">
        <v>44634</v>
      </c>
      <c r="B54" s="7">
        <v>4.702</v>
      </c>
      <c r="C54" s="7">
        <v>4.749</v>
      </c>
      <c r="D54" s="7">
        <v>4.797</v>
      </c>
      <c r="E54" s="7">
        <v>4.555</v>
      </c>
      <c r="F54" s="7" t="s">
        <v>1700</v>
      </c>
      <c r="G54" s="8">
        <v>-0.0134</v>
      </c>
    </row>
    <row r="55" spans="1:7">
      <c r="A55" s="6">
        <v>44635</v>
      </c>
      <c r="B55" s="7">
        <v>4.617</v>
      </c>
      <c r="C55" s="7">
        <v>4.722</v>
      </c>
      <c r="D55" s="7">
        <v>4.722</v>
      </c>
      <c r="E55" s="7">
        <v>4.509</v>
      </c>
      <c r="F55" s="7" t="s">
        <v>1701</v>
      </c>
      <c r="G55" s="8">
        <v>-0.0181</v>
      </c>
    </row>
    <row r="56" spans="1:7">
      <c r="A56" s="6">
        <v>44636</v>
      </c>
      <c r="B56" s="7">
        <v>4.784</v>
      </c>
      <c r="C56" s="7">
        <v>4.685</v>
      </c>
      <c r="D56" s="7">
        <v>4.812</v>
      </c>
      <c r="E56" s="7">
        <v>4.645</v>
      </c>
      <c r="F56" s="7" t="s">
        <v>1702</v>
      </c>
      <c r="G56" s="8">
        <v>0.0362</v>
      </c>
    </row>
    <row r="57" spans="1:7">
      <c r="A57" s="6">
        <v>44637</v>
      </c>
      <c r="B57" s="7">
        <v>5.021</v>
      </c>
      <c r="C57" s="7">
        <v>4.805</v>
      </c>
      <c r="D57" s="7">
        <v>5.031</v>
      </c>
      <c r="E57" s="7">
        <v>4.724</v>
      </c>
      <c r="F57" s="7" t="s">
        <v>1703</v>
      </c>
      <c r="G57" s="8">
        <v>0.0495</v>
      </c>
    </row>
    <row r="58" spans="1:7">
      <c r="A58" s="6">
        <v>44638</v>
      </c>
      <c r="B58" s="7">
        <v>4.902</v>
      </c>
      <c r="C58" s="7">
        <v>4.969</v>
      </c>
      <c r="D58" s="7">
        <v>4.989</v>
      </c>
      <c r="E58" s="7">
        <v>4.849</v>
      </c>
      <c r="F58" s="7" t="s">
        <v>1704</v>
      </c>
      <c r="G58" s="8">
        <v>-0.0237</v>
      </c>
    </row>
    <row r="59" spans="1:7">
      <c r="A59" s="6">
        <v>44641</v>
      </c>
      <c r="B59" s="7">
        <v>4.934</v>
      </c>
      <c r="C59" s="7">
        <v>4.927</v>
      </c>
      <c r="D59" s="7">
        <v>5.008</v>
      </c>
      <c r="E59" s="7">
        <v>4.791</v>
      </c>
      <c r="F59" s="7" t="s">
        <v>1705</v>
      </c>
      <c r="G59" s="8">
        <v>0.0065</v>
      </c>
    </row>
    <row r="60" spans="1:7">
      <c r="A60" s="6">
        <v>44642</v>
      </c>
      <c r="B60" s="7">
        <v>5.227</v>
      </c>
      <c r="C60" s="7">
        <v>4.983</v>
      </c>
      <c r="D60" s="7">
        <v>5.244</v>
      </c>
      <c r="E60" s="7">
        <v>4.907</v>
      </c>
      <c r="F60" s="7" t="s">
        <v>1706</v>
      </c>
      <c r="G60" s="8">
        <v>0.0594</v>
      </c>
    </row>
    <row r="61" spans="1:7">
      <c r="A61" s="6">
        <v>44643</v>
      </c>
      <c r="B61" s="7">
        <v>5.274</v>
      </c>
      <c r="C61" s="7">
        <v>5.184</v>
      </c>
      <c r="D61" s="7">
        <v>5.364</v>
      </c>
      <c r="E61" s="7">
        <v>5.135</v>
      </c>
      <c r="F61" s="7" t="s">
        <v>1707</v>
      </c>
      <c r="G61" s="8">
        <v>0.009</v>
      </c>
    </row>
    <row r="62" spans="1:7">
      <c r="A62" s="6">
        <v>44644</v>
      </c>
      <c r="B62" s="7">
        <v>5.446</v>
      </c>
      <c r="C62" s="7">
        <v>5.158</v>
      </c>
      <c r="D62" s="7">
        <v>5.508</v>
      </c>
      <c r="E62" s="7">
        <v>5.114</v>
      </c>
      <c r="F62" s="7" t="s">
        <v>1708</v>
      </c>
      <c r="G62" s="8">
        <v>0.0326</v>
      </c>
    </row>
    <row r="63" spans="1:7">
      <c r="A63" s="6">
        <v>44645</v>
      </c>
      <c r="B63" s="7">
        <v>5.611</v>
      </c>
      <c r="C63" s="7">
        <v>5.469</v>
      </c>
      <c r="D63" s="7">
        <v>5.617</v>
      </c>
      <c r="E63" s="7">
        <v>5.386</v>
      </c>
      <c r="F63" s="7" t="s">
        <v>1709</v>
      </c>
      <c r="G63" s="8">
        <v>0.0303</v>
      </c>
    </row>
    <row r="64" spans="1:7">
      <c r="A64" s="6">
        <v>44648</v>
      </c>
      <c r="B64" s="7">
        <v>5.538</v>
      </c>
      <c r="C64" s="7">
        <v>5.595</v>
      </c>
      <c r="D64" s="7">
        <v>5.707</v>
      </c>
      <c r="E64" s="7">
        <v>5.452</v>
      </c>
      <c r="F64" s="7" t="s">
        <v>1710</v>
      </c>
      <c r="G64" s="8">
        <v>-0.013</v>
      </c>
    </row>
    <row r="65" spans="1:7">
      <c r="A65" s="6">
        <v>44649</v>
      </c>
      <c r="B65" s="7">
        <v>5.33</v>
      </c>
      <c r="C65" s="7">
        <v>5.5</v>
      </c>
      <c r="D65" s="7">
        <v>5.527</v>
      </c>
      <c r="E65" s="7">
        <v>5.316</v>
      </c>
      <c r="F65" s="7" t="s">
        <v>1711</v>
      </c>
      <c r="G65" s="8">
        <v>-0.0376</v>
      </c>
    </row>
    <row r="66" spans="1:7">
      <c r="A66" s="6">
        <v>44650</v>
      </c>
      <c r="B66" s="7">
        <v>5.658</v>
      </c>
      <c r="C66" s="7">
        <v>5.364</v>
      </c>
      <c r="D66" s="7">
        <v>5.677</v>
      </c>
      <c r="E66" s="7">
        <v>5.326</v>
      </c>
      <c r="F66" s="7" t="s">
        <v>1712</v>
      </c>
      <c r="G66" s="8">
        <v>0.0615</v>
      </c>
    </row>
    <row r="67" spans="1:7">
      <c r="A67" s="6">
        <v>44651</v>
      </c>
      <c r="B67" s="7">
        <v>5.701</v>
      </c>
      <c r="C67" s="7">
        <v>5.631</v>
      </c>
      <c r="D67" s="7">
        <v>5.887</v>
      </c>
      <c r="E67" s="7">
        <v>5.516</v>
      </c>
      <c r="F67" s="7" t="s">
        <v>1713</v>
      </c>
      <c r="G67" s="8">
        <v>0.0076</v>
      </c>
    </row>
    <row r="68" spans="1:7">
      <c r="A68" s="6">
        <v>44652</v>
      </c>
      <c r="B68" s="7">
        <v>5.795</v>
      </c>
      <c r="C68" s="7">
        <v>5.694</v>
      </c>
      <c r="D68" s="7">
        <v>5.85</v>
      </c>
      <c r="E68" s="7">
        <v>5.575</v>
      </c>
      <c r="F68" s="7" t="s">
        <v>1714</v>
      </c>
      <c r="G68" s="8">
        <v>0.0165</v>
      </c>
    </row>
    <row r="69" spans="1:7">
      <c r="A69" s="6">
        <v>44655</v>
      </c>
      <c r="B69" s="7">
        <v>5.793</v>
      </c>
      <c r="C69" s="7">
        <v>5.813</v>
      </c>
      <c r="D69" s="7">
        <v>5.928</v>
      </c>
      <c r="E69" s="7">
        <v>5.728</v>
      </c>
      <c r="F69" s="7" t="s">
        <v>1715</v>
      </c>
      <c r="G69" s="8">
        <v>-0.0003</v>
      </c>
    </row>
    <row r="70" spans="1:7">
      <c r="A70" s="6">
        <v>44656</v>
      </c>
      <c r="B70" s="7">
        <v>6.108</v>
      </c>
      <c r="C70" s="7">
        <v>5.864</v>
      </c>
      <c r="D70" s="7">
        <v>6.277</v>
      </c>
      <c r="E70" s="7">
        <v>5.847</v>
      </c>
      <c r="F70" s="7" t="s">
        <v>1716</v>
      </c>
      <c r="G70" s="8">
        <v>0.0544</v>
      </c>
    </row>
    <row r="71" spans="1:7">
      <c r="A71" s="6">
        <v>44657</v>
      </c>
      <c r="B71" s="7">
        <v>6.107</v>
      </c>
      <c r="C71" s="7">
        <v>6.175</v>
      </c>
      <c r="D71" s="7">
        <v>6.469</v>
      </c>
      <c r="E71" s="7">
        <v>6.08</v>
      </c>
      <c r="F71" s="7" t="s">
        <v>1717</v>
      </c>
      <c r="G71" s="8">
        <v>-0.0002</v>
      </c>
    </row>
    <row r="72" spans="1:7">
      <c r="A72" s="6">
        <v>44658</v>
      </c>
      <c r="B72" s="7">
        <v>6.436</v>
      </c>
      <c r="C72" s="7">
        <v>6.189</v>
      </c>
      <c r="D72" s="7">
        <v>6.517</v>
      </c>
      <c r="E72" s="7">
        <v>6.08</v>
      </c>
      <c r="F72" s="7" t="s">
        <v>1718</v>
      </c>
      <c r="G72" s="8">
        <v>0.0539</v>
      </c>
    </row>
    <row r="73" spans="1:7">
      <c r="A73" s="6">
        <v>44659</v>
      </c>
      <c r="B73" s="7">
        <v>6.356</v>
      </c>
      <c r="C73" s="7">
        <v>6.484</v>
      </c>
      <c r="D73" s="7">
        <v>6.615</v>
      </c>
      <c r="E73" s="7">
        <v>6.338</v>
      </c>
      <c r="F73" s="7" t="s">
        <v>1719</v>
      </c>
      <c r="G73" s="8">
        <v>-0.0124</v>
      </c>
    </row>
    <row r="74" spans="1:7">
      <c r="A74" s="6">
        <v>44662</v>
      </c>
      <c r="B74" s="7">
        <v>6.723</v>
      </c>
      <c r="C74" s="7">
        <v>6.458</v>
      </c>
      <c r="D74" s="7">
        <v>6.8</v>
      </c>
      <c r="E74" s="7">
        <v>6.327</v>
      </c>
      <c r="F74" s="7" t="s">
        <v>129</v>
      </c>
      <c r="G74" s="8">
        <v>0.0577</v>
      </c>
    </row>
    <row r="75" spans="1:7">
      <c r="A75" s="6">
        <v>44663</v>
      </c>
      <c r="B75" s="7">
        <v>6.763</v>
      </c>
      <c r="C75" s="7">
        <v>6.784</v>
      </c>
      <c r="D75" s="7">
        <v>7.025</v>
      </c>
      <c r="E75" s="7">
        <v>6.68</v>
      </c>
      <c r="F75" s="7" t="s">
        <v>1720</v>
      </c>
      <c r="G75" s="8">
        <v>0.0059</v>
      </c>
    </row>
    <row r="76" spans="1:7">
      <c r="A76" s="6">
        <v>44664</v>
      </c>
      <c r="B76" s="7">
        <v>7.096</v>
      </c>
      <c r="C76" s="7">
        <v>6.791</v>
      </c>
      <c r="D76" s="7">
        <v>7.193</v>
      </c>
      <c r="E76" s="7">
        <v>6.735</v>
      </c>
      <c r="F76" s="7" t="s">
        <v>1721</v>
      </c>
      <c r="G76" s="8">
        <v>0.0492</v>
      </c>
    </row>
    <row r="77" spans="1:7">
      <c r="A77" s="6">
        <v>44665</v>
      </c>
      <c r="B77" s="7">
        <v>7.423</v>
      </c>
      <c r="C77" s="7">
        <v>7.14</v>
      </c>
      <c r="D77" s="7">
        <v>7.465</v>
      </c>
      <c r="E77" s="7">
        <v>7.064</v>
      </c>
      <c r="F77" s="7" t="s">
        <v>1722</v>
      </c>
      <c r="G77" s="8">
        <v>0.0461</v>
      </c>
    </row>
    <row r="78" spans="1:7">
      <c r="A78" s="6">
        <v>44669</v>
      </c>
      <c r="B78" s="7">
        <v>7.958</v>
      </c>
      <c r="C78" s="7">
        <v>7.49</v>
      </c>
      <c r="D78" s="7">
        <v>8.197</v>
      </c>
      <c r="E78" s="7">
        <v>7.488</v>
      </c>
      <c r="F78" s="7" t="s">
        <v>1723</v>
      </c>
      <c r="G78" s="8">
        <v>0.0721</v>
      </c>
    </row>
    <row r="79" spans="1:7">
      <c r="A79" s="6">
        <v>44670</v>
      </c>
      <c r="B79" s="7">
        <v>7.277</v>
      </c>
      <c r="C79" s="7">
        <v>7.908</v>
      </c>
      <c r="D79" s="7">
        <v>8.075</v>
      </c>
      <c r="E79" s="7">
        <v>7.052</v>
      </c>
      <c r="F79" s="7" t="s">
        <v>1724</v>
      </c>
      <c r="G79" s="8">
        <v>-0.0856</v>
      </c>
    </row>
    <row r="80" spans="1:7">
      <c r="A80" s="6">
        <v>44671</v>
      </c>
      <c r="B80" s="7">
        <v>7.065</v>
      </c>
      <c r="C80" s="7">
        <v>7.369</v>
      </c>
      <c r="D80" s="7">
        <v>7.496</v>
      </c>
      <c r="E80" s="7">
        <v>6.894</v>
      </c>
      <c r="F80" s="7" t="s">
        <v>1725</v>
      </c>
      <c r="G80" s="8">
        <v>-0.0291</v>
      </c>
    </row>
    <row r="81" spans="1:7">
      <c r="A81" s="6">
        <v>44672</v>
      </c>
      <c r="B81" s="7">
        <v>7.096</v>
      </c>
      <c r="C81" s="7">
        <v>6.954</v>
      </c>
      <c r="D81" s="7">
        <v>7.274</v>
      </c>
      <c r="E81" s="7">
        <v>6.832</v>
      </c>
      <c r="F81" s="7" t="s">
        <v>1726</v>
      </c>
      <c r="G81" s="8">
        <v>0.0044</v>
      </c>
    </row>
    <row r="82" spans="1:7">
      <c r="A82" s="6">
        <v>44673</v>
      </c>
      <c r="B82" s="7">
        <v>6.663</v>
      </c>
      <c r="C82" s="7">
        <v>7.076</v>
      </c>
      <c r="D82" s="7">
        <v>7.214</v>
      </c>
      <c r="E82" s="7">
        <v>6.56</v>
      </c>
      <c r="F82" s="7" t="s">
        <v>1727</v>
      </c>
      <c r="G82" s="8">
        <v>-0.061</v>
      </c>
    </row>
    <row r="83" spans="1:7">
      <c r="A83" s="6">
        <v>44676</v>
      </c>
      <c r="B83" s="7">
        <v>6.805</v>
      </c>
      <c r="C83" s="7">
        <v>6.517</v>
      </c>
      <c r="D83" s="7">
        <v>7.112</v>
      </c>
      <c r="E83" s="7">
        <v>6.471</v>
      </c>
      <c r="F83" s="7" t="s">
        <v>1728</v>
      </c>
      <c r="G83" s="8">
        <v>0.0213</v>
      </c>
    </row>
    <row r="84" spans="1:7">
      <c r="A84" s="6">
        <v>44677</v>
      </c>
      <c r="B84" s="7">
        <v>6.978</v>
      </c>
      <c r="C84" s="7">
        <v>6.963</v>
      </c>
      <c r="D84" s="7">
        <v>7.175</v>
      </c>
      <c r="E84" s="7">
        <v>6.79</v>
      </c>
      <c r="F84" s="7" t="s">
        <v>1729</v>
      </c>
      <c r="G84" s="8">
        <v>0.0254</v>
      </c>
    </row>
    <row r="85" spans="1:7">
      <c r="A85" s="6">
        <v>44678</v>
      </c>
      <c r="B85" s="7">
        <v>7.339</v>
      </c>
      <c r="C85" s="7">
        <v>7.009</v>
      </c>
      <c r="D85" s="7">
        <v>7.524</v>
      </c>
      <c r="E85" s="7">
        <v>6.956</v>
      </c>
      <c r="F85" s="7" t="s">
        <v>1730</v>
      </c>
      <c r="G85" s="8">
        <v>0.0517</v>
      </c>
    </row>
    <row r="86" spans="1:7">
      <c r="A86" s="6">
        <v>44679</v>
      </c>
      <c r="B86" s="7">
        <v>6.994</v>
      </c>
      <c r="C86" s="7">
        <v>7.494</v>
      </c>
      <c r="D86" s="7">
        <v>7.517</v>
      </c>
      <c r="E86" s="7">
        <v>6.985</v>
      </c>
      <c r="F86" s="7" t="s">
        <v>1731</v>
      </c>
      <c r="G86" s="8">
        <v>-0.047</v>
      </c>
    </row>
    <row r="87" spans="1:7">
      <c r="A87" s="6">
        <v>44680</v>
      </c>
      <c r="B87" s="7">
        <v>7.355</v>
      </c>
      <c r="C87" s="7">
        <v>7.044</v>
      </c>
      <c r="D87" s="7">
        <v>7.447</v>
      </c>
      <c r="E87" s="7">
        <v>6.919</v>
      </c>
      <c r="F87" s="7" t="s">
        <v>1732</v>
      </c>
      <c r="G87" s="8">
        <v>0.0516</v>
      </c>
    </row>
    <row r="88" spans="1:7">
      <c r="A88" s="6">
        <v>44683</v>
      </c>
      <c r="B88" s="7">
        <v>7.566</v>
      </c>
      <c r="C88" s="7">
        <v>7.511</v>
      </c>
      <c r="D88" s="7">
        <v>7.701</v>
      </c>
      <c r="E88" s="7">
        <v>7.331</v>
      </c>
      <c r="F88" s="7" t="s">
        <v>1733</v>
      </c>
      <c r="G88" s="8">
        <v>0.0287</v>
      </c>
    </row>
    <row r="89" spans="1:7">
      <c r="A89" s="6">
        <v>44684</v>
      </c>
      <c r="B89" s="7">
        <v>8.025</v>
      </c>
      <c r="C89" s="7">
        <v>7.656</v>
      </c>
      <c r="D89" s="7">
        <v>8.25</v>
      </c>
      <c r="E89" s="7">
        <v>7.643</v>
      </c>
      <c r="F89" s="7" t="s">
        <v>1734</v>
      </c>
      <c r="G89" s="8">
        <v>0.0607</v>
      </c>
    </row>
    <row r="90" spans="1:7">
      <c r="A90" s="6">
        <v>44685</v>
      </c>
      <c r="B90" s="7">
        <v>8.472</v>
      </c>
      <c r="C90" s="7">
        <v>7.899</v>
      </c>
      <c r="D90" s="7">
        <v>8.542</v>
      </c>
      <c r="E90" s="7">
        <v>7.815</v>
      </c>
      <c r="F90" s="7" t="s">
        <v>1735</v>
      </c>
      <c r="G90" s="8">
        <v>0.0557</v>
      </c>
    </row>
    <row r="91" spans="1:7">
      <c r="A91" s="6">
        <v>44686</v>
      </c>
      <c r="B91" s="7">
        <v>8.841</v>
      </c>
      <c r="C91" s="7">
        <v>8.457</v>
      </c>
      <c r="D91" s="7">
        <v>8.965</v>
      </c>
      <c r="E91" s="7">
        <v>8.178</v>
      </c>
      <c r="F91" s="7" t="s">
        <v>874</v>
      </c>
      <c r="G91" s="8">
        <v>0.0436</v>
      </c>
    </row>
    <row r="92" spans="1:7">
      <c r="A92" s="6">
        <v>44687</v>
      </c>
      <c r="B92" s="7">
        <v>8.128</v>
      </c>
      <c r="C92" s="7">
        <v>8.896</v>
      </c>
      <c r="D92" s="7">
        <v>9.052</v>
      </c>
      <c r="E92" s="7">
        <v>8.039</v>
      </c>
      <c r="F92" s="7" t="s">
        <v>1736</v>
      </c>
      <c r="G92" s="8">
        <v>-0.0806</v>
      </c>
    </row>
    <row r="93" spans="1:7">
      <c r="A93" s="6">
        <v>44690</v>
      </c>
      <c r="B93" s="7">
        <v>7.106</v>
      </c>
      <c r="C93" s="7">
        <v>7.945</v>
      </c>
      <c r="D93" s="7">
        <v>8.37</v>
      </c>
      <c r="E93" s="7">
        <v>7.045</v>
      </c>
      <c r="F93" s="7" t="s">
        <v>1737</v>
      </c>
      <c r="G93" s="8">
        <v>-0.1257</v>
      </c>
    </row>
    <row r="94" spans="1:7">
      <c r="A94" s="6">
        <v>44691</v>
      </c>
      <c r="B94" s="7">
        <v>7.467</v>
      </c>
      <c r="C94" s="7">
        <v>7.108</v>
      </c>
      <c r="D94" s="7">
        <v>7.543</v>
      </c>
      <c r="E94" s="7">
        <v>6.521</v>
      </c>
      <c r="F94" s="7" t="s">
        <v>1738</v>
      </c>
      <c r="G94" s="8">
        <v>0.0508</v>
      </c>
    </row>
    <row r="95" spans="1:7">
      <c r="A95" s="6">
        <v>44692</v>
      </c>
      <c r="B95" s="7">
        <v>7.727</v>
      </c>
      <c r="C95" s="7">
        <v>7.395</v>
      </c>
      <c r="D95" s="7">
        <v>7.803</v>
      </c>
      <c r="E95" s="7">
        <v>7.385</v>
      </c>
      <c r="F95" s="7" t="s">
        <v>1739</v>
      </c>
      <c r="G95" s="8">
        <v>0.0348</v>
      </c>
    </row>
    <row r="96" spans="1:7">
      <c r="A96" s="6">
        <v>44693</v>
      </c>
      <c r="B96" s="7">
        <v>7.835</v>
      </c>
      <c r="C96" s="7">
        <v>7.749</v>
      </c>
      <c r="D96" s="7">
        <v>7.884</v>
      </c>
      <c r="E96" s="7">
        <v>7.348</v>
      </c>
      <c r="F96" s="7" t="s">
        <v>1739</v>
      </c>
      <c r="G96" s="8">
        <v>0.014</v>
      </c>
    </row>
    <row r="97" spans="1:7">
      <c r="A97" s="6">
        <v>44694</v>
      </c>
      <c r="B97" s="7">
        <v>7.765</v>
      </c>
      <c r="C97" s="7">
        <v>7.776</v>
      </c>
      <c r="D97" s="7">
        <v>8.022</v>
      </c>
      <c r="E97" s="7">
        <v>7.618</v>
      </c>
      <c r="F97" s="7" t="s">
        <v>1740</v>
      </c>
      <c r="G97" s="8">
        <v>-0.0089</v>
      </c>
    </row>
    <row r="98" spans="1:7">
      <c r="A98" s="6">
        <v>44697</v>
      </c>
      <c r="B98" s="7">
        <v>8.053</v>
      </c>
      <c r="C98" s="7">
        <v>7.826</v>
      </c>
      <c r="D98" s="7">
        <v>8.276</v>
      </c>
      <c r="E98" s="7">
        <v>7.765</v>
      </c>
      <c r="F98" s="7" t="s">
        <v>1741</v>
      </c>
      <c r="G98" s="8">
        <v>0.0371</v>
      </c>
    </row>
    <row r="99" spans="1:7">
      <c r="A99" s="6">
        <v>44698</v>
      </c>
      <c r="B99" s="7">
        <v>8.394</v>
      </c>
      <c r="C99" s="7">
        <v>8.112</v>
      </c>
      <c r="D99" s="7">
        <v>8.457</v>
      </c>
      <c r="E99" s="7">
        <v>8.112</v>
      </c>
      <c r="F99" s="7" t="s">
        <v>1742</v>
      </c>
      <c r="G99" s="8">
        <v>0.0423</v>
      </c>
    </row>
    <row r="100" spans="1:7">
      <c r="A100" s="6">
        <v>44699</v>
      </c>
      <c r="B100" s="7">
        <v>8.455</v>
      </c>
      <c r="C100" s="7">
        <v>8.41</v>
      </c>
      <c r="D100" s="7">
        <v>8.64</v>
      </c>
      <c r="E100" s="7">
        <v>8.253</v>
      </c>
      <c r="F100" s="7" t="s">
        <v>1743</v>
      </c>
      <c r="G100" s="8">
        <v>0.0073</v>
      </c>
    </row>
    <row r="101" spans="1:7">
      <c r="A101" s="6">
        <v>44700</v>
      </c>
      <c r="B101" s="7">
        <v>8.4</v>
      </c>
      <c r="C101" s="7">
        <v>8.348</v>
      </c>
      <c r="D101" s="7">
        <v>8.591</v>
      </c>
      <c r="E101" s="7">
        <v>8</v>
      </c>
      <c r="F101" s="7" t="s">
        <v>1744</v>
      </c>
      <c r="G101" s="8">
        <v>-0.0065</v>
      </c>
    </row>
    <row r="102" spans="1:7">
      <c r="A102" s="6">
        <v>44701</v>
      </c>
      <c r="B102" s="7">
        <v>8.178</v>
      </c>
      <c r="C102" s="7">
        <v>8.192</v>
      </c>
      <c r="D102" s="7">
        <v>8.285</v>
      </c>
      <c r="E102" s="7">
        <v>7.943</v>
      </c>
      <c r="F102" s="7" t="s">
        <v>1745</v>
      </c>
      <c r="G102" s="8">
        <v>-0.0264</v>
      </c>
    </row>
    <row r="103" spans="1:7">
      <c r="A103" s="6">
        <v>44704</v>
      </c>
      <c r="B103" s="7">
        <v>8.827</v>
      </c>
      <c r="C103" s="7">
        <v>8.188</v>
      </c>
      <c r="D103" s="7">
        <v>8.906</v>
      </c>
      <c r="E103" s="7">
        <v>7.95</v>
      </c>
      <c r="F103" s="7" t="s">
        <v>1746</v>
      </c>
      <c r="G103" s="8">
        <v>0.0794</v>
      </c>
    </row>
    <row r="104" spans="1:7">
      <c r="A104" s="6">
        <v>44705</v>
      </c>
      <c r="B104" s="7">
        <v>8.836</v>
      </c>
      <c r="C104" s="7">
        <v>8.819</v>
      </c>
      <c r="D104" s="7">
        <v>9.014</v>
      </c>
      <c r="E104" s="7">
        <v>8.683</v>
      </c>
      <c r="F104" s="7" t="s">
        <v>1747</v>
      </c>
      <c r="G104" s="8">
        <v>0.001</v>
      </c>
    </row>
    <row r="105" spans="1:7">
      <c r="A105" s="6">
        <v>44706</v>
      </c>
      <c r="B105" s="7">
        <v>8.993</v>
      </c>
      <c r="C105" s="7">
        <v>8.876</v>
      </c>
      <c r="D105" s="7">
        <v>9.437</v>
      </c>
      <c r="E105" s="7">
        <v>8.798</v>
      </c>
      <c r="F105" s="7" t="s">
        <v>1748</v>
      </c>
      <c r="G105" s="8">
        <v>0.0178</v>
      </c>
    </row>
    <row r="106" spans="1:7">
      <c r="A106" s="6">
        <v>44707</v>
      </c>
      <c r="B106" s="7">
        <v>8.895</v>
      </c>
      <c r="C106" s="7">
        <v>8.978</v>
      </c>
      <c r="D106" s="7">
        <v>9.447</v>
      </c>
      <c r="E106" s="7">
        <v>8.626</v>
      </c>
      <c r="F106" s="7" t="s">
        <v>1045</v>
      </c>
      <c r="G106" s="8">
        <v>-0.0109</v>
      </c>
    </row>
    <row r="107" spans="1:7">
      <c r="A107" s="6">
        <v>44708</v>
      </c>
      <c r="B107" s="7">
        <v>8.712</v>
      </c>
      <c r="C107" s="7">
        <v>8.797</v>
      </c>
      <c r="D107" s="7">
        <v>8.875</v>
      </c>
      <c r="E107" s="7">
        <v>8.275</v>
      </c>
      <c r="F107" s="7" t="s">
        <v>1749</v>
      </c>
      <c r="G107" s="8">
        <v>-0.0206</v>
      </c>
    </row>
    <row r="108" spans="1:7">
      <c r="A108" s="6">
        <v>44710</v>
      </c>
      <c r="B108" s="7">
        <v>8.815</v>
      </c>
      <c r="C108" s="7">
        <v>8.829</v>
      </c>
      <c r="D108" s="7">
        <v>8.841</v>
      </c>
      <c r="E108" s="7">
        <v>8.701</v>
      </c>
      <c r="G108" s="8">
        <v>0.0118</v>
      </c>
    </row>
    <row r="109" spans="1:7">
      <c r="A109" s="6">
        <v>44711</v>
      </c>
      <c r="B109" s="7">
        <v>8.686</v>
      </c>
      <c r="C109" s="7">
        <v>8.819</v>
      </c>
      <c r="D109" s="7">
        <v>8.908</v>
      </c>
      <c r="E109" s="7">
        <v>8.598</v>
      </c>
      <c r="G109" s="8">
        <v>-0.0146</v>
      </c>
    </row>
    <row r="110" spans="1:7">
      <c r="A110" s="6">
        <v>44712</v>
      </c>
      <c r="B110" s="7">
        <v>8.138</v>
      </c>
      <c r="C110" s="7">
        <v>8.87</v>
      </c>
      <c r="D110" s="7">
        <v>8.897</v>
      </c>
      <c r="E110" s="7">
        <v>8.111</v>
      </c>
      <c r="F110" s="7" t="s">
        <v>1750</v>
      </c>
      <c r="G110" s="8">
        <v>-0.0631</v>
      </c>
    </row>
    <row r="111" spans="1:7">
      <c r="A111" s="6">
        <v>44713</v>
      </c>
      <c r="B111" s="7">
        <v>8.686</v>
      </c>
      <c r="C111" s="7">
        <v>8.25</v>
      </c>
      <c r="D111" s="7">
        <v>8.779</v>
      </c>
      <c r="E111" s="7">
        <v>8.143</v>
      </c>
      <c r="F111" s="7" t="s">
        <v>1751</v>
      </c>
      <c r="G111" s="8">
        <v>0.0673</v>
      </c>
    </row>
    <row r="112" spans="1:7">
      <c r="A112" s="6">
        <v>44714</v>
      </c>
      <c r="B112" s="7">
        <v>8.474</v>
      </c>
      <c r="C112" s="7">
        <v>8.751</v>
      </c>
      <c r="D112" s="7">
        <v>9.04</v>
      </c>
      <c r="E112" s="7">
        <v>8.37</v>
      </c>
      <c r="F112" s="7" t="s">
        <v>1752</v>
      </c>
      <c r="G112" s="8">
        <v>-0.0244</v>
      </c>
    </row>
    <row r="113" spans="1:7">
      <c r="A113" s="6">
        <v>44715</v>
      </c>
      <c r="B113" s="7">
        <v>8.51</v>
      </c>
      <c r="C113" s="7">
        <v>8.406</v>
      </c>
      <c r="D113" s="7">
        <v>8.677</v>
      </c>
      <c r="E113" s="7">
        <v>8.257</v>
      </c>
      <c r="F113" s="7" t="s">
        <v>1753</v>
      </c>
      <c r="G113" s="8">
        <v>0.0042</v>
      </c>
    </row>
    <row r="114" spans="1:7">
      <c r="A114" s="6">
        <v>44718</v>
      </c>
      <c r="B114" s="7">
        <v>9.306</v>
      </c>
      <c r="C114" s="7">
        <v>8.696</v>
      </c>
      <c r="D114" s="7">
        <v>9.383</v>
      </c>
      <c r="E114" s="7">
        <v>8.696</v>
      </c>
      <c r="F114" s="7" t="s">
        <v>1754</v>
      </c>
      <c r="G114" s="8">
        <v>0.0935</v>
      </c>
    </row>
    <row r="115" spans="1:7">
      <c r="A115" s="6">
        <v>44719</v>
      </c>
      <c r="B115" s="7">
        <v>9.278</v>
      </c>
      <c r="C115" s="7">
        <v>9.365</v>
      </c>
      <c r="D115" s="7">
        <v>9.514</v>
      </c>
      <c r="E115" s="7">
        <v>9.187</v>
      </c>
      <c r="F115" s="7" t="s">
        <v>1755</v>
      </c>
      <c r="G115" s="8">
        <v>-0.003</v>
      </c>
    </row>
    <row r="116" spans="1:7">
      <c r="A116" s="6">
        <v>44720</v>
      </c>
      <c r="B116" s="7">
        <v>8.679</v>
      </c>
      <c r="C116" s="7">
        <v>9.347</v>
      </c>
      <c r="D116" s="7">
        <v>9.645</v>
      </c>
      <c r="E116" s="7">
        <v>8.447</v>
      </c>
      <c r="F116" s="7" t="s">
        <v>1756</v>
      </c>
      <c r="G116" s="8">
        <v>-0.0646</v>
      </c>
    </row>
    <row r="117" spans="1:7">
      <c r="A117" s="6">
        <v>44721</v>
      </c>
      <c r="B117" s="7">
        <v>8.978</v>
      </c>
      <c r="C117" s="7">
        <v>8.612</v>
      </c>
      <c r="D117" s="7">
        <v>9.041</v>
      </c>
      <c r="E117" s="7">
        <v>8.022</v>
      </c>
      <c r="F117" s="7" t="s">
        <v>1757</v>
      </c>
      <c r="G117" s="8">
        <v>0.0345</v>
      </c>
    </row>
    <row r="118" spans="1:7">
      <c r="A118" s="6">
        <v>44722</v>
      </c>
      <c r="B118" s="7">
        <v>8.867</v>
      </c>
      <c r="C118" s="7">
        <v>9.011</v>
      </c>
      <c r="D118" s="7">
        <v>9.161</v>
      </c>
      <c r="E118" s="7">
        <v>8.635</v>
      </c>
      <c r="F118" s="7" t="s">
        <v>1758</v>
      </c>
      <c r="G118" s="8">
        <v>-0.0124</v>
      </c>
    </row>
    <row r="119" spans="1:7">
      <c r="A119" s="6">
        <v>44725</v>
      </c>
      <c r="B119" s="7">
        <v>8.619</v>
      </c>
      <c r="C119" s="7">
        <v>8.888</v>
      </c>
      <c r="D119" s="7">
        <v>8.968</v>
      </c>
      <c r="E119" s="7">
        <v>8.388</v>
      </c>
      <c r="F119" s="7" t="s">
        <v>1759</v>
      </c>
      <c r="G119" s="8">
        <v>-0.028</v>
      </c>
    </row>
    <row r="120" spans="1:7">
      <c r="A120" s="6">
        <v>44726</v>
      </c>
      <c r="B120" s="7">
        <v>7.18</v>
      </c>
      <c r="C120" s="7">
        <v>8.688</v>
      </c>
      <c r="D120" s="7">
        <v>8.885</v>
      </c>
      <c r="E120" s="7">
        <v>7.01</v>
      </c>
      <c r="F120" s="7" t="s">
        <v>1760</v>
      </c>
      <c r="G120" s="8">
        <v>-0.167</v>
      </c>
    </row>
    <row r="121" spans="1:7">
      <c r="A121" s="6">
        <v>44727</v>
      </c>
      <c r="B121" s="7">
        <v>7.406</v>
      </c>
      <c r="C121" s="7">
        <v>7.259</v>
      </c>
      <c r="D121" s="7">
        <v>7.681</v>
      </c>
      <c r="E121" s="7">
        <v>7.205</v>
      </c>
      <c r="F121" s="7" t="s">
        <v>1761</v>
      </c>
      <c r="G121" s="8">
        <v>0.0315</v>
      </c>
    </row>
    <row r="122" spans="1:7">
      <c r="A122" s="6">
        <v>44728</v>
      </c>
      <c r="B122" s="7">
        <v>7.438</v>
      </c>
      <c r="C122" s="7">
        <v>7.467</v>
      </c>
      <c r="D122" s="7">
        <v>7.981</v>
      </c>
      <c r="E122" s="7">
        <v>7.305</v>
      </c>
      <c r="F122" s="7" t="s">
        <v>1762</v>
      </c>
      <c r="G122" s="8">
        <v>0.0043</v>
      </c>
    </row>
    <row r="123" spans="1:7">
      <c r="A123" s="6">
        <v>44729</v>
      </c>
      <c r="B123" s="7">
        <v>6.906</v>
      </c>
      <c r="C123" s="7">
        <v>7.422</v>
      </c>
      <c r="D123" s="7">
        <v>7.566</v>
      </c>
      <c r="E123" s="7">
        <v>6.852</v>
      </c>
      <c r="F123" s="7" t="s">
        <v>1763</v>
      </c>
      <c r="G123" s="8">
        <v>-0.0715</v>
      </c>
    </row>
    <row r="124" spans="1:7">
      <c r="A124" s="6">
        <v>44731</v>
      </c>
      <c r="B124" s="7">
        <v>6.702</v>
      </c>
      <c r="C124" s="7">
        <v>6.752</v>
      </c>
      <c r="D124" s="7">
        <v>6.758</v>
      </c>
      <c r="E124" s="7">
        <v>6.659</v>
      </c>
      <c r="G124" s="8">
        <v>-0.0295</v>
      </c>
    </row>
    <row r="125" spans="1:7">
      <c r="A125" s="6">
        <v>44732</v>
      </c>
      <c r="B125" s="7">
        <v>6.713</v>
      </c>
      <c r="C125" s="7">
        <v>6.706</v>
      </c>
      <c r="D125" s="7">
        <v>6.84</v>
      </c>
      <c r="E125" s="7">
        <v>6.635</v>
      </c>
      <c r="G125" s="8">
        <v>0.0016</v>
      </c>
    </row>
    <row r="126" spans="1:7">
      <c r="A126" s="6">
        <v>44733</v>
      </c>
      <c r="B126" s="7">
        <v>6.783</v>
      </c>
      <c r="C126" s="7">
        <v>6.79</v>
      </c>
      <c r="D126" s="7">
        <v>6.948</v>
      </c>
      <c r="E126" s="7">
        <v>6.531</v>
      </c>
      <c r="F126" s="7" t="s">
        <v>1764</v>
      </c>
      <c r="G126" s="8">
        <v>0.0104</v>
      </c>
    </row>
    <row r="127" spans="1:7">
      <c r="A127" s="6">
        <v>44734</v>
      </c>
      <c r="B127" s="7">
        <v>6.872</v>
      </c>
      <c r="C127" s="7">
        <v>6.816</v>
      </c>
      <c r="D127" s="7">
        <v>6.95</v>
      </c>
      <c r="E127" s="7">
        <v>6.554</v>
      </c>
      <c r="F127" s="7" t="s">
        <v>1765</v>
      </c>
      <c r="G127" s="8">
        <v>0.0131</v>
      </c>
    </row>
    <row r="128" spans="1:7">
      <c r="A128" s="6">
        <v>44735</v>
      </c>
      <c r="B128" s="7">
        <v>6.283</v>
      </c>
      <c r="C128" s="7">
        <v>6.829</v>
      </c>
      <c r="D128" s="7">
        <v>6.854</v>
      </c>
      <c r="E128" s="7">
        <v>6.237</v>
      </c>
      <c r="F128" s="7" t="s">
        <v>30</v>
      </c>
      <c r="G128" s="8">
        <v>-0.0857</v>
      </c>
    </row>
    <row r="129" spans="1:7">
      <c r="A129" s="6">
        <v>44736</v>
      </c>
      <c r="B129" s="7">
        <v>6.281</v>
      </c>
      <c r="C129" s="7">
        <v>6.26</v>
      </c>
      <c r="D129" s="7">
        <v>6.407</v>
      </c>
      <c r="E129" s="7">
        <v>6.062</v>
      </c>
      <c r="F129" s="7" t="s">
        <v>1766</v>
      </c>
      <c r="G129" s="8">
        <v>-0.0003</v>
      </c>
    </row>
    <row r="130" spans="1:7">
      <c r="A130" s="6">
        <v>44739</v>
      </c>
      <c r="B130" s="7">
        <v>6.546</v>
      </c>
      <c r="C130" s="7">
        <v>6.188</v>
      </c>
      <c r="D130" s="7">
        <v>6.597</v>
      </c>
      <c r="E130" s="7">
        <v>6.065</v>
      </c>
      <c r="F130" s="7" t="s">
        <v>1767</v>
      </c>
      <c r="G130" s="8">
        <v>0.0422</v>
      </c>
    </row>
    <row r="131" spans="1:7">
      <c r="A131" s="6">
        <v>44740</v>
      </c>
      <c r="B131" s="7">
        <v>6.57</v>
      </c>
      <c r="C131" s="7">
        <v>6.468</v>
      </c>
      <c r="D131" s="7">
        <v>6.738</v>
      </c>
      <c r="E131" s="7">
        <v>6.417</v>
      </c>
      <c r="F131" s="7" t="s">
        <v>1768</v>
      </c>
      <c r="G131" s="8">
        <v>0.0037</v>
      </c>
    </row>
    <row r="132" spans="1:7">
      <c r="A132" s="6">
        <v>44741</v>
      </c>
      <c r="B132" s="7">
        <v>6.493</v>
      </c>
      <c r="C132" s="7">
        <v>6.609</v>
      </c>
      <c r="D132" s="7">
        <v>6.812</v>
      </c>
      <c r="E132" s="7">
        <v>6.401</v>
      </c>
      <c r="F132" s="7" t="s">
        <v>1769</v>
      </c>
      <c r="G132" s="8">
        <v>-0.0117</v>
      </c>
    </row>
    <row r="133" spans="1:7">
      <c r="A133" s="6">
        <v>44742</v>
      </c>
      <c r="B133" s="7">
        <v>5.392</v>
      </c>
      <c r="C133" s="7">
        <v>6.425</v>
      </c>
      <c r="D133" s="7">
        <v>6.575</v>
      </c>
      <c r="E133" s="7">
        <v>5.327</v>
      </c>
      <c r="F133" s="7" t="s">
        <v>1770</v>
      </c>
      <c r="G133" s="8">
        <v>-0.1696</v>
      </c>
    </row>
    <row r="134" spans="1:7">
      <c r="A134" s="6">
        <v>44743</v>
      </c>
      <c r="B134" s="7">
        <v>5.712</v>
      </c>
      <c r="C134" s="7">
        <v>5.599</v>
      </c>
      <c r="D134" s="7">
        <v>5.909</v>
      </c>
      <c r="E134" s="7">
        <v>5.557</v>
      </c>
      <c r="F134" s="7" t="s">
        <v>1771</v>
      </c>
      <c r="G134" s="8">
        <v>0.0593</v>
      </c>
    </row>
    <row r="135" spans="1:7">
      <c r="A135" s="6">
        <v>44745</v>
      </c>
      <c r="B135" s="7">
        <v>5.709</v>
      </c>
      <c r="C135" s="7">
        <v>5.701</v>
      </c>
      <c r="D135" s="7">
        <v>5.734</v>
      </c>
      <c r="E135" s="7">
        <v>5.678</v>
      </c>
      <c r="G135" s="8">
        <v>-0.0005</v>
      </c>
    </row>
    <row r="136" spans="1:7">
      <c r="A136" s="6">
        <v>44746</v>
      </c>
      <c r="B136" s="7">
        <v>5.853</v>
      </c>
      <c r="C136" s="7">
        <v>5.712</v>
      </c>
      <c r="D136" s="7">
        <v>5.905</v>
      </c>
      <c r="E136" s="7">
        <v>5.606</v>
      </c>
      <c r="G136" s="8">
        <v>0.0252</v>
      </c>
    </row>
    <row r="137" spans="1:7">
      <c r="A137" s="6">
        <v>44747</v>
      </c>
      <c r="B137" s="7">
        <v>5.487</v>
      </c>
      <c r="C137" s="7">
        <v>5.679</v>
      </c>
      <c r="D137" s="7">
        <v>5.883</v>
      </c>
      <c r="E137" s="7">
        <v>5.324</v>
      </c>
      <c r="F137" s="7" t="s">
        <v>1772</v>
      </c>
      <c r="G137" s="8">
        <v>-0.0625</v>
      </c>
    </row>
    <row r="138" spans="1:7">
      <c r="A138" s="6">
        <v>44748</v>
      </c>
      <c r="B138" s="7">
        <v>5.482</v>
      </c>
      <c r="C138" s="7">
        <v>5.43</v>
      </c>
      <c r="D138" s="7">
        <v>5.699</v>
      </c>
      <c r="E138" s="7">
        <v>5.349</v>
      </c>
      <c r="F138" s="7" t="s">
        <v>1773</v>
      </c>
      <c r="G138" s="8">
        <v>-0.0009</v>
      </c>
    </row>
    <row r="139" spans="1:7">
      <c r="A139" s="6">
        <v>44749</v>
      </c>
      <c r="B139" s="7">
        <v>6.262</v>
      </c>
      <c r="C139" s="7">
        <v>5.508</v>
      </c>
      <c r="D139" s="7">
        <v>6.338</v>
      </c>
      <c r="E139" s="7">
        <v>5.464</v>
      </c>
      <c r="F139" s="7" t="s">
        <v>1774</v>
      </c>
      <c r="G139" s="8">
        <v>0.1423</v>
      </c>
    </row>
    <row r="140" spans="1:7">
      <c r="A140" s="6">
        <v>44750</v>
      </c>
      <c r="B140" s="7">
        <v>5.967</v>
      </c>
      <c r="C140" s="7">
        <v>6.18</v>
      </c>
      <c r="D140" s="7">
        <v>6.263</v>
      </c>
      <c r="E140" s="7">
        <v>5.948</v>
      </c>
      <c r="F140" s="7" t="s">
        <v>1775</v>
      </c>
      <c r="G140" s="8">
        <v>-0.0471</v>
      </c>
    </row>
    <row r="141" spans="1:7">
      <c r="A141" s="6">
        <v>44753</v>
      </c>
      <c r="B141" s="7">
        <v>6.319</v>
      </c>
      <c r="C141" s="7">
        <v>6.314</v>
      </c>
      <c r="D141" s="7">
        <v>6.59</v>
      </c>
      <c r="E141" s="7">
        <v>6.16</v>
      </c>
      <c r="F141" s="7" t="s">
        <v>1776</v>
      </c>
      <c r="G141" s="8">
        <v>0.059</v>
      </c>
    </row>
    <row r="142" spans="1:7">
      <c r="A142" s="6">
        <v>44754</v>
      </c>
      <c r="B142" s="7">
        <v>6.021</v>
      </c>
      <c r="C142" s="7">
        <v>6.395</v>
      </c>
      <c r="D142" s="7">
        <v>6.647</v>
      </c>
      <c r="E142" s="7">
        <v>5.895</v>
      </c>
      <c r="F142" s="7" t="s">
        <v>1777</v>
      </c>
      <c r="G142" s="8">
        <v>-0.0472</v>
      </c>
    </row>
    <row r="143" spans="1:7">
      <c r="A143" s="6">
        <v>44755</v>
      </c>
      <c r="B143" s="7">
        <v>6.589</v>
      </c>
      <c r="C143" s="7">
        <v>6.125</v>
      </c>
      <c r="D143" s="7">
        <v>6.683</v>
      </c>
      <c r="E143" s="7">
        <v>6.058</v>
      </c>
      <c r="F143" s="7" t="s">
        <v>1778</v>
      </c>
      <c r="G143" s="8">
        <v>0.0943</v>
      </c>
    </row>
    <row r="144" spans="1:7">
      <c r="A144" s="6">
        <v>44756</v>
      </c>
      <c r="B144" s="7">
        <v>6.511</v>
      </c>
      <c r="C144" s="7">
        <v>6.544</v>
      </c>
      <c r="D144" s="7">
        <v>6.806</v>
      </c>
      <c r="E144" s="7">
        <v>6.461</v>
      </c>
      <c r="F144" s="7" t="s">
        <v>1779</v>
      </c>
      <c r="G144" s="8">
        <v>-0.0118</v>
      </c>
    </row>
    <row r="145" spans="1:7">
      <c r="A145" s="6">
        <v>44757</v>
      </c>
      <c r="B145" s="7">
        <v>6.926</v>
      </c>
      <c r="C145" s="7">
        <v>6.584</v>
      </c>
      <c r="D145" s="7">
        <v>7.047</v>
      </c>
      <c r="E145" s="7">
        <v>6.351</v>
      </c>
      <c r="F145" s="7" t="s">
        <v>1780</v>
      </c>
      <c r="G145" s="8">
        <v>0.0637</v>
      </c>
    </row>
    <row r="146" spans="1:7">
      <c r="A146" s="6">
        <v>44760</v>
      </c>
      <c r="B146" s="7">
        <v>7.382</v>
      </c>
      <c r="C146" s="7">
        <v>7.021</v>
      </c>
      <c r="D146" s="7">
        <v>7.46</v>
      </c>
      <c r="E146" s="7">
        <v>6.987</v>
      </c>
      <c r="F146" s="7" t="s">
        <v>1781</v>
      </c>
      <c r="G146" s="8">
        <v>0.0658</v>
      </c>
    </row>
    <row r="147" spans="1:7">
      <c r="A147" s="6">
        <v>44761</v>
      </c>
      <c r="B147" s="7">
        <v>7.15</v>
      </c>
      <c r="C147" s="7">
        <v>7.329</v>
      </c>
      <c r="D147" s="7">
        <v>7.453</v>
      </c>
      <c r="E147" s="7">
        <v>7.017</v>
      </c>
      <c r="F147" s="7" t="s">
        <v>1782</v>
      </c>
      <c r="G147" s="8">
        <v>-0.0314</v>
      </c>
    </row>
    <row r="148" spans="1:7">
      <c r="A148" s="6">
        <v>44762</v>
      </c>
      <c r="B148" s="7">
        <v>7.899</v>
      </c>
      <c r="C148" s="7">
        <v>7.2</v>
      </c>
      <c r="D148" s="7">
        <v>7.925</v>
      </c>
      <c r="E148" s="7">
        <v>7.057</v>
      </c>
      <c r="F148" s="7" t="s">
        <v>1783</v>
      </c>
      <c r="G148" s="8">
        <v>0.1048</v>
      </c>
    </row>
    <row r="149" spans="1:7">
      <c r="A149" s="6">
        <v>44763</v>
      </c>
      <c r="B149" s="7">
        <v>7.815</v>
      </c>
      <c r="C149" s="7">
        <v>7.769</v>
      </c>
      <c r="D149" s="7">
        <v>8.045</v>
      </c>
      <c r="E149" s="7">
        <v>7.485</v>
      </c>
      <c r="F149" s="7" t="s">
        <v>1784</v>
      </c>
      <c r="G149" s="8">
        <v>-0.0106</v>
      </c>
    </row>
    <row r="150" spans="1:7">
      <c r="A150" s="6">
        <v>44764</v>
      </c>
      <c r="B150" s="7">
        <v>8.195</v>
      </c>
      <c r="C150" s="7">
        <v>7.78</v>
      </c>
      <c r="D150" s="7">
        <v>8.293</v>
      </c>
      <c r="E150" s="7">
        <v>7.652</v>
      </c>
      <c r="F150" s="7" t="s">
        <v>1785</v>
      </c>
      <c r="G150" s="8">
        <v>0.0486</v>
      </c>
    </row>
    <row r="151" spans="1:7">
      <c r="A151" s="6">
        <v>44767</v>
      </c>
      <c r="B151" s="7">
        <v>8.571</v>
      </c>
      <c r="C151" s="7">
        <v>8.273</v>
      </c>
      <c r="D151" s="7">
        <v>8.704</v>
      </c>
      <c r="E151" s="7">
        <v>8.202</v>
      </c>
      <c r="F151" s="7" t="s">
        <v>1786</v>
      </c>
      <c r="G151" s="8">
        <v>0.0459</v>
      </c>
    </row>
    <row r="152" spans="1:7">
      <c r="A152" s="6">
        <v>44768</v>
      </c>
      <c r="B152" s="7">
        <v>8.825</v>
      </c>
      <c r="C152" s="7">
        <v>8.667</v>
      </c>
      <c r="D152" s="7">
        <v>9.419</v>
      </c>
      <c r="E152" s="7">
        <v>8.568</v>
      </c>
      <c r="F152" s="7" t="s">
        <v>1787</v>
      </c>
      <c r="G152" s="8">
        <v>0.0296</v>
      </c>
    </row>
    <row r="153" spans="1:7">
      <c r="A153" s="6">
        <v>44769</v>
      </c>
      <c r="B153" s="7">
        <v>8.554</v>
      </c>
      <c r="C153" s="7">
        <v>8.701</v>
      </c>
      <c r="D153" s="7">
        <v>8.99</v>
      </c>
      <c r="E153" s="7">
        <v>8.345</v>
      </c>
      <c r="F153" s="7" t="s">
        <v>1788</v>
      </c>
      <c r="G153" s="8">
        <v>-0.0307</v>
      </c>
    </row>
    <row r="154" spans="1:7">
      <c r="A154" s="6">
        <v>44770</v>
      </c>
      <c r="B154" s="7">
        <v>8.118</v>
      </c>
      <c r="C154" s="7">
        <v>8.6</v>
      </c>
      <c r="D154" s="7">
        <v>8.8</v>
      </c>
      <c r="E154" s="7">
        <v>8.095</v>
      </c>
      <c r="F154" s="7" t="s">
        <v>1789</v>
      </c>
      <c r="G154" s="8">
        <v>-0.051</v>
      </c>
    </row>
    <row r="155" spans="1:7">
      <c r="A155" s="6">
        <v>44771</v>
      </c>
      <c r="B155" s="7">
        <v>8.208</v>
      </c>
      <c r="C155" s="7">
        <v>8.16</v>
      </c>
      <c r="D155" s="7">
        <v>8.356</v>
      </c>
      <c r="E155" s="7">
        <v>7.995</v>
      </c>
      <c r="F155" s="7" t="s">
        <v>1790</v>
      </c>
      <c r="G155" s="8">
        <v>0.0111</v>
      </c>
    </row>
    <row r="156" spans="1:7">
      <c r="A156" s="6">
        <v>44774</v>
      </c>
      <c r="B156" s="7">
        <v>8.26</v>
      </c>
      <c r="C156" s="7">
        <v>7.894</v>
      </c>
      <c r="D156" s="7">
        <v>8.276</v>
      </c>
      <c r="E156" s="7">
        <v>7.735</v>
      </c>
      <c r="F156" s="7" t="s">
        <v>1791</v>
      </c>
      <c r="G156" s="8">
        <v>0.0063</v>
      </c>
    </row>
    <row r="157" spans="1:7">
      <c r="A157" s="6">
        <v>44775</v>
      </c>
      <c r="B157" s="7">
        <v>7.698</v>
      </c>
      <c r="C157" s="7">
        <v>8.18</v>
      </c>
      <c r="D157" s="7">
        <v>8.196</v>
      </c>
      <c r="E157" s="7">
        <v>7.618</v>
      </c>
      <c r="F157" s="7" t="s">
        <v>1792</v>
      </c>
      <c r="G157" s="8">
        <v>-0.068</v>
      </c>
    </row>
    <row r="158" spans="1:7">
      <c r="A158" s="6">
        <v>44776</v>
      </c>
      <c r="B158" s="7">
        <v>8.262</v>
      </c>
      <c r="C158" s="7">
        <v>7.666</v>
      </c>
      <c r="D158" s="7">
        <v>8.46</v>
      </c>
      <c r="E158" s="7">
        <v>7.557</v>
      </c>
      <c r="F158" s="7" t="s">
        <v>1793</v>
      </c>
      <c r="G158" s="8">
        <v>0.0733</v>
      </c>
    </row>
    <row r="159" spans="1:7">
      <c r="A159" s="6">
        <v>44777</v>
      </c>
      <c r="B159" s="7">
        <v>8.114</v>
      </c>
      <c r="C159" s="7">
        <v>8.279</v>
      </c>
      <c r="D159" s="7">
        <v>8.432</v>
      </c>
      <c r="E159" s="7">
        <v>7.8</v>
      </c>
      <c r="F159" s="7" t="s">
        <v>1794</v>
      </c>
      <c r="G159" s="8">
        <v>-0.0179</v>
      </c>
    </row>
    <row r="160" spans="1:7">
      <c r="A160" s="6">
        <v>44778</v>
      </c>
      <c r="B160" s="7">
        <v>8.051</v>
      </c>
      <c r="C160" s="7">
        <v>8.142</v>
      </c>
      <c r="D160" s="7">
        <v>8.229</v>
      </c>
      <c r="E160" s="7">
        <v>7.894</v>
      </c>
      <c r="F160" s="7" t="s">
        <v>1795</v>
      </c>
      <c r="G160" s="8">
        <v>-0.0078</v>
      </c>
    </row>
    <row r="161" spans="1:7">
      <c r="A161" s="6">
        <v>44781</v>
      </c>
      <c r="B161" s="7">
        <v>7.578</v>
      </c>
      <c r="C161" s="7">
        <v>7.85</v>
      </c>
      <c r="D161" s="7">
        <v>7.909</v>
      </c>
      <c r="E161" s="7">
        <v>7.536</v>
      </c>
      <c r="F161" s="7" t="s">
        <v>1796</v>
      </c>
      <c r="G161" s="8">
        <v>-0.0588</v>
      </c>
    </row>
    <row r="162" spans="1:7">
      <c r="A162" s="6">
        <v>44782</v>
      </c>
      <c r="B162" s="7">
        <v>7.825</v>
      </c>
      <c r="C162" s="7">
        <v>7.67</v>
      </c>
      <c r="D162" s="7">
        <v>7.88</v>
      </c>
      <c r="E162" s="7">
        <v>7.618</v>
      </c>
      <c r="F162" s="7" t="s">
        <v>1797</v>
      </c>
      <c r="G162" s="8">
        <v>0.0326</v>
      </c>
    </row>
    <row r="163" spans="1:7">
      <c r="A163" s="6">
        <v>44783</v>
      </c>
      <c r="B163" s="7">
        <v>8.193</v>
      </c>
      <c r="C163" s="7">
        <v>7.848</v>
      </c>
      <c r="D163" s="7">
        <v>8.254</v>
      </c>
      <c r="E163" s="7">
        <v>7.703</v>
      </c>
      <c r="F163" s="7" t="s">
        <v>1798</v>
      </c>
      <c r="G163" s="8">
        <v>0.047</v>
      </c>
    </row>
    <row r="164" spans="1:7">
      <c r="A164" s="6">
        <v>44784</v>
      </c>
      <c r="B164" s="7">
        <v>8.863</v>
      </c>
      <c r="C164" s="7">
        <v>8.21</v>
      </c>
      <c r="D164" s="7">
        <v>8.979</v>
      </c>
      <c r="E164" s="7">
        <v>8.171</v>
      </c>
      <c r="F164" s="7" t="s">
        <v>1799</v>
      </c>
      <c r="G164" s="8">
        <v>0.0818</v>
      </c>
    </row>
    <row r="165" spans="1:7">
      <c r="A165" s="6">
        <v>44785</v>
      </c>
      <c r="B165" s="7">
        <v>8.744</v>
      </c>
      <c r="C165" s="7">
        <v>8.706</v>
      </c>
      <c r="D165" s="7">
        <v>8.9</v>
      </c>
      <c r="E165" s="7">
        <v>8.51</v>
      </c>
      <c r="F165" s="7" t="s">
        <v>1800</v>
      </c>
      <c r="G165" s="8">
        <v>-0.0134</v>
      </c>
    </row>
    <row r="166" spans="1:7">
      <c r="A166" s="6">
        <v>44788</v>
      </c>
      <c r="B166" s="7">
        <v>8.712</v>
      </c>
      <c r="C166" s="7">
        <v>8.668</v>
      </c>
      <c r="D166" s="7">
        <v>8.912</v>
      </c>
      <c r="E166" s="7">
        <v>8.383</v>
      </c>
      <c r="F166" s="7" t="s">
        <v>1801</v>
      </c>
      <c r="G166" s="8">
        <v>-0.0037</v>
      </c>
    </row>
    <row r="167" spans="1:7">
      <c r="A167" s="6">
        <v>44789</v>
      </c>
      <c r="B167" s="7">
        <v>9.311</v>
      </c>
      <c r="C167" s="7">
        <v>8.798</v>
      </c>
      <c r="D167" s="7">
        <v>9.39</v>
      </c>
      <c r="E167" s="7">
        <v>8.773</v>
      </c>
      <c r="F167" s="7" t="s">
        <v>1802</v>
      </c>
      <c r="G167" s="8">
        <v>0.0688</v>
      </c>
    </row>
    <row r="168" spans="1:7">
      <c r="A168" s="6">
        <v>44790</v>
      </c>
      <c r="B168" s="7">
        <v>9.228</v>
      </c>
      <c r="C168" s="7">
        <v>9.346</v>
      </c>
      <c r="D168" s="7">
        <v>9.65</v>
      </c>
      <c r="E168" s="7">
        <v>9.1</v>
      </c>
      <c r="F168" s="7" t="s">
        <v>1803</v>
      </c>
      <c r="G168" s="8">
        <v>-0.0089</v>
      </c>
    </row>
    <row r="169" spans="1:7">
      <c r="A169" s="6">
        <v>44791</v>
      </c>
      <c r="B169" s="7">
        <v>9.17</v>
      </c>
      <c r="C169" s="7">
        <v>9.159</v>
      </c>
      <c r="D169" s="7">
        <v>9.64</v>
      </c>
      <c r="E169" s="7">
        <v>8.862</v>
      </c>
      <c r="F169" s="7" t="s">
        <v>1804</v>
      </c>
      <c r="G169" s="8">
        <v>-0.0063</v>
      </c>
    </row>
    <row r="170" spans="1:7">
      <c r="A170" s="6">
        <v>44792</v>
      </c>
      <c r="B170" s="7">
        <v>9.315</v>
      </c>
      <c r="C170" s="7">
        <v>9.153</v>
      </c>
      <c r="D170" s="7">
        <v>9.37</v>
      </c>
      <c r="E170" s="7">
        <v>8.86</v>
      </c>
      <c r="F170" s="7" t="s">
        <v>1805</v>
      </c>
      <c r="G170" s="8">
        <v>0.0158</v>
      </c>
    </row>
    <row r="171" spans="1:7">
      <c r="A171" s="6">
        <v>44795</v>
      </c>
      <c r="B171" s="7">
        <v>9.647</v>
      </c>
      <c r="C171" s="7">
        <v>9.159</v>
      </c>
      <c r="D171" s="7">
        <v>9.95</v>
      </c>
      <c r="E171" s="7">
        <v>9.143</v>
      </c>
      <c r="F171" s="7" t="s">
        <v>1806</v>
      </c>
      <c r="G171" s="8">
        <v>0.0356</v>
      </c>
    </row>
    <row r="172" spans="1:7">
      <c r="A172" s="6">
        <v>44796</v>
      </c>
      <c r="B172" s="7">
        <v>9.155</v>
      </c>
      <c r="C172" s="7">
        <v>9.78</v>
      </c>
      <c r="D172" s="7">
        <v>9.987</v>
      </c>
      <c r="E172" s="7">
        <v>9.021</v>
      </c>
      <c r="F172" s="7" t="s">
        <v>1693</v>
      </c>
      <c r="G172" s="8">
        <v>-0.051</v>
      </c>
    </row>
    <row r="173" spans="1:7">
      <c r="A173" s="6">
        <v>44797</v>
      </c>
      <c r="B173" s="7">
        <v>9.3</v>
      </c>
      <c r="C173" s="7">
        <v>9.196</v>
      </c>
      <c r="D173" s="7">
        <v>9.408</v>
      </c>
      <c r="E173" s="7">
        <v>9.063</v>
      </c>
      <c r="F173" s="7" t="s">
        <v>1807</v>
      </c>
      <c r="G173" s="8">
        <v>0.0158</v>
      </c>
    </row>
    <row r="174" spans="1:7">
      <c r="A174" s="6">
        <v>44798</v>
      </c>
      <c r="B174" s="7">
        <v>9.344</v>
      </c>
      <c r="C174" s="7">
        <v>9.197</v>
      </c>
      <c r="D174" s="7">
        <v>9.392</v>
      </c>
      <c r="E174" s="7">
        <v>9.147</v>
      </c>
      <c r="F174" s="7" t="s">
        <v>1808</v>
      </c>
      <c r="G174" s="8">
        <v>0.0047</v>
      </c>
    </row>
    <row r="175" spans="1:7">
      <c r="A175" s="6">
        <v>44799</v>
      </c>
      <c r="B175" s="7">
        <v>9.269</v>
      </c>
      <c r="C175" s="7">
        <v>9.336</v>
      </c>
      <c r="D175" s="7">
        <v>9.64</v>
      </c>
      <c r="E175" s="7">
        <v>9.16</v>
      </c>
      <c r="F175" s="7" t="s">
        <v>1809</v>
      </c>
      <c r="G175" s="8">
        <v>-0.008</v>
      </c>
    </row>
    <row r="176" spans="1:7">
      <c r="A176" s="6">
        <v>44802</v>
      </c>
      <c r="B176" s="7">
        <v>9.336</v>
      </c>
      <c r="C176" s="7">
        <v>9.605</v>
      </c>
      <c r="D176" s="7">
        <v>9.711</v>
      </c>
      <c r="E176" s="7">
        <v>8.98</v>
      </c>
      <c r="F176" s="7" t="s">
        <v>544</v>
      </c>
      <c r="G176" s="8">
        <v>0.0072</v>
      </c>
    </row>
    <row r="177" spans="1:7">
      <c r="A177" s="6">
        <v>44803</v>
      </c>
      <c r="B177" s="7">
        <v>9.103</v>
      </c>
      <c r="C177" s="7">
        <v>9.318</v>
      </c>
      <c r="D177" s="7">
        <v>9.365</v>
      </c>
      <c r="E177" s="7">
        <v>8.933</v>
      </c>
      <c r="F177" s="7" t="s">
        <v>1810</v>
      </c>
      <c r="G177" s="8">
        <v>-0.025</v>
      </c>
    </row>
    <row r="178" spans="1:7">
      <c r="A178" s="6">
        <v>44804</v>
      </c>
      <c r="B178" s="7">
        <v>9.189</v>
      </c>
      <c r="C178" s="7">
        <v>9.141</v>
      </c>
      <c r="D178" s="7">
        <v>9.341</v>
      </c>
      <c r="E178" s="7">
        <v>8.879</v>
      </c>
      <c r="F178" s="7" t="s">
        <v>1811</v>
      </c>
      <c r="G178" s="8">
        <v>0.0094</v>
      </c>
    </row>
    <row r="179" spans="1:7">
      <c r="A179" s="6">
        <v>44805</v>
      </c>
      <c r="B179" s="7">
        <v>9.33</v>
      </c>
      <c r="C179" s="7">
        <v>9.194</v>
      </c>
      <c r="D179" s="7">
        <v>9.454</v>
      </c>
      <c r="E179" s="7">
        <v>9.074</v>
      </c>
      <c r="F179" s="7" t="s">
        <v>1812</v>
      </c>
      <c r="G179" s="8">
        <v>0.0153</v>
      </c>
    </row>
    <row r="180" spans="1:7">
      <c r="A180" s="6">
        <v>44806</v>
      </c>
      <c r="B180" s="7">
        <v>8.85</v>
      </c>
      <c r="C180" s="7">
        <v>9.259</v>
      </c>
      <c r="D180" s="7">
        <v>9.31</v>
      </c>
      <c r="E180" s="7">
        <v>8.692</v>
      </c>
      <c r="F180" s="7" t="s">
        <v>1813</v>
      </c>
      <c r="G180" s="8">
        <v>-0.0514</v>
      </c>
    </row>
    <row r="181" spans="1:7">
      <c r="A181" s="6">
        <v>44808</v>
      </c>
      <c r="B181" s="7">
        <v>8.979</v>
      </c>
      <c r="C181" s="7">
        <v>9.086</v>
      </c>
      <c r="D181" s="7">
        <v>9.096</v>
      </c>
      <c r="E181" s="7">
        <v>8.946</v>
      </c>
      <c r="G181" s="8">
        <v>0.0146</v>
      </c>
    </row>
    <row r="182" spans="1:7">
      <c r="A182" s="6">
        <v>44809</v>
      </c>
      <c r="B182" s="7">
        <v>8.714</v>
      </c>
      <c r="C182" s="7">
        <v>8.98</v>
      </c>
      <c r="D182" s="7">
        <v>8.995</v>
      </c>
      <c r="E182" s="7">
        <v>8.71</v>
      </c>
      <c r="G182" s="8">
        <v>-0.0295</v>
      </c>
    </row>
    <row r="183" spans="1:7">
      <c r="A183" s="6">
        <v>44810</v>
      </c>
      <c r="B183" s="7">
        <v>8.212</v>
      </c>
      <c r="C183" s="7">
        <v>9.058</v>
      </c>
      <c r="D183" s="7">
        <v>9.176</v>
      </c>
      <c r="E183" s="7">
        <v>7.9</v>
      </c>
      <c r="F183" s="7" t="s">
        <v>1814</v>
      </c>
      <c r="G183" s="8">
        <v>-0.0576</v>
      </c>
    </row>
    <row r="184" spans="1:7">
      <c r="A184" s="6">
        <v>44811</v>
      </c>
      <c r="B184" s="7">
        <v>7.901</v>
      </c>
      <c r="C184" s="7">
        <v>8.118</v>
      </c>
      <c r="D184" s="7">
        <v>8.355</v>
      </c>
      <c r="E184" s="7">
        <v>7.828</v>
      </c>
      <c r="F184" s="7" t="s">
        <v>1815</v>
      </c>
      <c r="G184" s="8">
        <v>-0.0379</v>
      </c>
    </row>
    <row r="185" spans="1:7">
      <c r="A185" s="6">
        <v>44812</v>
      </c>
      <c r="B185" s="7">
        <v>7.971</v>
      </c>
      <c r="C185" s="7">
        <v>7.9</v>
      </c>
      <c r="D185" s="7">
        <v>8.12</v>
      </c>
      <c r="E185" s="7">
        <v>7.834</v>
      </c>
      <c r="F185" s="7" t="s">
        <v>1816</v>
      </c>
      <c r="G185" s="8">
        <v>0.0089</v>
      </c>
    </row>
    <row r="186" spans="1:7">
      <c r="A186" s="6">
        <v>44813</v>
      </c>
      <c r="B186" s="7">
        <v>8.044</v>
      </c>
      <c r="C186" s="7">
        <v>8.018</v>
      </c>
      <c r="D186" s="7">
        <v>8.255</v>
      </c>
      <c r="E186" s="7">
        <v>7.946</v>
      </c>
      <c r="F186" s="7" t="s">
        <v>1817</v>
      </c>
      <c r="G186" s="8">
        <v>0.0092</v>
      </c>
    </row>
    <row r="187" spans="1:7">
      <c r="A187" s="6">
        <v>44816</v>
      </c>
      <c r="B187" s="7">
        <v>8.287</v>
      </c>
      <c r="C187" s="7">
        <v>8.121</v>
      </c>
      <c r="D187" s="7">
        <v>8.447</v>
      </c>
      <c r="E187" s="7">
        <v>7.911</v>
      </c>
      <c r="F187" s="7" t="s">
        <v>1818</v>
      </c>
      <c r="G187" s="8">
        <v>0.0302</v>
      </c>
    </row>
    <row r="188" spans="1:7">
      <c r="A188" s="6">
        <v>44817</v>
      </c>
      <c r="B188" s="7">
        <v>8.334</v>
      </c>
      <c r="C188" s="7">
        <v>8.434</v>
      </c>
      <c r="D188" s="7">
        <v>8.501</v>
      </c>
      <c r="E188" s="7">
        <v>8.211</v>
      </c>
      <c r="F188" s="7" t="s">
        <v>1819</v>
      </c>
      <c r="G188" s="8">
        <v>0.0057</v>
      </c>
    </row>
    <row r="189" spans="1:7">
      <c r="A189" s="6">
        <v>44818</v>
      </c>
      <c r="B189" s="7">
        <v>9.167</v>
      </c>
      <c r="C189" s="7">
        <v>8.414</v>
      </c>
      <c r="D189" s="7">
        <v>9.292</v>
      </c>
      <c r="E189" s="7">
        <v>8.376</v>
      </c>
      <c r="F189" s="7" t="s">
        <v>1820</v>
      </c>
      <c r="G189" s="8">
        <v>0.1</v>
      </c>
    </row>
    <row r="190" spans="1:7">
      <c r="A190" s="6">
        <v>44819</v>
      </c>
      <c r="B190" s="7">
        <v>8.372</v>
      </c>
      <c r="C190" s="7">
        <v>9.134</v>
      </c>
      <c r="D190" s="7">
        <v>9.159</v>
      </c>
      <c r="E190" s="7">
        <v>8.26</v>
      </c>
      <c r="F190" s="7" t="s">
        <v>1821</v>
      </c>
      <c r="G190" s="8">
        <v>-0.0867</v>
      </c>
    </row>
    <row r="191" spans="1:7">
      <c r="A191" s="6">
        <v>44820</v>
      </c>
      <c r="B191" s="7">
        <v>7.811</v>
      </c>
      <c r="C191" s="7">
        <v>8.349</v>
      </c>
      <c r="D191" s="7">
        <v>8.367</v>
      </c>
      <c r="E191" s="7">
        <v>7.766</v>
      </c>
      <c r="F191" s="7" t="s">
        <v>1822</v>
      </c>
      <c r="G191" s="8">
        <v>-0.067</v>
      </c>
    </row>
    <row r="192" spans="1:7">
      <c r="A192" s="6">
        <v>44823</v>
      </c>
      <c r="B192" s="7">
        <v>7.804</v>
      </c>
      <c r="C192" s="7">
        <v>7.751</v>
      </c>
      <c r="D192" s="7">
        <v>7.961</v>
      </c>
      <c r="E192" s="7">
        <v>7.455</v>
      </c>
      <c r="F192" s="7" t="s">
        <v>1823</v>
      </c>
      <c r="G192" s="8">
        <v>-0.0009</v>
      </c>
    </row>
    <row r="193" spans="1:7">
      <c r="A193" s="6">
        <v>44824</v>
      </c>
      <c r="B193" s="7">
        <v>7.772</v>
      </c>
      <c r="C193" s="7">
        <v>7.929</v>
      </c>
      <c r="D193" s="7">
        <v>8.037</v>
      </c>
      <c r="E193" s="7">
        <v>7.703</v>
      </c>
      <c r="F193" s="7" t="s">
        <v>1824</v>
      </c>
      <c r="G193" s="8">
        <v>-0.0041</v>
      </c>
    </row>
    <row r="194" spans="1:7">
      <c r="A194" s="6">
        <v>44825</v>
      </c>
      <c r="B194" s="7">
        <v>7.827</v>
      </c>
      <c r="C194" s="7">
        <v>7.792</v>
      </c>
      <c r="D194" s="7">
        <v>8.179</v>
      </c>
      <c r="E194" s="7">
        <v>7.609</v>
      </c>
      <c r="F194" s="7" t="s">
        <v>1825</v>
      </c>
      <c r="G194" s="8">
        <v>0.0071</v>
      </c>
    </row>
    <row r="195" spans="1:7">
      <c r="A195" s="6">
        <v>44826</v>
      </c>
      <c r="B195" s="7">
        <v>7.193</v>
      </c>
      <c r="C195" s="7">
        <v>7.8</v>
      </c>
      <c r="D195" s="7">
        <v>7.825</v>
      </c>
      <c r="E195" s="7">
        <v>7.168</v>
      </c>
      <c r="F195" s="7" t="s">
        <v>1826</v>
      </c>
      <c r="G195" s="8">
        <v>-0.081</v>
      </c>
    </row>
    <row r="196" spans="1:7">
      <c r="A196" s="6">
        <v>44827</v>
      </c>
      <c r="B196" s="7">
        <v>6.992</v>
      </c>
      <c r="C196" s="7">
        <v>7.274</v>
      </c>
      <c r="D196" s="7">
        <v>7.374</v>
      </c>
      <c r="E196" s="7">
        <v>6.867</v>
      </c>
      <c r="F196" s="7" t="s">
        <v>1827</v>
      </c>
      <c r="G196" s="8">
        <v>-0.0279</v>
      </c>
    </row>
    <row r="197" spans="1:7">
      <c r="A197" s="6">
        <v>44830</v>
      </c>
      <c r="B197" s="7">
        <v>7.014</v>
      </c>
      <c r="C197" s="7">
        <v>7.017</v>
      </c>
      <c r="D197" s="7">
        <v>7.126</v>
      </c>
      <c r="E197" s="7">
        <v>6.692</v>
      </c>
      <c r="F197" s="7" t="s">
        <v>1828</v>
      </c>
      <c r="G197" s="8">
        <v>0.0031</v>
      </c>
    </row>
    <row r="198" spans="1:7">
      <c r="A198" s="6">
        <v>44831</v>
      </c>
      <c r="B198" s="7">
        <v>6.76</v>
      </c>
      <c r="C198" s="7">
        <v>7.055</v>
      </c>
      <c r="D198" s="7">
        <v>7.24</v>
      </c>
      <c r="E198" s="7">
        <v>6.74</v>
      </c>
      <c r="F198" s="7" t="s">
        <v>1829</v>
      </c>
      <c r="G198" s="8">
        <v>-0.0362</v>
      </c>
    </row>
    <row r="199" spans="1:7">
      <c r="A199" s="6">
        <v>44832</v>
      </c>
      <c r="B199" s="7">
        <v>6.955</v>
      </c>
      <c r="C199" s="7">
        <v>6.775</v>
      </c>
      <c r="D199" s="7">
        <v>7.041</v>
      </c>
      <c r="E199" s="7">
        <v>6.562</v>
      </c>
      <c r="F199" s="7" t="s">
        <v>1830</v>
      </c>
      <c r="G199" s="8">
        <v>0.0288</v>
      </c>
    </row>
    <row r="200" spans="1:7">
      <c r="A200" s="6">
        <v>44833</v>
      </c>
      <c r="B200" s="7">
        <v>7.142</v>
      </c>
      <c r="C200" s="7">
        <v>7.271</v>
      </c>
      <c r="D200" s="7">
        <v>7.37</v>
      </c>
      <c r="E200" s="7">
        <v>6.865</v>
      </c>
      <c r="F200" s="7" t="s">
        <v>1831</v>
      </c>
      <c r="G200" s="8">
        <v>0.0269</v>
      </c>
    </row>
    <row r="201" spans="1:7">
      <c r="A201" s="6">
        <v>44834</v>
      </c>
      <c r="B201" s="7">
        <v>7.065</v>
      </c>
      <c r="C201" s="7">
        <v>7.144</v>
      </c>
      <c r="D201" s="7">
        <v>7.322</v>
      </c>
      <c r="E201" s="7">
        <v>6.99</v>
      </c>
      <c r="F201" s="7" t="s">
        <v>1832</v>
      </c>
      <c r="G201" s="8">
        <v>-0.0108</v>
      </c>
    </row>
    <row r="202" spans="1:7">
      <c r="A202" s="6">
        <v>44837</v>
      </c>
      <c r="B202" s="7">
        <v>6.803</v>
      </c>
      <c r="C202" s="7">
        <v>7.111</v>
      </c>
      <c r="D202" s="7">
        <v>7.111</v>
      </c>
      <c r="E202" s="7">
        <v>6.626</v>
      </c>
      <c r="F202" s="7" t="s">
        <v>1833</v>
      </c>
      <c r="G202" s="8">
        <v>-0.0371</v>
      </c>
    </row>
    <row r="203" spans="1:7">
      <c r="A203" s="6">
        <v>44838</v>
      </c>
      <c r="B203" s="7">
        <v>7.174</v>
      </c>
      <c r="C203" s="7">
        <v>6.86</v>
      </c>
      <c r="D203" s="7">
        <v>7.239</v>
      </c>
      <c r="E203" s="7">
        <v>6.66</v>
      </c>
      <c r="F203" s="7" t="s">
        <v>1834</v>
      </c>
      <c r="G203" s="8">
        <v>0.0545</v>
      </c>
    </row>
    <row r="204" spans="1:7">
      <c r="A204" s="6">
        <v>44839</v>
      </c>
      <c r="B204" s="7">
        <v>7.236</v>
      </c>
      <c r="C204" s="7">
        <v>7.152</v>
      </c>
      <c r="D204" s="7">
        <v>7.352</v>
      </c>
      <c r="E204" s="7">
        <v>6.984</v>
      </c>
      <c r="F204" s="7" t="s">
        <v>1835</v>
      </c>
      <c r="G204" s="8">
        <v>0.0086</v>
      </c>
    </row>
    <row r="205" spans="1:7">
      <c r="A205" s="6">
        <v>44840</v>
      </c>
      <c r="B205" s="7">
        <v>7.242</v>
      </c>
      <c r="C205" s="7">
        <v>7.225</v>
      </c>
      <c r="D205" s="7">
        <v>7.436</v>
      </c>
      <c r="E205" s="7">
        <v>7.145</v>
      </c>
      <c r="F205" s="7" t="s">
        <v>1836</v>
      </c>
      <c r="G205" s="8">
        <v>0.0008</v>
      </c>
    </row>
    <row r="206" spans="1:7">
      <c r="A206" s="6">
        <v>44841</v>
      </c>
      <c r="B206" s="7">
        <v>7.047</v>
      </c>
      <c r="C206" s="7">
        <v>7.14</v>
      </c>
      <c r="D206" s="7">
        <v>7.226</v>
      </c>
      <c r="E206" s="7">
        <v>6.911</v>
      </c>
      <c r="F206" s="7" t="s">
        <v>1837</v>
      </c>
      <c r="G206" s="8">
        <v>-0.0269</v>
      </c>
    </row>
    <row r="207" spans="1:7">
      <c r="A207" s="6">
        <v>44844</v>
      </c>
      <c r="B207" s="7">
        <v>6.784</v>
      </c>
      <c r="C207" s="7">
        <v>6.936</v>
      </c>
      <c r="D207" s="7">
        <v>7.205</v>
      </c>
      <c r="E207" s="7">
        <v>6.759</v>
      </c>
      <c r="F207" s="7" t="s">
        <v>1838</v>
      </c>
      <c r="G207" s="8">
        <v>-0.0373</v>
      </c>
    </row>
    <row r="208" spans="1:7">
      <c r="A208" s="6">
        <v>44845</v>
      </c>
      <c r="B208" s="7">
        <v>6.928</v>
      </c>
      <c r="C208" s="7">
        <v>6.891</v>
      </c>
      <c r="D208" s="7">
        <v>6.991</v>
      </c>
      <c r="E208" s="7">
        <v>6.723</v>
      </c>
      <c r="F208" s="7" t="s">
        <v>1839</v>
      </c>
      <c r="G208" s="8">
        <v>0.0212</v>
      </c>
    </row>
    <row r="209" spans="1:7">
      <c r="A209" s="6">
        <v>44846</v>
      </c>
      <c r="B209" s="7">
        <v>6.766</v>
      </c>
      <c r="C209" s="7">
        <v>6.945</v>
      </c>
      <c r="D209" s="7">
        <v>7.127</v>
      </c>
      <c r="E209" s="7">
        <v>6.728</v>
      </c>
      <c r="F209" s="7" t="s">
        <v>1840</v>
      </c>
      <c r="G209" s="8">
        <v>-0.0234</v>
      </c>
    </row>
    <row r="210" spans="1:7">
      <c r="A210" s="6">
        <v>44847</v>
      </c>
      <c r="B210" s="7">
        <v>7.053</v>
      </c>
      <c r="C210" s="7">
        <v>6.795</v>
      </c>
      <c r="D210" s="7">
        <v>7.084</v>
      </c>
      <c r="E210" s="7">
        <v>6.672</v>
      </c>
      <c r="F210" s="7" t="s">
        <v>1841</v>
      </c>
      <c r="G210" s="8">
        <v>0.0424</v>
      </c>
    </row>
    <row r="211" spans="1:7">
      <c r="A211" s="6">
        <v>44848</v>
      </c>
      <c r="B211" s="7">
        <v>6.827</v>
      </c>
      <c r="C211" s="7">
        <v>6.989</v>
      </c>
      <c r="D211" s="7">
        <v>7.051</v>
      </c>
      <c r="E211" s="7">
        <v>6.772</v>
      </c>
      <c r="F211" s="7" t="s">
        <v>1842</v>
      </c>
      <c r="G211" s="8">
        <v>-0.032</v>
      </c>
    </row>
    <row r="212" spans="1:7">
      <c r="A212" s="6">
        <v>44851</v>
      </c>
      <c r="B212" s="7">
        <v>6.479</v>
      </c>
      <c r="C212" s="7">
        <v>6.68</v>
      </c>
      <c r="D212" s="7">
        <v>6.737</v>
      </c>
      <c r="E212" s="7">
        <v>6.382</v>
      </c>
      <c r="F212" s="7" t="s">
        <v>1843</v>
      </c>
      <c r="G212" s="8">
        <v>-0.051</v>
      </c>
    </row>
    <row r="213" spans="1:7">
      <c r="A213" s="6">
        <v>44852</v>
      </c>
      <c r="B213" s="7">
        <v>6.237</v>
      </c>
      <c r="C213" s="7">
        <v>6.474</v>
      </c>
      <c r="D213" s="7">
        <v>6.531</v>
      </c>
      <c r="E213" s="7">
        <v>6.15</v>
      </c>
      <c r="F213" s="7" t="s">
        <v>1844</v>
      </c>
      <c r="G213" s="8">
        <v>-0.0374</v>
      </c>
    </row>
    <row r="214" spans="1:7">
      <c r="A214" s="6">
        <v>44853</v>
      </c>
      <c r="B214" s="7">
        <v>5.928</v>
      </c>
      <c r="C214" s="7">
        <v>6.175</v>
      </c>
      <c r="D214" s="7">
        <v>6.271</v>
      </c>
      <c r="E214" s="7">
        <v>5.893</v>
      </c>
      <c r="F214" s="7" t="s">
        <v>1845</v>
      </c>
      <c r="G214" s="8">
        <v>-0.0495</v>
      </c>
    </row>
    <row r="215" spans="1:7">
      <c r="A215" s="6">
        <v>44854</v>
      </c>
      <c r="B215" s="7">
        <v>5.838</v>
      </c>
      <c r="C215" s="7">
        <v>5.908</v>
      </c>
      <c r="D215" s="7">
        <v>6.044</v>
      </c>
      <c r="E215" s="7">
        <v>5.738</v>
      </c>
      <c r="F215" s="7" t="s">
        <v>1846</v>
      </c>
      <c r="G215" s="8">
        <v>-0.0152</v>
      </c>
    </row>
    <row r="216" spans="1:7">
      <c r="A216" s="6">
        <v>44855</v>
      </c>
      <c r="B216" s="7">
        <v>5.472</v>
      </c>
      <c r="C216" s="7">
        <v>5.784</v>
      </c>
      <c r="D216" s="7">
        <v>5.851</v>
      </c>
      <c r="E216" s="7">
        <v>5.393</v>
      </c>
      <c r="F216" s="7" t="s">
        <v>1847</v>
      </c>
      <c r="G216" s="8">
        <v>-0.0627</v>
      </c>
    </row>
    <row r="217" spans="1:7">
      <c r="A217" s="6">
        <v>44858</v>
      </c>
      <c r="B217" s="7">
        <v>5.753</v>
      </c>
      <c r="C217" s="7">
        <v>5.464</v>
      </c>
      <c r="D217" s="7">
        <v>5.844</v>
      </c>
      <c r="E217" s="7">
        <v>5.345</v>
      </c>
      <c r="F217" s="7" t="s">
        <v>1848</v>
      </c>
      <c r="G217" s="8">
        <v>0.0514</v>
      </c>
    </row>
    <row r="218" spans="1:7">
      <c r="A218" s="6">
        <v>44859</v>
      </c>
      <c r="B218" s="7">
        <v>6.166</v>
      </c>
      <c r="C218" s="7">
        <v>5.739</v>
      </c>
      <c r="D218" s="7">
        <v>6.281</v>
      </c>
      <c r="E218" s="7">
        <v>5.727</v>
      </c>
      <c r="F218" s="7" t="s">
        <v>1849</v>
      </c>
      <c r="G218" s="8">
        <v>0.0718</v>
      </c>
    </row>
    <row r="219" spans="1:7">
      <c r="A219" s="6">
        <v>44860</v>
      </c>
      <c r="B219" s="7">
        <v>6.119</v>
      </c>
      <c r="C219" s="7">
        <v>6.259</v>
      </c>
      <c r="D219" s="7">
        <v>6.265</v>
      </c>
      <c r="E219" s="7">
        <v>5.828</v>
      </c>
      <c r="F219" s="7" t="s">
        <v>1850</v>
      </c>
      <c r="G219" s="8">
        <v>-0.0076</v>
      </c>
    </row>
    <row r="220" spans="1:7">
      <c r="A220" s="6">
        <v>44861</v>
      </c>
      <c r="B220" s="7">
        <v>5.875</v>
      </c>
      <c r="C220" s="7">
        <v>6.19</v>
      </c>
      <c r="D220" s="7">
        <v>6.198</v>
      </c>
      <c r="E220" s="7">
        <v>5.71</v>
      </c>
      <c r="F220" s="7" t="s">
        <v>1851</v>
      </c>
      <c r="G220" s="8">
        <v>-0.0399</v>
      </c>
    </row>
    <row r="221" spans="1:7">
      <c r="A221" s="6">
        <v>44862</v>
      </c>
      <c r="B221" s="7">
        <v>5.953</v>
      </c>
      <c r="C221" s="7">
        <v>6.114</v>
      </c>
      <c r="D221" s="7">
        <v>6.153</v>
      </c>
      <c r="E221" s="7">
        <v>5.824</v>
      </c>
      <c r="F221" s="7" t="s">
        <v>1852</v>
      </c>
      <c r="G221" s="8">
        <v>0.0133</v>
      </c>
    </row>
    <row r="222" spans="1:7">
      <c r="A222" s="6">
        <v>44865</v>
      </c>
      <c r="B222" s="7">
        <v>6.607</v>
      </c>
      <c r="C222" s="7">
        <v>6.092</v>
      </c>
      <c r="D222" s="7">
        <v>6.617</v>
      </c>
      <c r="E222" s="7">
        <v>6.086</v>
      </c>
      <c r="F222" s="7" t="s">
        <v>1853</v>
      </c>
      <c r="G222" s="8">
        <v>0.1099</v>
      </c>
    </row>
    <row r="223" spans="1:7">
      <c r="A223" s="6">
        <v>44866</v>
      </c>
      <c r="B223" s="7">
        <v>6.08</v>
      </c>
      <c r="C223" s="7">
        <v>6.561</v>
      </c>
      <c r="D223" s="7">
        <v>6.565</v>
      </c>
      <c r="E223" s="7">
        <v>6.011</v>
      </c>
      <c r="F223" s="7" t="s">
        <v>1854</v>
      </c>
      <c r="G223" s="8">
        <v>-0.0798</v>
      </c>
    </row>
    <row r="224" spans="1:7">
      <c r="A224" s="6">
        <v>44867</v>
      </c>
      <c r="B224" s="7">
        <v>6.589</v>
      </c>
      <c r="C224" s="7">
        <v>6.179</v>
      </c>
      <c r="D224" s="7">
        <v>6.62</v>
      </c>
      <c r="E224" s="7">
        <v>6.16</v>
      </c>
      <c r="F224" s="7" t="s">
        <v>1855</v>
      </c>
      <c r="G224" s="8">
        <v>0.0837</v>
      </c>
    </row>
    <row r="225" spans="1:7">
      <c r="A225" s="6">
        <v>44868</v>
      </c>
      <c r="B225" s="7">
        <v>6.33</v>
      </c>
      <c r="C225" s="7">
        <v>6.522</v>
      </c>
      <c r="D225" s="7">
        <v>6.543</v>
      </c>
      <c r="E225" s="7">
        <v>6.23</v>
      </c>
      <c r="F225" s="7" t="s">
        <v>1856</v>
      </c>
      <c r="G225" s="8">
        <v>-0.0393</v>
      </c>
    </row>
    <row r="226" spans="1:7">
      <c r="A226" s="6">
        <v>44869</v>
      </c>
      <c r="B226" s="7">
        <v>6.754</v>
      </c>
      <c r="C226" s="7">
        <v>6.298</v>
      </c>
      <c r="D226" s="7">
        <v>6.873</v>
      </c>
      <c r="E226" s="7">
        <v>6.267</v>
      </c>
      <c r="F226" s="7" t="s">
        <v>1857</v>
      </c>
      <c r="G226" s="8">
        <v>0.067</v>
      </c>
    </row>
    <row r="227" spans="1:7">
      <c r="A227" s="6">
        <v>44872</v>
      </c>
      <c r="B227" s="7">
        <v>7.244</v>
      </c>
      <c r="C227" s="7">
        <v>7.268</v>
      </c>
      <c r="D227" s="7">
        <v>7.501</v>
      </c>
      <c r="E227" s="7">
        <v>6.921</v>
      </c>
      <c r="F227" s="7" t="s">
        <v>1858</v>
      </c>
      <c r="G227" s="8">
        <v>0.0725</v>
      </c>
    </row>
    <row r="228" spans="1:7">
      <c r="A228" s="6">
        <v>44873</v>
      </c>
      <c r="B228" s="7">
        <v>6.524</v>
      </c>
      <c r="C228" s="7">
        <v>7.024</v>
      </c>
      <c r="D228" s="7">
        <v>7.162</v>
      </c>
      <c r="E228" s="7">
        <v>6.454</v>
      </c>
      <c r="F228" s="7" t="s">
        <v>1859</v>
      </c>
      <c r="G228" s="8">
        <v>-0.0994</v>
      </c>
    </row>
    <row r="229" spans="1:7">
      <c r="A229" s="6">
        <v>44874</v>
      </c>
      <c r="B229" s="7">
        <v>6.225</v>
      </c>
      <c r="C229" s="7">
        <v>6.596</v>
      </c>
      <c r="D229" s="7">
        <v>6.745</v>
      </c>
      <c r="E229" s="7">
        <v>6.131</v>
      </c>
      <c r="F229" s="7" t="s">
        <v>1860</v>
      </c>
      <c r="G229" s="8">
        <v>-0.0458</v>
      </c>
    </row>
    <row r="230" spans="1:7">
      <c r="A230" s="6">
        <v>44875</v>
      </c>
      <c r="B230" s="7">
        <v>6.613</v>
      </c>
      <c r="C230" s="7">
        <v>6.299</v>
      </c>
      <c r="D230" s="7">
        <v>6.637</v>
      </c>
      <c r="E230" s="7">
        <v>6.143</v>
      </c>
      <c r="F230" s="7" t="s">
        <v>1861</v>
      </c>
      <c r="G230" s="8">
        <v>0.0623</v>
      </c>
    </row>
    <row r="231" spans="1:7">
      <c r="A231" s="6">
        <v>44876</v>
      </c>
      <c r="B231" s="7">
        <v>6.263</v>
      </c>
      <c r="C231" s="7">
        <v>6.54</v>
      </c>
      <c r="D231" s="7">
        <v>6.864</v>
      </c>
      <c r="E231" s="7">
        <v>6.172</v>
      </c>
      <c r="F231" s="7" t="s">
        <v>1862</v>
      </c>
      <c r="G231" s="8">
        <v>-0.0529</v>
      </c>
    </row>
    <row r="232" spans="1:7">
      <c r="A232" s="6">
        <v>44879</v>
      </c>
      <c r="B232" s="7">
        <v>6.299</v>
      </c>
      <c r="C232" s="7">
        <v>6.491</v>
      </c>
      <c r="D232" s="7">
        <v>6.742</v>
      </c>
      <c r="E232" s="7">
        <v>6.26</v>
      </c>
      <c r="F232" s="7" t="s">
        <v>1863</v>
      </c>
      <c r="G232" s="8">
        <v>0.0057</v>
      </c>
    </row>
    <row r="233" spans="1:7">
      <c r="A233" s="6">
        <v>44880</v>
      </c>
      <c r="B233" s="7">
        <v>6.395</v>
      </c>
      <c r="C233" s="7">
        <v>6.434</v>
      </c>
      <c r="D233" s="7">
        <v>6.531</v>
      </c>
      <c r="E233" s="7">
        <v>6.19</v>
      </c>
      <c r="F233" s="7" t="s">
        <v>1864</v>
      </c>
      <c r="G233" s="8">
        <v>0.0152</v>
      </c>
    </row>
    <row r="234" spans="1:7">
      <c r="A234" s="6">
        <v>44881</v>
      </c>
      <c r="B234" s="7">
        <v>6.607</v>
      </c>
      <c r="C234" s="7">
        <v>6.503</v>
      </c>
      <c r="D234" s="7">
        <v>6.637</v>
      </c>
      <c r="E234" s="7">
        <v>6.132</v>
      </c>
      <c r="F234" s="7" t="s">
        <v>1865</v>
      </c>
      <c r="G234" s="8">
        <v>0.0332</v>
      </c>
    </row>
    <row r="235" spans="1:7">
      <c r="A235" s="6">
        <v>44882</v>
      </c>
      <c r="B235" s="7">
        <v>6.744</v>
      </c>
      <c r="C235" s="7">
        <v>6.612</v>
      </c>
      <c r="D235" s="7">
        <v>6.912</v>
      </c>
      <c r="E235" s="7">
        <v>6.554</v>
      </c>
      <c r="F235" s="7" t="s">
        <v>1866</v>
      </c>
      <c r="G235" s="8">
        <v>0.0207</v>
      </c>
    </row>
    <row r="236" spans="1:7">
      <c r="A236" s="6">
        <v>44883</v>
      </c>
      <c r="B236" s="7">
        <v>6.716</v>
      </c>
      <c r="C236" s="7">
        <v>6.758</v>
      </c>
      <c r="D236" s="7">
        <v>6.831</v>
      </c>
      <c r="E236" s="7">
        <v>6.425</v>
      </c>
      <c r="F236" s="7" t="s">
        <v>1867</v>
      </c>
      <c r="G236" s="8">
        <v>-0.0042</v>
      </c>
    </row>
    <row r="237" spans="1:7">
      <c r="A237" s="6">
        <v>44886</v>
      </c>
      <c r="B237" s="7">
        <v>7.223</v>
      </c>
      <c r="C237" s="7">
        <v>6.796</v>
      </c>
      <c r="D237" s="7">
        <v>7.273</v>
      </c>
      <c r="E237" s="7">
        <v>6.571</v>
      </c>
      <c r="F237" s="7" t="s">
        <v>1868</v>
      </c>
      <c r="G237" s="8">
        <v>0.0755</v>
      </c>
    </row>
    <row r="238" spans="1:7">
      <c r="A238" s="6">
        <v>44887</v>
      </c>
      <c r="B238" s="7">
        <v>7.406</v>
      </c>
      <c r="C238" s="7">
        <v>7.183</v>
      </c>
      <c r="D238" s="7">
        <v>7.55</v>
      </c>
      <c r="E238" s="7">
        <v>6.899</v>
      </c>
      <c r="F238" s="7" t="s">
        <v>1869</v>
      </c>
      <c r="G238" s="8">
        <v>0.0253</v>
      </c>
    </row>
    <row r="239" spans="1:7">
      <c r="A239" s="6">
        <v>44888</v>
      </c>
      <c r="B239" s="7">
        <v>7.708</v>
      </c>
      <c r="C239" s="7">
        <v>7.525</v>
      </c>
      <c r="D239" s="7">
        <v>8.177</v>
      </c>
      <c r="E239" s="7">
        <v>7.505</v>
      </c>
      <c r="F239" s="7" t="s">
        <v>1870</v>
      </c>
      <c r="G239" s="8">
        <v>0.0408</v>
      </c>
    </row>
    <row r="240" spans="1:7">
      <c r="A240" s="6">
        <v>44889</v>
      </c>
      <c r="B240" s="7">
        <v>7.177</v>
      </c>
      <c r="C240" s="7">
        <v>7.307</v>
      </c>
      <c r="D240" s="7">
        <v>7.404</v>
      </c>
      <c r="E240" s="7">
        <v>7.1</v>
      </c>
      <c r="G240" s="8">
        <v>-0.0689</v>
      </c>
    </row>
    <row r="241" spans="1:7">
      <c r="A241" s="6">
        <v>44890</v>
      </c>
      <c r="B241" s="7">
        <v>7.33</v>
      </c>
      <c r="C241" s="7">
        <v>7.727</v>
      </c>
      <c r="D241" s="7">
        <v>7.804</v>
      </c>
      <c r="E241" s="7">
        <v>7.201</v>
      </c>
      <c r="F241" s="7" t="s">
        <v>1871</v>
      </c>
      <c r="G241" s="8">
        <v>0.0213</v>
      </c>
    </row>
    <row r="242" spans="1:7">
      <c r="A242" s="6">
        <v>44893</v>
      </c>
      <c r="B242" s="7">
        <v>7.196</v>
      </c>
      <c r="C242" s="7">
        <v>7.301</v>
      </c>
      <c r="D242" s="7">
        <v>7.386</v>
      </c>
      <c r="E242" s="7">
        <v>6.929</v>
      </c>
      <c r="F242" s="7" t="s">
        <v>1872</v>
      </c>
      <c r="G242" s="8">
        <v>-0.0183</v>
      </c>
    </row>
    <row r="243" spans="1:7">
      <c r="A243" s="6">
        <v>44894</v>
      </c>
      <c r="B243" s="7">
        <v>7.084</v>
      </c>
      <c r="C243" s="7">
        <v>7.12</v>
      </c>
      <c r="D243" s="7">
        <v>7.249</v>
      </c>
      <c r="E243" s="7">
        <v>6.944</v>
      </c>
      <c r="F243" s="7" t="s">
        <v>1873</v>
      </c>
      <c r="G243" s="8">
        <v>-0.0156</v>
      </c>
    </row>
    <row r="244" spans="1:7">
      <c r="A244" s="6">
        <v>44895</v>
      </c>
      <c r="B244" s="7">
        <v>6.818</v>
      </c>
      <c r="C244" s="7">
        <v>7.1</v>
      </c>
      <c r="D244" s="7">
        <v>7.159</v>
      </c>
      <c r="E244" s="7">
        <v>6.7</v>
      </c>
      <c r="F244" s="7" t="s">
        <v>1864</v>
      </c>
      <c r="G244" s="8">
        <v>-0.0375</v>
      </c>
    </row>
    <row r="245" spans="1:7">
      <c r="A245" s="6">
        <v>44896</v>
      </c>
      <c r="B245" s="7">
        <v>6.631</v>
      </c>
      <c r="C245" s="7">
        <v>6.839</v>
      </c>
      <c r="D245" s="7">
        <v>7.075</v>
      </c>
      <c r="E245" s="7">
        <v>6.6</v>
      </c>
      <c r="F245" s="7" t="s">
        <v>1874</v>
      </c>
      <c r="G245" s="8">
        <v>-0.0274</v>
      </c>
    </row>
    <row r="246" spans="1:7">
      <c r="A246" s="6">
        <v>44897</v>
      </c>
      <c r="B246" s="7">
        <v>6.169</v>
      </c>
      <c r="C246" s="7">
        <v>6.714</v>
      </c>
      <c r="D246" s="7">
        <v>6.729</v>
      </c>
      <c r="E246" s="7">
        <v>6.109</v>
      </c>
      <c r="F246" s="7" t="s">
        <v>1875</v>
      </c>
      <c r="G246" s="8">
        <v>-0.0697</v>
      </c>
    </row>
    <row r="247" spans="1:7">
      <c r="A247" s="6">
        <v>44900</v>
      </c>
      <c r="B247" s="7">
        <v>5.484</v>
      </c>
      <c r="C247" s="7">
        <v>5.85</v>
      </c>
      <c r="D247" s="7">
        <v>5.949</v>
      </c>
      <c r="E247" s="7">
        <v>5.468</v>
      </c>
      <c r="F247" s="7" t="s">
        <v>1876</v>
      </c>
      <c r="G247" s="8">
        <v>-0.111</v>
      </c>
    </row>
    <row r="248" spans="1:7">
      <c r="A248" s="6">
        <v>44901</v>
      </c>
      <c r="B248" s="7">
        <v>5.378</v>
      </c>
      <c r="C248" s="7">
        <v>5.542</v>
      </c>
      <c r="D248" s="7">
        <v>5.587</v>
      </c>
      <c r="E248" s="7">
        <v>5.256</v>
      </c>
      <c r="F248" s="7" t="s">
        <v>1877</v>
      </c>
      <c r="G248" s="8">
        <v>-0.0193</v>
      </c>
    </row>
    <row r="249" spans="1:7">
      <c r="A249" s="6">
        <v>44902</v>
      </c>
      <c r="B249" s="7">
        <v>5.617</v>
      </c>
      <c r="C249" s="7">
        <v>5.3</v>
      </c>
      <c r="D249" s="7">
        <v>5.719</v>
      </c>
      <c r="E249" s="7">
        <v>5.298</v>
      </c>
      <c r="F249" s="7" t="s">
        <v>1878</v>
      </c>
      <c r="G249" s="8">
        <v>0.0444</v>
      </c>
    </row>
    <row r="250" spans="1:7">
      <c r="A250" s="6">
        <v>44903</v>
      </c>
      <c r="B250" s="7">
        <v>5.82</v>
      </c>
      <c r="C250" s="7">
        <v>5.707</v>
      </c>
      <c r="D250" s="7">
        <v>6.007</v>
      </c>
      <c r="E250" s="7">
        <v>5.649</v>
      </c>
      <c r="F250" s="7" t="s">
        <v>1879</v>
      </c>
      <c r="G250" s="8">
        <v>0.0361</v>
      </c>
    </row>
    <row r="251" spans="1:7">
      <c r="A251" s="6">
        <v>44904</v>
      </c>
      <c r="B251" s="7">
        <v>6.082</v>
      </c>
      <c r="C251" s="7">
        <v>5.792</v>
      </c>
      <c r="D251" s="7">
        <v>6.192</v>
      </c>
      <c r="E251" s="7">
        <v>5.68</v>
      </c>
      <c r="F251" s="7" t="s">
        <v>1880</v>
      </c>
      <c r="G251" s="8">
        <v>0.045</v>
      </c>
    </row>
    <row r="252" spans="1:7">
      <c r="A252" s="6">
        <v>44907</v>
      </c>
      <c r="B252" s="7">
        <v>6.416</v>
      </c>
      <c r="C252" s="7">
        <v>6.687</v>
      </c>
      <c r="D252" s="7">
        <v>6.807</v>
      </c>
      <c r="E252" s="7">
        <v>6.32</v>
      </c>
      <c r="F252" s="7" t="s">
        <v>1718</v>
      </c>
      <c r="G252" s="8">
        <v>0.0549</v>
      </c>
    </row>
    <row r="253" spans="1:7">
      <c r="A253" s="6">
        <v>44908</v>
      </c>
      <c r="B253" s="7">
        <v>6.733</v>
      </c>
      <c r="C253" s="7">
        <v>6.341</v>
      </c>
      <c r="D253" s="7">
        <v>6.871</v>
      </c>
      <c r="E253" s="7">
        <v>6.337</v>
      </c>
      <c r="F253" s="7" t="s">
        <v>1881</v>
      </c>
      <c r="G253" s="8">
        <v>0.0494</v>
      </c>
    </row>
    <row r="254" spans="1:7">
      <c r="A254" s="6">
        <v>44909</v>
      </c>
      <c r="B254" s="7">
        <v>6.22</v>
      </c>
      <c r="C254" s="7">
        <v>6.76</v>
      </c>
      <c r="D254" s="7">
        <v>6.764</v>
      </c>
      <c r="E254" s="7">
        <v>6.138</v>
      </c>
      <c r="F254" s="7" t="s">
        <v>1882</v>
      </c>
      <c r="G254" s="8">
        <v>-0.0762</v>
      </c>
    </row>
    <row r="255" spans="1:7">
      <c r="A255" s="6">
        <v>44910</v>
      </c>
      <c r="B255" s="7">
        <v>6.589</v>
      </c>
      <c r="C255" s="7">
        <v>6.174</v>
      </c>
      <c r="D255" s="7">
        <v>6.646</v>
      </c>
      <c r="E255" s="7">
        <v>6.163</v>
      </c>
      <c r="F255" s="7" t="s">
        <v>1883</v>
      </c>
      <c r="G255" s="8">
        <v>0.0593</v>
      </c>
    </row>
    <row r="256" spans="1:7">
      <c r="A256" s="6">
        <v>44911</v>
      </c>
      <c r="B256" s="7">
        <v>6.303</v>
      </c>
      <c r="C256" s="7">
        <v>6.539</v>
      </c>
      <c r="D256" s="7">
        <v>6.546</v>
      </c>
      <c r="E256" s="7">
        <v>5.96</v>
      </c>
      <c r="F256" s="7" t="s">
        <v>1884</v>
      </c>
      <c r="G256" s="8">
        <v>-0.0434</v>
      </c>
    </row>
    <row r="257" spans="1:7">
      <c r="A257" s="6">
        <v>44914</v>
      </c>
      <c r="B257" s="7">
        <v>5.71</v>
      </c>
      <c r="C257" s="7">
        <v>5.935</v>
      </c>
      <c r="D257" s="7">
        <v>6.085</v>
      </c>
      <c r="E257" s="7">
        <v>5.634</v>
      </c>
      <c r="F257" s="7" t="s">
        <v>1885</v>
      </c>
      <c r="G257" s="8">
        <v>-0.0941</v>
      </c>
    </row>
    <row r="258" spans="1:7">
      <c r="A258" s="6">
        <v>44915</v>
      </c>
      <c r="B258" s="7">
        <v>5.216</v>
      </c>
      <c r="C258" s="7">
        <v>5.678</v>
      </c>
      <c r="D258" s="7">
        <v>5.765</v>
      </c>
      <c r="E258" s="7">
        <v>5.167</v>
      </c>
      <c r="F258" s="7" t="s">
        <v>1886</v>
      </c>
      <c r="G258" s="8">
        <v>-0.0865</v>
      </c>
    </row>
    <row r="259" spans="1:7">
      <c r="A259" s="6">
        <v>44916</v>
      </c>
      <c r="B259" s="7">
        <v>5.238</v>
      </c>
      <c r="C259" s="7">
        <v>5.232</v>
      </c>
      <c r="D259" s="7">
        <v>5.481</v>
      </c>
      <c r="E259" s="7">
        <v>5.175</v>
      </c>
      <c r="F259" s="7" t="s">
        <v>1863</v>
      </c>
      <c r="G259" s="8">
        <v>0.0042</v>
      </c>
    </row>
    <row r="260" spans="1:7">
      <c r="A260" s="6">
        <v>44917</v>
      </c>
      <c r="B260" s="7">
        <v>4.928</v>
      </c>
      <c r="C260" s="7">
        <v>5.356</v>
      </c>
      <c r="D260" s="7">
        <v>5.526</v>
      </c>
      <c r="E260" s="7">
        <v>4.905</v>
      </c>
      <c r="F260" s="7" t="s">
        <v>1887</v>
      </c>
      <c r="G260" s="8">
        <v>-0.0592</v>
      </c>
    </row>
    <row r="261" spans="1:7">
      <c r="A261" s="6">
        <v>44918</v>
      </c>
      <c r="B261" s="7">
        <v>4.98</v>
      </c>
      <c r="C261" s="7">
        <v>5.014</v>
      </c>
      <c r="D261" s="7">
        <v>5.139</v>
      </c>
      <c r="E261" s="7">
        <v>4.779</v>
      </c>
      <c r="F261" s="7" t="s">
        <v>1888</v>
      </c>
      <c r="G261" s="8">
        <v>0.0106</v>
      </c>
    </row>
    <row r="262" spans="1:7">
      <c r="A262" s="6">
        <v>44921</v>
      </c>
      <c r="B262" s="7">
        <v>5.144</v>
      </c>
      <c r="C262" s="7">
        <v>5.179</v>
      </c>
      <c r="D262" s="7">
        <v>5.188</v>
      </c>
      <c r="E262" s="7">
        <v>5.037</v>
      </c>
      <c r="G262" s="8">
        <v>0.0329</v>
      </c>
    </row>
    <row r="263" spans="1:7">
      <c r="A263" s="6">
        <v>44922</v>
      </c>
      <c r="B263" s="7">
        <v>5.118</v>
      </c>
      <c r="C263" s="7">
        <v>5.19</v>
      </c>
      <c r="D263" s="7">
        <v>5.245</v>
      </c>
      <c r="E263" s="7">
        <v>4.99</v>
      </c>
      <c r="F263" s="7" t="s">
        <v>1889</v>
      </c>
      <c r="G263" s="8">
        <v>-0.0051</v>
      </c>
    </row>
    <row r="264" spans="1:7">
      <c r="A264" s="6">
        <v>44923</v>
      </c>
      <c r="B264" s="7">
        <v>4.685</v>
      </c>
      <c r="C264" s="7">
        <v>5.08</v>
      </c>
      <c r="D264" s="7">
        <v>5.083</v>
      </c>
      <c r="E264" s="7">
        <v>4.462</v>
      </c>
      <c r="F264" s="7" t="s">
        <v>1890</v>
      </c>
      <c r="G264" s="8">
        <v>-0.0846</v>
      </c>
    </row>
    <row r="265" spans="1:7">
      <c r="A265" s="6">
        <v>44924</v>
      </c>
      <c r="B265" s="7">
        <v>4.117</v>
      </c>
      <c r="C265" s="7">
        <v>4.269</v>
      </c>
      <c r="D265" s="7">
        <v>4.279</v>
      </c>
      <c r="E265" s="7">
        <v>4.02</v>
      </c>
      <c r="F265" s="7" t="s">
        <v>1891</v>
      </c>
      <c r="G265" s="8">
        <v>-0.1212</v>
      </c>
    </row>
    <row r="266" spans="1:7">
      <c r="A266" s="6">
        <v>44925</v>
      </c>
      <c r="B266" s="7">
        <v>4.104</v>
      </c>
      <c r="C266" s="7">
        <v>4.147</v>
      </c>
      <c r="D266" s="7">
        <v>4.167</v>
      </c>
      <c r="E266" s="7">
        <v>4.015</v>
      </c>
      <c r="F266" s="7" t="s">
        <v>1892</v>
      </c>
      <c r="G266" s="8">
        <v>-0.0032</v>
      </c>
    </row>
    <row r="267" spans="1:7">
      <c r="A267" s="6">
        <v>44928</v>
      </c>
      <c r="B267" s="7">
        <v>4.143</v>
      </c>
      <c r="C267" s="7">
        <v>4.222</v>
      </c>
      <c r="D267" s="7">
        <v>4.222</v>
      </c>
      <c r="E267" s="7">
        <v>4.072</v>
      </c>
      <c r="G267" s="8">
        <v>0.0095</v>
      </c>
    </row>
    <row r="268" spans="1:7">
      <c r="A268" s="6">
        <v>44929</v>
      </c>
      <c r="B268" s="7">
        <v>3.641</v>
      </c>
      <c r="C268" s="7">
        <v>4.005</v>
      </c>
      <c r="D268" s="7">
        <v>4.005</v>
      </c>
      <c r="E268" s="7">
        <v>3.62</v>
      </c>
      <c r="F268" s="7" t="s">
        <v>1893</v>
      </c>
      <c r="G268" s="8">
        <v>-0.1212</v>
      </c>
    </row>
    <row r="269" spans="1:7">
      <c r="A269" s="6">
        <v>44930</v>
      </c>
      <c r="B269" s="7">
        <v>3.78</v>
      </c>
      <c r="C269" s="7">
        <v>3.658</v>
      </c>
      <c r="D269" s="7">
        <v>3.81</v>
      </c>
      <c r="E269" s="7">
        <v>3.595</v>
      </c>
      <c r="F269" s="7" t="s">
        <v>1741</v>
      </c>
      <c r="G269" s="8">
        <v>0.0382</v>
      </c>
    </row>
    <row r="270" spans="1:7">
      <c r="A270" s="6">
        <v>44931</v>
      </c>
      <c r="B270" s="7">
        <v>3.426</v>
      </c>
      <c r="C270" s="7">
        <v>3.776</v>
      </c>
      <c r="D270" s="7">
        <v>3.789</v>
      </c>
      <c r="E270" s="7">
        <v>3.414</v>
      </c>
      <c r="F270" s="7" t="s">
        <v>1894</v>
      </c>
      <c r="G270" s="8">
        <v>-0.0937</v>
      </c>
    </row>
    <row r="271" spans="1:7">
      <c r="A271" s="6">
        <v>44932</v>
      </c>
      <c r="B271" s="7">
        <v>3.392</v>
      </c>
      <c r="C271" s="7">
        <v>3.462</v>
      </c>
      <c r="D271" s="7">
        <v>3.495</v>
      </c>
      <c r="E271" s="7">
        <v>3.283</v>
      </c>
      <c r="F271" s="7" t="s">
        <v>1895</v>
      </c>
      <c r="G271" s="8">
        <v>-0.0099</v>
      </c>
    </row>
    <row r="272" spans="1:7">
      <c r="A272" s="6">
        <v>44935</v>
      </c>
      <c r="B272" s="7">
        <v>3.563</v>
      </c>
      <c r="C272" s="7">
        <v>3.476</v>
      </c>
      <c r="D272" s="7">
        <v>3.714</v>
      </c>
      <c r="E272" s="7">
        <v>3.449</v>
      </c>
      <c r="F272" s="7" t="s">
        <v>1896</v>
      </c>
      <c r="G272" s="8">
        <v>0.0504</v>
      </c>
    </row>
    <row r="273" spans="1:7">
      <c r="A273" s="6">
        <v>44936</v>
      </c>
      <c r="B273" s="7">
        <v>3.314</v>
      </c>
      <c r="C273" s="7">
        <v>3.541</v>
      </c>
      <c r="D273" s="7">
        <v>3.549</v>
      </c>
      <c r="E273" s="7">
        <v>3.261</v>
      </c>
      <c r="F273" s="7" t="s">
        <v>1897</v>
      </c>
      <c r="G273" s="8">
        <v>-0.0699</v>
      </c>
    </row>
    <row r="274" spans="1:7">
      <c r="A274" s="6">
        <v>44937</v>
      </c>
      <c r="B274" s="7">
        <v>3.346</v>
      </c>
      <c r="C274" s="7">
        <v>3.289</v>
      </c>
      <c r="D274" s="7">
        <v>3.42</v>
      </c>
      <c r="E274" s="7">
        <v>3.137</v>
      </c>
      <c r="F274" s="7" t="s">
        <v>1898</v>
      </c>
      <c r="G274" s="8">
        <v>0.0097</v>
      </c>
    </row>
    <row r="275" spans="1:7">
      <c r="A275" s="6">
        <v>44938</v>
      </c>
      <c r="B275" s="7">
        <v>3.355</v>
      </c>
      <c r="C275" s="7">
        <v>3.396</v>
      </c>
      <c r="D275" s="7">
        <v>3.556</v>
      </c>
      <c r="E275" s="7">
        <v>3.309</v>
      </c>
      <c r="F275" s="7" t="s">
        <v>1899</v>
      </c>
      <c r="G275" s="8">
        <v>0.0027</v>
      </c>
    </row>
    <row r="276" spans="1:7">
      <c r="A276" s="6">
        <v>44939</v>
      </c>
      <c r="B276" s="7">
        <v>3.196</v>
      </c>
      <c r="C276" s="7">
        <v>3.356</v>
      </c>
      <c r="D276" s="7">
        <v>3.392</v>
      </c>
      <c r="E276" s="7">
        <v>3.169</v>
      </c>
      <c r="F276" s="7" t="s">
        <v>1900</v>
      </c>
      <c r="G276" s="8">
        <v>-0.0474</v>
      </c>
    </row>
    <row r="277" spans="1:7">
      <c r="A277" s="6">
        <v>44941</v>
      </c>
      <c r="B277" s="7">
        <v>3.601</v>
      </c>
      <c r="C277" s="7">
        <v>3.591</v>
      </c>
      <c r="D277" s="7">
        <v>3.615</v>
      </c>
      <c r="E277" s="7">
        <v>3.554</v>
      </c>
      <c r="G277" s="8">
        <v>0.1267</v>
      </c>
    </row>
    <row r="278" spans="1:7">
      <c r="A278" s="6">
        <v>44942</v>
      </c>
      <c r="B278" s="7">
        <v>3.675</v>
      </c>
      <c r="C278" s="7">
        <v>3.601</v>
      </c>
      <c r="D278" s="7">
        <v>3.696</v>
      </c>
      <c r="E278" s="7">
        <v>3.524</v>
      </c>
      <c r="G278" s="8">
        <v>0.0205</v>
      </c>
    </row>
    <row r="279" spans="1:7">
      <c r="A279" s="6">
        <v>44943</v>
      </c>
      <c r="B279" s="7">
        <v>3.253</v>
      </c>
      <c r="C279" s="7">
        <v>3.283</v>
      </c>
      <c r="D279" s="7">
        <v>3.44</v>
      </c>
      <c r="E279" s="7">
        <v>3.237</v>
      </c>
      <c r="F279" s="7" t="s">
        <v>1901</v>
      </c>
      <c r="G279" s="8">
        <v>-0.1148</v>
      </c>
    </row>
    <row r="280" spans="1:7">
      <c r="A280" s="6">
        <v>44944</v>
      </c>
      <c r="B280" s="7">
        <v>3.111</v>
      </c>
      <c r="C280" s="7">
        <v>3.294</v>
      </c>
      <c r="D280" s="7">
        <v>3.332</v>
      </c>
      <c r="E280" s="7">
        <v>3.087</v>
      </c>
      <c r="F280" s="7" t="s">
        <v>1902</v>
      </c>
      <c r="G280" s="8">
        <v>-0.0437</v>
      </c>
    </row>
    <row r="281" spans="1:7">
      <c r="A281" s="6">
        <v>44945</v>
      </c>
      <c r="B281" s="7">
        <v>3.124</v>
      </c>
      <c r="C281" s="7">
        <v>3.1</v>
      </c>
      <c r="D281" s="7">
        <v>3.198</v>
      </c>
      <c r="E281" s="7">
        <v>3.056</v>
      </c>
      <c r="F281" s="7" t="s">
        <v>1903</v>
      </c>
      <c r="G281" s="8">
        <v>0.0042</v>
      </c>
    </row>
    <row r="282" spans="1:7">
      <c r="A282" s="6">
        <v>44946</v>
      </c>
      <c r="B282" s="7">
        <v>3.036</v>
      </c>
      <c r="C282" s="7">
        <v>3.076</v>
      </c>
      <c r="D282" s="7">
        <v>3.191</v>
      </c>
      <c r="E282" s="7">
        <v>2.985</v>
      </c>
      <c r="F282" s="7" t="s">
        <v>1904</v>
      </c>
      <c r="G282" s="8">
        <v>-0.0282</v>
      </c>
    </row>
    <row r="283" spans="1:7">
      <c r="A283" s="6">
        <v>44949</v>
      </c>
      <c r="B283" s="7">
        <v>3.222</v>
      </c>
      <c r="C283" s="7">
        <v>3.216</v>
      </c>
      <c r="D283" s="7">
        <v>3.243</v>
      </c>
      <c r="E283" s="7">
        <v>2.992</v>
      </c>
      <c r="F283" s="7" t="s">
        <v>1905</v>
      </c>
      <c r="G283" s="8">
        <v>0.0613</v>
      </c>
    </row>
    <row r="284" spans="1:7">
      <c r="A284" s="6">
        <v>44950</v>
      </c>
      <c r="B284" s="7">
        <v>3.057</v>
      </c>
      <c r="C284" s="7">
        <v>3.228</v>
      </c>
      <c r="D284" s="7">
        <v>3.3</v>
      </c>
      <c r="E284" s="7">
        <v>3.031</v>
      </c>
      <c r="F284" s="7" t="s">
        <v>1906</v>
      </c>
      <c r="G284" s="8">
        <v>-0.0512</v>
      </c>
    </row>
    <row r="285" spans="1:7">
      <c r="A285" s="6">
        <v>44951</v>
      </c>
      <c r="B285" s="7">
        <v>2.915</v>
      </c>
      <c r="C285" s="7">
        <v>3.065</v>
      </c>
      <c r="D285" s="7">
        <v>3.078</v>
      </c>
      <c r="E285" s="7">
        <v>2.86</v>
      </c>
      <c r="F285" s="7" t="s">
        <v>1907</v>
      </c>
      <c r="G285" s="8">
        <v>-0.0465</v>
      </c>
    </row>
    <row r="286" spans="1:7">
      <c r="A286" s="6">
        <v>44952</v>
      </c>
      <c r="B286" s="7">
        <v>2.848</v>
      </c>
      <c r="C286" s="7">
        <v>2.873</v>
      </c>
      <c r="D286" s="7">
        <v>2.891</v>
      </c>
      <c r="E286" s="7">
        <v>2.68</v>
      </c>
      <c r="F286" s="7" t="s">
        <v>1908</v>
      </c>
      <c r="G286" s="8">
        <v>-0.023</v>
      </c>
    </row>
    <row r="287" spans="1:7">
      <c r="A287" s="6">
        <v>44953</v>
      </c>
      <c r="B287" s="7">
        <v>2.849</v>
      </c>
      <c r="C287" s="7">
        <v>2.853</v>
      </c>
      <c r="D287" s="7">
        <v>2.908</v>
      </c>
      <c r="E287" s="7">
        <v>2.747</v>
      </c>
      <c r="F287" s="7" t="s">
        <v>1909</v>
      </c>
      <c r="G287" s="8">
        <v>0.0004</v>
      </c>
    </row>
    <row r="288" spans="1:7">
      <c r="A288" s="6">
        <v>44956</v>
      </c>
      <c r="B288" s="7">
        <v>2.731</v>
      </c>
      <c r="C288" s="7">
        <v>2.75</v>
      </c>
      <c r="D288" s="7">
        <v>2.807</v>
      </c>
      <c r="E288" s="7">
        <v>2.661</v>
      </c>
      <c r="F288" s="7" t="s">
        <v>1910</v>
      </c>
      <c r="G288" s="8">
        <v>-0.0414</v>
      </c>
    </row>
    <row r="289" spans="1:7">
      <c r="A289" s="6">
        <v>44957</v>
      </c>
      <c r="B289" s="7">
        <v>2.741</v>
      </c>
      <c r="C289" s="7">
        <v>2.738</v>
      </c>
      <c r="D289" s="7">
        <v>2.809</v>
      </c>
      <c r="E289" s="7">
        <v>2.668</v>
      </c>
      <c r="F289" s="7" t="s">
        <v>235</v>
      </c>
      <c r="G289" s="8">
        <v>0.0037</v>
      </c>
    </row>
    <row r="290" spans="1:7">
      <c r="A290" s="6">
        <v>44958</v>
      </c>
      <c r="B290" s="7">
        <v>2.536</v>
      </c>
      <c r="C290" s="7">
        <v>2.789</v>
      </c>
      <c r="D290" s="7">
        <v>2.836</v>
      </c>
      <c r="E290" s="7">
        <v>2.532</v>
      </c>
      <c r="F290" s="7" t="s">
        <v>1911</v>
      </c>
      <c r="G290" s="8">
        <v>-0.0748</v>
      </c>
    </row>
    <row r="291" spans="1:7">
      <c r="A291" s="6">
        <v>44959</v>
      </c>
      <c r="B291" s="7">
        <v>2.522</v>
      </c>
      <c r="C291" s="7">
        <v>2.579</v>
      </c>
      <c r="D291" s="7">
        <v>2.652</v>
      </c>
      <c r="E291" s="7">
        <v>2.502</v>
      </c>
      <c r="F291" s="7" t="s">
        <v>1912</v>
      </c>
      <c r="G291" s="8">
        <v>-0.0055</v>
      </c>
    </row>
    <row r="292" spans="1:7">
      <c r="A292" s="6">
        <v>44960</v>
      </c>
      <c r="B292" s="7">
        <v>2.48</v>
      </c>
      <c r="C292" s="7">
        <v>2.525</v>
      </c>
      <c r="D292" s="7">
        <v>2.585</v>
      </c>
      <c r="E292" s="7">
        <v>2.416</v>
      </c>
      <c r="F292" s="7" t="s">
        <v>1913</v>
      </c>
      <c r="G292" s="8">
        <v>-0.0167</v>
      </c>
    </row>
    <row r="293" spans="1:7">
      <c r="A293" s="6">
        <v>44963</v>
      </c>
      <c r="B293" s="7">
        <v>2.535</v>
      </c>
      <c r="C293" s="7">
        <v>2.495</v>
      </c>
      <c r="D293" s="7">
        <v>2.57</v>
      </c>
      <c r="E293" s="7">
        <v>2.447</v>
      </c>
      <c r="F293" s="7" t="s">
        <v>1914</v>
      </c>
      <c r="G293" s="8">
        <v>0.0222</v>
      </c>
    </row>
    <row r="294" spans="1:7">
      <c r="A294" s="6">
        <v>44964</v>
      </c>
      <c r="B294" s="7">
        <v>2.664</v>
      </c>
      <c r="C294" s="7">
        <v>2.569</v>
      </c>
      <c r="D294" s="7">
        <v>2.69</v>
      </c>
      <c r="E294" s="7">
        <v>2.5</v>
      </c>
      <c r="F294" s="7" t="s">
        <v>1915</v>
      </c>
      <c r="G294" s="8">
        <v>0.0509</v>
      </c>
    </row>
    <row r="295" spans="1:7">
      <c r="A295" s="6">
        <v>44965</v>
      </c>
      <c r="B295" s="7">
        <v>2.477</v>
      </c>
      <c r="C295" s="7">
        <v>2.667</v>
      </c>
      <c r="D295" s="7">
        <v>2.734</v>
      </c>
      <c r="E295" s="7">
        <v>2.45</v>
      </c>
      <c r="F295" s="7" t="s">
        <v>1916</v>
      </c>
      <c r="G295" s="8">
        <v>-0.0702</v>
      </c>
    </row>
    <row r="296" spans="1:7">
      <c r="A296" s="6">
        <v>44966</v>
      </c>
      <c r="B296" s="7">
        <v>2.492</v>
      </c>
      <c r="C296" s="7">
        <v>2.497</v>
      </c>
      <c r="D296" s="7">
        <v>2.578</v>
      </c>
      <c r="E296" s="7">
        <v>2.441</v>
      </c>
      <c r="F296" s="7" t="s">
        <v>1917</v>
      </c>
      <c r="G296" s="8">
        <v>0.0061</v>
      </c>
    </row>
    <row r="297" spans="1:7">
      <c r="A297" s="6">
        <v>44967</v>
      </c>
      <c r="B297" s="7">
        <v>2.607</v>
      </c>
      <c r="C297" s="7">
        <v>2.513</v>
      </c>
      <c r="D297" s="7">
        <v>2.67</v>
      </c>
      <c r="E297" s="7">
        <v>2.475</v>
      </c>
      <c r="F297" s="7" t="s">
        <v>1918</v>
      </c>
      <c r="G297" s="8">
        <v>0.0461</v>
      </c>
    </row>
    <row r="298" spans="1:7">
      <c r="A298" s="6">
        <v>44970</v>
      </c>
      <c r="B298" s="7">
        <v>2.499</v>
      </c>
      <c r="C298" s="7">
        <v>2.663</v>
      </c>
      <c r="D298" s="7">
        <v>2.689</v>
      </c>
      <c r="E298" s="7">
        <v>2.473</v>
      </c>
      <c r="F298" s="7" t="s">
        <v>1919</v>
      </c>
      <c r="G298" s="8">
        <v>-0.0414</v>
      </c>
    </row>
    <row r="299" spans="1:7">
      <c r="A299" s="6">
        <v>44971</v>
      </c>
      <c r="B299" s="7">
        <v>2.652</v>
      </c>
      <c r="C299" s="7">
        <v>2.522</v>
      </c>
      <c r="D299" s="7">
        <v>2.7</v>
      </c>
      <c r="E299" s="7">
        <v>2.518</v>
      </c>
      <c r="F299" s="7" t="s">
        <v>1920</v>
      </c>
      <c r="G299" s="8">
        <v>0.0612</v>
      </c>
    </row>
    <row r="300" spans="1:7">
      <c r="A300" s="6">
        <v>44972</v>
      </c>
      <c r="B300" s="7">
        <v>2.555</v>
      </c>
      <c r="C300" s="7">
        <v>2.686</v>
      </c>
      <c r="D300" s="7">
        <v>2.693</v>
      </c>
      <c r="E300" s="7">
        <v>2.531</v>
      </c>
      <c r="F300" s="7" t="s">
        <v>1921</v>
      </c>
      <c r="G300" s="8">
        <v>-0.0366</v>
      </c>
    </row>
    <row r="301" spans="1:7">
      <c r="A301" s="6">
        <v>44973</v>
      </c>
      <c r="B301" s="7">
        <v>2.485</v>
      </c>
      <c r="C301" s="7">
        <v>2.554</v>
      </c>
      <c r="D301" s="7">
        <v>2.635</v>
      </c>
      <c r="E301" s="7">
        <v>2.455</v>
      </c>
      <c r="F301" s="7" t="s">
        <v>1922</v>
      </c>
      <c r="G301" s="8">
        <v>-0.0274</v>
      </c>
    </row>
    <row r="302" spans="1:7">
      <c r="A302" s="6">
        <v>44974</v>
      </c>
      <c r="B302" s="7">
        <v>2.352</v>
      </c>
      <c r="C302" s="7">
        <v>2.485</v>
      </c>
      <c r="D302" s="7">
        <v>2.521</v>
      </c>
      <c r="E302" s="7">
        <v>2.304</v>
      </c>
      <c r="F302" s="7" t="s">
        <v>1923</v>
      </c>
      <c r="G302" s="8">
        <v>-0.0535</v>
      </c>
    </row>
    <row r="303" spans="1:7">
      <c r="A303" s="6">
        <v>44976</v>
      </c>
      <c r="B303" s="7">
        <v>2.305</v>
      </c>
      <c r="C303" s="7">
        <v>2.303</v>
      </c>
      <c r="D303" s="7">
        <v>2.306</v>
      </c>
      <c r="E303" s="7">
        <v>2.284</v>
      </c>
      <c r="G303" s="8">
        <v>-0.02</v>
      </c>
    </row>
    <row r="304" spans="1:7">
      <c r="A304" s="6">
        <v>44977</v>
      </c>
      <c r="B304" s="7">
        <v>2.324</v>
      </c>
      <c r="C304" s="7">
        <v>2.304</v>
      </c>
      <c r="D304" s="7">
        <v>2.373</v>
      </c>
      <c r="E304" s="7">
        <v>2.271</v>
      </c>
      <c r="G304" s="8">
        <v>0.0082</v>
      </c>
    </row>
    <row r="305" spans="1:7">
      <c r="A305" s="6">
        <v>44978</v>
      </c>
      <c r="B305" s="7">
        <v>2.177</v>
      </c>
      <c r="C305" s="7">
        <v>2.306</v>
      </c>
      <c r="D305" s="7">
        <v>2.373</v>
      </c>
      <c r="E305" s="7">
        <v>2.162</v>
      </c>
      <c r="F305" s="7" t="s">
        <v>1924</v>
      </c>
      <c r="G305" s="8">
        <v>-0.0633</v>
      </c>
    </row>
    <row r="306" spans="1:7">
      <c r="A306" s="6">
        <v>44979</v>
      </c>
      <c r="B306" s="7">
        <v>2.298</v>
      </c>
      <c r="C306" s="7">
        <v>2.188</v>
      </c>
      <c r="D306" s="7">
        <v>2.422</v>
      </c>
      <c r="E306" s="7">
        <v>2.113</v>
      </c>
      <c r="F306" s="7" t="s">
        <v>593</v>
      </c>
      <c r="G306" s="8">
        <v>0.0556</v>
      </c>
    </row>
    <row r="307" spans="1:7">
      <c r="A307" s="6">
        <v>44980</v>
      </c>
      <c r="B307" s="7">
        <v>2.432</v>
      </c>
      <c r="C307" s="7">
        <v>2.295</v>
      </c>
      <c r="D307" s="7">
        <v>2.488</v>
      </c>
      <c r="E307" s="7">
        <v>2.235</v>
      </c>
      <c r="F307" s="7" t="s">
        <v>1925</v>
      </c>
      <c r="G307" s="8">
        <v>0.0583</v>
      </c>
    </row>
    <row r="308" spans="1:7">
      <c r="A308" s="6">
        <v>44981</v>
      </c>
      <c r="B308" s="7">
        <v>2.548</v>
      </c>
      <c r="C308" s="7">
        <v>2.464</v>
      </c>
      <c r="D308" s="7">
        <v>2.587</v>
      </c>
      <c r="E308" s="7">
        <v>2.415</v>
      </c>
      <c r="F308" s="7" t="s">
        <v>1926</v>
      </c>
      <c r="G308" s="8">
        <v>0.0477</v>
      </c>
    </row>
    <row r="309" spans="1:7">
      <c r="A309" s="6">
        <v>44984</v>
      </c>
      <c r="B309" s="7">
        <v>2.853</v>
      </c>
      <c r="C309" s="7">
        <v>2.811</v>
      </c>
      <c r="D309" s="7">
        <v>2.863</v>
      </c>
      <c r="E309" s="7">
        <v>2.7</v>
      </c>
      <c r="F309" s="7" t="s">
        <v>1927</v>
      </c>
      <c r="G309" s="8">
        <v>0.1197</v>
      </c>
    </row>
    <row r="310" spans="1:7">
      <c r="A310" s="6">
        <v>44985</v>
      </c>
      <c r="B310" s="7">
        <v>2.863</v>
      </c>
      <c r="C310" s="7">
        <v>2.842</v>
      </c>
      <c r="D310" s="7">
        <v>2.898</v>
      </c>
      <c r="E310" s="7">
        <v>2.701</v>
      </c>
      <c r="F310" s="7" t="s">
        <v>1928</v>
      </c>
      <c r="G310" s="8">
        <v>0.0035</v>
      </c>
    </row>
    <row r="311" spans="1:7">
      <c r="A311" s="6">
        <v>44986</v>
      </c>
      <c r="B311" s="7">
        <v>2.943</v>
      </c>
      <c r="C311" s="7">
        <v>2.884</v>
      </c>
      <c r="D311" s="7">
        <v>2.969</v>
      </c>
      <c r="E311" s="7">
        <v>2.788</v>
      </c>
      <c r="F311" s="7" t="s">
        <v>1929</v>
      </c>
      <c r="G311" s="8">
        <v>0.0279</v>
      </c>
    </row>
    <row r="312" spans="1:7">
      <c r="A312" s="6">
        <v>44987</v>
      </c>
      <c r="B312" s="7">
        <v>2.899</v>
      </c>
      <c r="C312" s="7">
        <v>2.938</v>
      </c>
      <c r="D312" s="7">
        <v>2.994</v>
      </c>
      <c r="E312" s="7">
        <v>2.848</v>
      </c>
      <c r="F312" s="7" t="s">
        <v>1930</v>
      </c>
      <c r="G312" s="8">
        <v>-0.015</v>
      </c>
    </row>
    <row r="313" spans="1:7">
      <c r="A313" s="6">
        <v>44988</v>
      </c>
      <c r="B313" s="7">
        <v>3.141</v>
      </c>
      <c r="C313" s="7">
        <v>2.916</v>
      </c>
      <c r="D313" s="7">
        <v>3.156</v>
      </c>
      <c r="E313" s="7">
        <v>2.904</v>
      </c>
      <c r="F313" s="7" t="s">
        <v>1931</v>
      </c>
      <c r="G313" s="8">
        <v>0.0835</v>
      </c>
    </row>
    <row r="314" spans="1:7">
      <c r="A314" s="6">
        <v>44991</v>
      </c>
      <c r="B314" s="7">
        <v>2.73</v>
      </c>
      <c r="C314" s="7">
        <v>2.954</v>
      </c>
      <c r="D314" s="7">
        <v>2.954</v>
      </c>
      <c r="E314" s="7">
        <v>2.688</v>
      </c>
      <c r="F314" s="7" t="s">
        <v>1932</v>
      </c>
      <c r="G314" s="8">
        <v>-0.1309</v>
      </c>
    </row>
    <row r="315" spans="1:7">
      <c r="A315" s="6">
        <v>44992</v>
      </c>
      <c r="B315" s="7">
        <v>2.84</v>
      </c>
      <c r="C315" s="7">
        <v>2.769</v>
      </c>
      <c r="D315" s="7">
        <v>2.85</v>
      </c>
      <c r="E315" s="7">
        <v>2.673</v>
      </c>
      <c r="F315" s="7" t="s">
        <v>1933</v>
      </c>
      <c r="G315" s="8">
        <v>0.0403</v>
      </c>
    </row>
    <row r="316" spans="1:7">
      <c r="A316" s="6">
        <v>44993</v>
      </c>
      <c r="B316" s="7">
        <v>2.713</v>
      </c>
      <c r="C316" s="7">
        <v>2.821</v>
      </c>
      <c r="D316" s="7">
        <v>2.85</v>
      </c>
      <c r="E316" s="7">
        <v>2.687</v>
      </c>
      <c r="F316" s="7" t="s">
        <v>1934</v>
      </c>
      <c r="G316" s="8">
        <v>-0.0447</v>
      </c>
    </row>
    <row r="317" spans="1:7">
      <c r="A317" s="6">
        <v>44994</v>
      </c>
      <c r="B317" s="7">
        <v>2.683</v>
      </c>
      <c r="C317" s="7">
        <v>2.754</v>
      </c>
      <c r="D317" s="7">
        <v>2.797</v>
      </c>
      <c r="E317" s="7">
        <v>2.614</v>
      </c>
      <c r="F317" s="7" t="s">
        <v>1935</v>
      </c>
      <c r="G317" s="8">
        <v>-0.0111</v>
      </c>
    </row>
    <row r="318" spans="1:7">
      <c r="A318" s="6">
        <v>44995</v>
      </c>
      <c r="B318" s="7">
        <v>2.559</v>
      </c>
      <c r="C318" s="7">
        <v>2.629</v>
      </c>
      <c r="D318" s="7">
        <v>2.691</v>
      </c>
      <c r="E318" s="7">
        <v>2.554</v>
      </c>
      <c r="F318" s="7" t="s">
        <v>1936</v>
      </c>
      <c r="G318" s="8">
        <v>-0.0462</v>
      </c>
    </row>
    <row r="319" spans="1:7">
      <c r="A319" s="6">
        <v>44998</v>
      </c>
      <c r="B319" s="7">
        <v>2.726</v>
      </c>
      <c r="C319" s="7">
        <v>2.566</v>
      </c>
      <c r="D319" s="7">
        <v>2.751</v>
      </c>
      <c r="E319" s="7">
        <v>2.514</v>
      </c>
      <c r="F319" s="7" t="s">
        <v>1937</v>
      </c>
      <c r="G319" s="8">
        <v>0.0653</v>
      </c>
    </row>
    <row r="320" spans="1:7">
      <c r="A320" s="6">
        <v>44999</v>
      </c>
      <c r="B320" s="7">
        <v>2.69</v>
      </c>
      <c r="C320" s="7">
        <v>2.74</v>
      </c>
      <c r="D320" s="7">
        <v>2.789</v>
      </c>
      <c r="E320" s="7">
        <v>2.65</v>
      </c>
      <c r="F320" s="7" t="s">
        <v>1938</v>
      </c>
      <c r="G320" s="8">
        <v>-0.0132</v>
      </c>
    </row>
    <row r="321" spans="1:7">
      <c r="A321" s="6">
        <v>45000</v>
      </c>
      <c r="B321" s="7">
        <v>2.546</v>
      </c>
      <c r="C321" s="7">
        <v>2.696</v>
      </c>
      <c r="D321" s="7">
        <v>2.71</v>
      </c>
      <c r="E321" s="7">
        <v>2.499</v>
      </c>
      <c r="F321" s="7" t="s">
        <v>1939</v>
      </c>
      <c r="G321" s="8">
        <v>-0.0535</v>
      </c>
    </row>
    <row r="322" spans="1:7">
      <c r="A322" s="6">
        <v>45001</v>
      </c>
      <c r="B322" s="7">
        <v>2.626</v>
      </c>
      <c r="C322" s="7">
        <v>2.59</v>
      </c>
      <c r="D322" s="7">
        <v>2.657</v>
      </c>
      <c r="E322" s="7">
        <v>2.527</v>
      </c>
      <c r="F322" s="7" t="s">
        <v>1940</v>
      </c>
      <c r="G322" s="8">
        <v>0.0314</v>
      </c>
    </row>
    <row r="323" spans="1:7">
      <c r="A323" s="6">
        <v>45002</v>
      </c>
      <c r="B323" s="7">
        <v>2.446</v>
      </c>
      <c r="C323" s="7">
        <v>2.638</v>
      </c>
      <c r="D323" s="7">
        <v>2.639</v>
      </c>
      <c r="E323" s="7">
        <v>2.436</v>
      </c>
      <c r="F323" s="7" t="s">
        <v>1941</v>
      </c>
      <c r="G323" s="8">
        <v>-0.0685</v>
      </c>
    </row>
    <row r="324" spans="1:7">
      <c r="A324" s="6">
        <v>45005</v>
      </c>
      <c r="B324" s="7">
        <v>2.331</v>
      </c>
      <c r="C324" s="7">
        <v>2.46</v>
      </c>
      <c r="D324" s="7">
        <v>2.521</v>
      </c>
      <c r="E324" s="7">
        <v>2.324</v>
      </c>
      <c r="F324" s="7" t="s">
        <v>1942</v>
      </c>
      <c r="G324" s="8">
        <v>-0.047</v>
      </c>
    </row>
    <row r="325" spans="1:7">
      <c r="A325" s="6">
        <v>45006</v>
      </c>
      <c r="B325" s="7">
        <v>2.485</v>
      </c>
      <c r="C325" s="7">
        <v>2.339</v>
      </c>
      <c r="D325" s="7">
        <v>2.493</v>
      </c>
      <c r="E325" s="7">
        <v>2.24</v>
      </c>
      <c r="F325" s="7" t="s">
        <v>1943</v>
      </c>
      <c r="G325" s="8">
        <v>0.0661</v>
      </c>
    </row>
    <row r="326" spans="1:7">
      <c r="A326" s="6">
        <v>45007</v>
      </c>
      <c r="B326" s="7">
        <v>2.307</v>
      </c>
      <c r="C326" s="7">
        <v>2.456</v>
      </c>
      <c r="D326" s="7">
        <v>2.462</v>
      </c>
      <c r="E326" s="7">
        <v>2.287</v>
      </c>
      <c r="F326" s="7" t="s">
        <v>1944</v>
      </c>
      <c r="G326" s="8">
        <v>-0.0716</v>
      </c>
    </row>
    <row r="327" spans="1:7">
      <c r="A327" s="6">
        <v>45008</v>
      </c>
      <c r="B327" s="7">
        <v>2.283</v>
      </c>
      <c r="C327" s="7">
        <v>2.354</v>
      </c>
      <c r="D327" s="7">
        <v>2.383</v>
      </c>
      <c r="E327" s="7">
        <v>2.263</v>
      </c>
      <c r="F327" s="7" t="s">
        <v>1945</v>
      </c>
      <c r="G327" s="8">
        <v>-0.0104</v>
      </c>
    </row>
    <row r="328" spans="1:7">
      <c r="A328" s="6">
        <v>45009</v>
      </c>
      <c r="B328" s="7">
        <v>2.361</v>
      </c>
      <c r="C328" s="7">
        <v>2.277</v>
      </c>
      <c r="D328" s="7">
        <v>2.382</v>
      </c>
      <c r="E328" s="7">
        <v>2.267</v>
      </c>
      <c r="F328" s="7" t="s">
        <v>1946</v>
      </c>
      <c r="G328" s="8">
        <v>0.0342</v>
      </c>
    </row>
    <row r="329" spans="1:7">
      <c r="A329" s="6">
        <v>45012</v>
      </c>
      <c r="B329" s="7">
        <v>2.215</v>
      </c>
      <c r="C329" s="7">
        <v>2.288</v>
      </c>
      <c r="D329" s="7">
        <v>2.299</v>
      </c>
      <c r="E329" s="7">
        <v>2.184</v>
      </c>
      <c r="F329" s="7" t="s">
        <v>1947</v>
      </c>
      <c r="G329" s="8">
        <v>-0.0618</v>
      </c>
    </row>
    <row r="330" spans="1:7">
      <c r="A330" s="6">
        <v>45013</v>
      </c>
      <c r="B330" s="7">
        <v>2.147</v>
      </c>
      <c r="C330" s="7">
        <v>2.221</v>
      </c>
      <c r="D330" s="7">
        <v>2.26</v>
      </c>
      <c r="E330" s="7">
        <v>2.142</v>
      </c>
      <c r="F330" s="7" t="s">
        <v>1948</v>
      </c>
      <c r="G330" s="8">
        <v>-0.0307</v>
      </c>
    </row>
    <row r="331" spans="1:7">
      <c r="A331" s="6">
        <v>45014</v>
      </c>
      <c r="B331" s="7">
        <v>2.184</v>
      </c>
      <c r="C331" s="7">
        <v>2.161</v>
      </c>
      <c r="D331" s="7">
        <v>2.225</v>
      </c>
      <c r="E331" s="7">
        <v>2.103</v>
      </c>
      <c r="F331" s="7" t="s">
        <v>306</v>
      </c>
      <c r="G331" s="8">
        <v>0.0172</v>
      </c>
    </row>
    <row r="332" spans="1:7">
      <c r="A332" s="6">
        <v>45015</v>
      </c>
      <c r="B332" s="7">
        <v>2.358</v>
      </c>
      <c r="C332" s="7">
        <v>2.455</v>
      </c>
      <c r="D332" s="7">
        <v>2.455</v>
      </c>
      <c r="E332" s="7">
        <v>2.336</v>
      </c>
      <c r="F332" s="7" t="s">
        <v>1949</v>
      </c>
      <c r="G332" s="8">
        <v>0.0797</v>
      </c>
    </row>
    <row r="333" spans="1:7">
      <c r="A333" s="6">
        <v>45016</v>
      </c>
      <c r="B333" s="7">
        <v>2.465</v>
      </c>
      <c r="C333" s="7">
        <v>2.352</v>
      </c>
      <c r="D333" s="7">
        <v>2.488</v>
      </c>
      <c r="E333" s="7">
        <v>2.321</v>
      </c>
      <c r="F333" s="7" t="s">
        <v>1950</v>
      </c>
      <c r="G333" s="8">
        <v>0.0454</v>
      </c>
    </row>
    <row r="334" spans="1:7">
      <c r="A334" s="6">
        <v>45019</v>
      </c>
      <c r="B334" s="7">
        <v>2.333</v>
      </c>
      <c r="C334" s="7">
        <v>2.345</v>
      </c>
      <c r="D334" s="7">
        <v>2.398</v>
      </c>
      <c r="E334" s="7">
        <v>2.28</v>
      </c>
      <c r="F334" s="7" t="s">
        <v>1951</v>
      </c>
      <c r="G334" s="8">
        <v>-0.0535</v>
      </c>
    </row>
    <row r="335" spans="1:7">
      <c r="A335" s="6">
        <v>45020</v>
      </c>
      <c r="B335" s="7">
        <v>2.344</v>
      </c>
      <c r="C335" s="7">
        <v>2.348</v>
      </c>
      <c r="D335" s="7">
        <v>2.385</v>
      </c>
      <c r="E335" s="7">
        <v>2.31</v>
      </c>
      <c r="F335" s="7" t="s">
        <v>1952</v>
      </c>
      <c r="G335" s="8">
        <v>0.0047</v>
      </c>
    </row>
    <row r="336" spans="1:7">
      <c r="A336" s="6">
        <v>45021</v>
      </c>
      <c r="B336" s="7">
        <v>2.381</v>
      </c>
      <c r="C336" s="7">
        <v>2.332</v>
      </c>
      <c r="D336" s="7">
        <v>2.421</v>
      </c>
      <c r="E336" s="7">
        <v>2.3</v>
      </c>
      <c r="F336" s="7" t="s">
        <v>1953</v>
      </c>
      <c r="G336" s="8">
        <v>0.0158</v>
      </c>
    </row>
    <row r="337" spans="1:7">
      <c r="A337" s="6">
        <v>45022</v>
      </c>
      <c r="B337" s="7">
        <v>2.238</v>
      </c>
      <c r="C337" s="7">
        <v>2.375</v>
      </c>
      <c r="D337" s="7">
        <v>2.4</v>
      </c>
      <c r="E337" s="7">
        <v>2.22</v>
      </c>
      <c r="F337" s="7" t="s">
        <v>1954</v>
      </c>
      <c r="G337" s="8">
        <v>-0.0601</v>
      </c>
    </row>
    <row r="338" spans="1:7">
      <c r="A338" s="6">
        <v>45026</v>
      </c>
      <c r="B338" s="7">
        <v>2.361</v>
      </c>
      <c r="C338" s="7">
        <v>2.24</v>
      </c>
      <c r="D338" s="7">
        <v>2.419</v>
      </c>
      <c r="E338" s="7">
        <v>2.24</v>
      </c>
      <c r="F338" s="7" t="s">
        <v>1955</v>
      </c>
      <c r="G338" s="8">
        <v>0.055</v>
      </c>
    </row>
    <row r="339" spans="1:7">
      <c r="A339" s="6">
        <v>45027</v>
      </c>
      <c r="B339" s="7">
        <v>2.351</v>
      </c>
      <c r="C339" s="7">
        <v>2.372</v>
      </c>
      <c r="D339" s="7">
        <v>2.42</v>
      </c>
      <c r="E339" s="7">
        <v>2.306</v>
      </c>
      <c r="F339" s="7" t="s">
        <v>1956</v>
      </c>
      <c r="G339" s="8">
        <v>-0.0042</v>
      </c>
    </row>
    <row r="340" spans="1:7">
      <c r="A340" s="6">
        <v>45028</v>
      </c>
      <c r="B340" s="7">
        <v>2.267</v>
      </c>
      <c r="C340" s="7">
        <v>2.373</v>
      </c>
      <c r="D340" s="7">
        <v>2.384</v>
      </c>
      <c r="E340" s="7">
        <v>2.241</v>
      </c>
      <c r="F340" s="7" t="s">
        <v>1957</v>
      </c>
      <c r="G340" s="8">
        <v>-0.0357</v>
      </c>
    </row>
    <row r="341" spans="1:7">
      <c r="A341" s="6">
        <v>45029</v>
      </c>
      <c r="B341" s="7">
        <v>2.197</v>
      </c>
      <c r="C341" s="7">
        <v>2.257</v>
      </c>
      <c r="D341" s="7">
        <v>2.302</v>
      </c>
      <c r="E341" s="7">
        <v>2.184</v>
      </c>
      <c r="F341" s="7" t="s">
        <v>1958</v>
      </c>
      <c r="G341" s="8">
        <v>-0.0309</v>
      </c>
    </row>
    <row r="342" spans="1:7">
      <c r="A342" s="6">
        <v>45030</v>
      </c>
      <c r="B342" s="7">
        <v>2.305</v>
      </c>
      <c r="C342" s="7">
        <v>2.209</v>
      </c>
      <c r="D342" s="7">
        <v>2.316</v>
      </c>
      <c r="E342" s="7">
        <v>2.143</v>
      </c>
      <c r="F342" s="7" t="s">
        <v>1959</v>
      </c>
      <c r="G342" s="8">
        <v>0.0492</v>
      </c>
    </row>
    <row r="343" spans="1:7">
      <c r="A343" s="6">
        <v>45033</v>
      </c>
      <c r="B343" s="7">
        <v>2.444</v>
      </c>
      <c r="C343" s="7">
        <v>2.326</v>
      </c>
      <c r="D343" s="7">
        <v>2.458</v>
      </c>
      <c r="E343" s="7">
        <v>2.326</v>
      </c>
      <c r="F343" s="7" t="s">
        <v>1960</v>
      </c>
      <c r="G343" s="8">
        <v>0.0603</v>
      </c>
    </row>
    <row r="344" spans="1:7">
      <c r="A344" s="6">
        <v>45034</v>
      </c>
      <c r="B344" s="7">
        <v>2.517</v>
      </c>
      <c r="C344" s="7">
        <v>2.446</v>
      </c>
      <c r="D344" s="7">
        <v>2.533</v>
      </c>
      <c r="E344" s="7">
        <v>2.396</v>
      </c>
      <c r="F344" s="7" t="s">
        <v>1720</v>
      </c>
      <c r="G344" s="8">
        <v>0.0299</v>
      </c>
    </row>
    <row r="345" spans="1:7">
      <c r="A345" s="6">
        <v>45035</v>
      </c>
      <c r="B345" s="7">
        <v>2.395</v>
      </c>
      <c r="C345" s="7">
        <v>2.526</v>
      </c>
      <c r="D345" s="7">
        <v>2.543</v>
      </c>
      <c r="E345" s="7">
        <v>2.356</v>
      </c>
      <c r="F345" s="7" t="s">
        <v>1961</v>
      </c>
      <c r="G345" s="8">
        <v>-0.0485</v>
      </c>
    </row>
    <row r="346" spans="1:7">
      <c r="A346" s="6">
        <v>45036</v>
      </c>
      <c r="B346" s="7">
        <v>2.427</v>
      </c>
      <c r="C346" s="7">
        <v>2.361</v>
      </c>
      <c r="D346" s="7">
        <v>2.436</v>
      </c>
      <c r="E346" s="7">
        <v>2.316</v>
      </c>
      <c r="F346" s="7" t="s">
        <v>1962</v>
      </c>
      <c r="G346" s="8">
        <v>0.0134</v>
      </c>
    </row>
    <row r="347" spans="1:7">
      <c r="A347" s="6">
        <v>45037</v>
      </c>
      <c r="B347" s="7">
        <v>2.408</v>
      </c>
      <c r="C347" s="7">
        <v>2.374</v>
      </c>
      <c r="D347" s="7">
        <v>2.448</v>
      </c>
      <c r="E347" s="7">
        <v>2.35</v>
      </c>
      <c r="F347" s="7" t="s">
        <v>1963</v>
      </c>
      <c r="G347" s="8">
        <v>-0.0078</v>
      </c>
    </row>
    <row r="348" spans="1:7">
      <c r="A348" s="6">
        <v>45040</v>
      </c>
      <c r="B348" s="7">
        <v>2.471</v>
      </c>
      <c r="C348" s="7">
        <v>2.395</v>
      </c>
      <c r="D348" s="7">
        <v>2.484</v>
      </c>
      <c r="E348" s="7">
        <v>2.364</v>
      </c>
      <c r="F348" s="7" t="s">
        <v>1964</v>
      </c>
      <c r="G348" s="8">
        <v>0.0262</v>
      </c>
    </row>
    <row r="349" spans="1:7">
      <c r="A349" s="6">
        <v>45041</v>
      </c>
      <c r="B349" s="7">
        <v>2.437</v>
      </c>
      <c r="C349" s="7">
        <v>2.466</v>
      </c>
      <c r="D349" s="7">
        <v>2.468</v>
      </c>
      <c r="E349" s="7">
        <v>2.368</v>
      </c>
      <c r="F349" s="7" t="s">
        <v>1965</v>
      </c>
      <c r="G349" s="8">
        <v>-0.0138</v>
      </c>
    </row>
    <row r="350" spans="1:7">
      <c r="A350" s="6">
        <v>45042</v>
      </c>
      <c r="B350" s="7">
        <v>2.305</v>
      </c>
      <c r="C350" s="7">
        <v>2.385</v>
      </c>
      <c r="D350" s="7">
        <v>2.413</v>
      </c>
      <c r="E350" s="7">
        <v>2.274</v>
      </c>
      <c r="F350" s="7" t="s">
        <v>1966</v>
      </c>
      <c r="G350" s="8">
        <v>-0.0542</v>
      </c>
    </row>
    <row r="351" spans="1:7">
      <c r="A351" s="6">
        <v>45043</v>
      </c>
      <c r="B351" s="7">
        <v>2.548</v>
      </c>
      <c r="C351" s="7">
        <v>2.51</v>
      </c>
      <c r="D351" s="7">
        <v>2.567</v>
      </c>
      <c r="E351" s="7">
        <v>2.465</v>
      </c>
      <c r="F351" s="7" t="s">
        <v>1967</v>
      </c>
      <c r="G351" s="8">
        <v>0.1054</v>
      </c>
    </row>
    <row r="352" spans="1:7">
      <c r="A352" s="6">
        <v>45044</v>
      </c>
      <c r="B352" s="7">
        <v>2.578</v>
      </c>
      <c r="C352" s="7">
        <v>2.538</v>
      </c>
      <c r="D352" s="7">
        <v>2.7</v>
      </c>
      <c r="E352" s="7">
        <v>2.484</v>
      </c>
      <c r="F352" s="7" t="s">
        <v>1968</v>
      </c>
      <c r="G352" s="8">
        <v>0.0118</v>
      </c>
    </row>
    <row r="353" spans="1:7">
      <c r="A353" s="6">
        <v>45047</v>
      </c>
      <c r="B353" s="7">
        <v>2.498</v>
      </c>
      <c r="C353" s="7">
        <v>2.568</v>
      </c>
      <c r="D353" s="7">
        <v>2.582</v>
      </c>
      <c r="E353" s="7">
        <v>2.473</v>
      </c>
      <c r="F353" s="7" t="s">
        <v>1969</v>
      </c>
      <c r="G353" s="8">
        <v>-0.031</v>
      </c>
    </row>
    <row r="354" spans="1:7">
      <c r="A354" s="6">
        <v>45048</v>
      </c>
      <c r="B354" s="7">
        <v>2.417</v>
      </c>
      <c r="C354" s="7">
        <v>2.501</v>
      </c>
      <c r="D354" s="7">
        <v>2.524</v>
      </c>
      <c r="E354" s="7">
        <v>2.389</v>
      </c>
      <c r="F354" s="7" t="s">
        <v>1970</v>
      </c>
      <c r="G354" s="8">
        <v>-0.0324</v>
      </c>
    </row>
    <row r="355" spans="1:7">
      <c r="A355" s="6">
        <v>45049</v>
      </c>
      <c r="B355" s="7">
        <v>2.36</v>
      </c>
      <c r="C355" s="7">
        <v>2.428</v>
      </c>
      <c r="D355" s="7">
        <v>2.443</v>
      </c>
      <c r="E355" s="7">
        <v>2.312</v>
      </c>
      <c r="F355" s="7" t="s">
        <v>1971</v>
      </c>
      <c r="G355" s="8">
        <v>-0.0236</v>
      </c>
    </row>
    <row r="356" spans="1:7">
      <c r="A356" s="6">
        <v>45050</v>
      </c>
      <c r="B356" s="7">
        <v>2.297</v>
      </c>
      <c r="C356" s="7">
        <v>2.347</v>
      </c>
      <c r="D356" s="7">
        <v>2.374</v>
      </c>
      <c r="E356" s="7">
        <v>2.275</v>
      </c>
      <c r="F356" s="7" t="s">
        <v>1972</v>
      </c>
      <c r="G356" s="8">
        <v>-0.0267</v>
      </c>
    </row>
    <row r="357" spans="1:7">
      <c r="A357" s="6">
        <v>45051</v>
      </c>
      <c r="B357" s="7">
        <v>2.321</v>
      </c>
      <c r="C357" s="7">
        <v>2.281</v>
      </c>
      <c r="D357" s="7">
        <v>2.349</v>
      </c>
      <c r="E357" s="7">
        <v>2.233</v>
      </c>
      <c r="F357" s="7" t="s">
        <v>1973</v>
      </c>
      <c r="G357" s="8">
        <v>0.0104</v>
      </c>
    </row>
    <row r="358" spans="1:7">
      <c r="A358" s="6">
        <v>45054</v>
      </c>
      <c r="B358" s="7">
        <v>2.412</v>
      </c>
      <c r="C358" s="7">
        <v>2.329</v>
      </c>
      <c r="D358" s="7">
        <v>2.424</v>
      </c>
      <c r="E358" s="7">
        <v>2.32</v>
      </c>
      <c r="F358" s="7" t="s">
        <v>1974</v>
      </c>
      <c r="G358" s="8">
        <v>0.0392</v>
      </c>
    </row>
    <row r="359" spans="1:7">
      <c r="A359" s="6">
        <v>45055</v>
      </c>
      <c r="B359" s="7">
        <v>2.427</v>
      </c>
      <c r="C359" s="7">
        <v>2.416</v>
      </c>
      <c r="D359" s="7">
        <v>2.463</v>
      </c>
      <c r="E359" s="7">
        <v>2.36</v>
      </c>
      <c r="F359" s="7" t="s">
        <v>1975</v>
      </c>
      <c r="G359" s="8">
        <v>0.0062</v>
      </c>
    </row>
    <row r="360" spans="1:7">
      <c r="A360" s="6">
        <v>45056</v>
      </c>
      <c r="B360" s="7">
        <v>2.336</v>
      </c>
      <c r="C360" s="7">
        <v>2.415</v>
      </c>
      <c r="D360" s="7">
        <v>2.415</v>
      </c>
      <c r="E360" s="7">
        <v>2.315</v>
      </c>
      <c r="F360" s="7" t="s">
        <v>1976</v>
      </c>
      <c r="G360" s="8">
        <v>-0.0375</v>
      </c>
    </row>
    <row r="361" spans="1:7">
      <c r="A361" s="6">
        <v>45057</v>
      </c>
      <c r="B361" s="7">
        <v>2.345</v>
      </c>
      <c r="C361" s="7">
        <v>2.331</v>
      </c>
      <c r="D361" s="7">
        <v>2.389</v>
      </c>
      <c r="E361" s="7">
        <v>2.31</v>
      </c>
      <c r="F361" s="7" t="s">
        <v>1977</v>
      </c>
      <c r="G361" s="8">
        <v>0.0039</v>
      </c>
    </row>
    <row r="362" spans="1:7">
      <c r="A362" s="6">
        <v>45058</v>
      </c>
      <c r="B362" s="7">
        <v>2.438</v>
      </c>
      <c r="C362" s="7">
        <v>2.342</v>
      </c>
      <c r="D362" s="7">
        <v>2.495</v>
      </c>
      <c r="E362" s="7">
        <v>2.31</v>
      </c>
      <c r="F362" s="7" t="s">
        <v>1978</v>
      </c>
      <c r="G362" s="8">
        <v>0.0397</v>
      </c>
    </row>
    <row r="363" spans="1:7">
      <c r="A363" s="6">
        <v>45061</v>
      </c>
      <c r="B363" s="7">
        <v>2.542</v>
      </c>
      <c r="C363" s="7">
        <v>2.445</v>
      </c>
      <c r="D363" s="7">
        <v>2.55</v>
      </c>
      <c r="E363" s="7">
        <v>2.417</v>
      </c>
      <c r="F363" s="7" t="s">
        <v>1979</v>
      </c>
      <c r="G363" s="8">
        <v>0.0427</v>
      </c>
    </row>
    <row r="364" spans="1:7">
      <c r="A364" s="6">
        <v>45062</v>
      </c>
      <c r="B364" s="7">
        <v>2.534</v>
      </c>
      <c r="C364" s="7">
        <v>2.533</v>
      </c>
      <c r="D364" s="7">
        <v>2.63</v>
      </c>
      <c r="E364" s="7">
        <v>2.506</v>
      </c>
      <c r="F364" s="7" t="s">
        <v>1980</v>
      </c>
      <c r="G364" s="8">
        <v>-0.0031</v>
      </c>
    </row>
    <row r="365" spans="1:7">
      <c r="A365" s="6">
        <v>45063</v>
      </c>
      <c r="B365" s="7">
        <v>2.509</v>
      </c>
      <c r="C365" s="7">
        <v>2.524</v>
      </c>
      <c r="D365" s="7">
        <v>2.586</v>
      </c>
      <c r="E365" s="7">
        <v>2.471</v>
      </c>
      <c r="F365" s="7" t="s">
        <v>1981</v>
      </c>
      <c r="G365" s="8">
        <v>-0.0099</v>
      </c>
    </row>
    <row r="366" spans="1:7">
      <c r="A366" s="6">
        <v>45064</v>
      </c>
      <c r="B366" s="7">
        <v>2.715</v>
      </c>
      <c r="C366" s="7">
        <v>2.519</v>
      </c>
      <c r="D366" s="7">
        <v>2.755</v>
      </c>
      <c r="E366" s="7">
        <v>2.488</v>
      </c>
      <c r="F366" s="7" t="s">
        <v>1982</v>
      </c>
      <c r="G366" s="8">
        <v>0.0821</v>
      </c>
    </row>
    <row r="367" spans="1:7">
      <c r="A367" s="6">
        <v>45065</v>
      </c>
      <c r="B367" s="7">
        <v>2.707</v>
      </c>
      <c r="C367" s="7">
        <v>2.735</v>
      </c>
      <c r="D367" s="7">
        <v>2.816</v>
      </c>
      <c r="E367" s="7">
        <v>2.682</v>
      </c>
      <c r="F367" s="7" t="s">
        <v>1983</v>
      </c>
      <c r="G367" s="8">
        <v>-0.0029</v>
      </c>
    </row>
    <row r="368" spans="1:7">
      <c r="A368" s="6">
        <v>45068</v>
      </c>
      <c r="B368" s="7">
        <v>2.551</v>
      </c>
      <c r="C368" s="7">
        <v>2.697</v>
      </c>
      <c r="D368" s="7">
        <v>2.707</v>
      </c>
      <c r="E368" s="7">
        <v>2.512</v>
      </c>
      <c r="F368" s="7" t="s">
        <v>1984</v>
      </c>
      <c r="G368" s="8">
        <v>-0.0576</v>
      </c>
    </row>
    <row r="369" spans="1:7">
      <c r="A369" s="6">
        <v>45069</v>
      </c>
      <c r="B369" s="7">
        <v>2.489</v>
      </c>
      <c r="C369" s="7">
        <v>2.55</v>
      </c>
      <c r="D369" s="7">
        <v>2.568</v>
      </c>
      <c r="E369" s="7">
        <v>2.484</v>
      </c>
      <c r="F369" s="7" t="s">
        <v>1985</v>
      </c>
      <c r="G369" s="8">
        <v>-0.0243</v>
      </c>
    </row>
    <row r="370" spans="1:7">
      <c r="A370" s="6">
        <v>45070</v>
      </c>
      <c r="B370" s="7">
        <v>2.566</v>
      </c>
      <c r="C370" s="7">
        <v>2.514</v>
      </c>
      <c r="D370" s="7">
        <v>2.575</v>
      </c>
      <c r="E370" s="7">
        <v>2.495</v>
      </c>
      <c r="F370" s="7" t="s">
        <v>1986</v>
      </c>
      <c r="G370" s="8">
        <v>0.0309</v>
      </c>
    </row>
    <row r="371" spans="1:7">
      <c r="A371" s="6">
        <v>45071</v>
      </c>
      <c r="B371" s="7">
        <v>2.476</v>
      </c>
      <c r="C371" s="7">
        <v>2.572</v>
      </c>
      <c r="D371" s="7">
        <v>2.607</v>
      </c>
      <c r="E371" s="7">
        <v>2.429</v>
      </c>
      <c r="F371" s="7" t="s">
        <v>1987</v>
      </c>
      <c r="G371" s="8">
        <v>-0.0351</v>
      </c>
    </row>
    <row r="372" spans="1:7">
      <c r="A372" s="6">
        <v>45072</v>
      </c>
      <c r="B372" s="7">
        <v>2.417</v>
      </c>
      <c r="C372" s="7">
        <v>2.463</v>
      </c>
      <c r="D372" s="7">
        <v>2.479</v>
      </c>
      <c r="E372" s="7">
        <v>2.381</v>
      </c>
      <c r="F372" s="7" t="s">
        <v>1988</v>
      </c>
      <c r="G372" s="8">
        <v>-0.0238</v>
      </c>
    </row>
    <row r="373" spans="1:7">
      <c r="A373" s="6">
        <v>45074</v>
      </c>
      <c r="B373" s="7">
        <v>2.435</v>
      </c>
      <c r="C373" s="7">
        <v>2.418</v>
      </c>
      <c r="D373" s="7">
        <v>2.441</v>
      </c>
      <c r="E373" s="7">
        <v>2.417</v>
      </c>
      <c r="G373" s="8">
        <v>0.0074</v>
      </c>
    </row>
    <row r="374" spans="1:7">
      <c r="A374" s="6">
        <v>45075</v>
      </c>
      <c r="B374" s="7">
        <v>2.349</v>
      </c>
      <c r="C374" s="7">
        <v>2.434</v>
      </c>
      <c r="D374" s="7">
        <v>2.447</v>
      </c>
      <c r="E374" s="7">
        <v>2.338</v>
      </c>
      <c r="G374" s="8">
        <v>-0.0353</v>
      </c>
    </row>
    <row r="375" spans="1:7">
      <c r="A375" s="6">
        <v>45076</v>
      </c>
      <c r="B375" s="7">
        <v>2.416</v>
      </c>
      <c r="C375" s="7">
        <v>2.502</v>
      </c>
      <c r="D375" s="7">
        <v>2.534</v>
      </c>
      <c r="E375" s="7">
        <v>2.35</v>
      </c>
      <c r="F375" s="7" t="s">
        <v>1989</v>
      </c>
      <c r="G375" s="8">
        <v>0.0285</v>
      </c>
    </row>
    <row r="376" spans="1:7">
      <c r="A376" s="6">
        <v>45077</v>
      </c>
      <c r="B376" s="7">
        <v>2.358</v>
      </c>
      <c r="C376" s="7">
        <v>2.395</v>
      </c>
      <c r="D376" s="7">
        <v>2.492</v>
      </c>
      <c r="E376" s="7">
        <v>2.34</v>
      </c>
      <c r="F376" s="7" t="s">
        <v>1990</v>
      </c>
      <c r="G376" s="8">
        <v>-0.024</v>
      </c>
    </row>
    <row r="377" spans="1:7">
      <c r="A377" s="6">
        <v>45078</v>
      </c>
      <c r="B377" s="7">
        <v>2.273</v>
      </c>
      <c r="C377" s="7">
        <v>2.349</v>
      </c>
      <c r="D377" s="7">
        <v>2.374</v>
      </c>
      <c r="E377" s="7">
        <v>2.244</v>
      </c>
      <c r="F377" s="7" t="s">
        <v>1991</v>
      </c>
      <c r="G377" s="8">
        <v>-0.036</v>
      </c>
    </row>
    <row r="378" spans="1:7">
      <c r="A378" s="6">
        <v>45079</v>
      </c>
      <c r="B378" s="7">
        <v>2.299</v>
      </c>
      <c r="C378" s="7">
        <v>2.28</v>
      </c>
      <c r="D378" s="7">
        <v>2.355</v>
      </c>
      <c r="E378" s="7">
        <v>2.258</v>
      </c>
      <c r="F378" s="7" t="s">
        <v>1992</v>
      </c>
      <c r="G378" s="8">
        <v>0.0114</v>
      </c>
    </row>
    <row r="379" spans="1:7">
      <c r="A379" s="6">
        <v>45082</v>
      </c>
      <c r="B379" s="7">
        <v>2.366</v>
      </c>
      <c r="C379" s="7">
        <v>2.309</v>
      </c>
      <c r="D379" s="7">
        <v>2.435</v>
      </c>
      <c r="E379" s="7">
        <v>2.3</v>
      </c>
      <c r="F379" s="7" t="s">
        <v>1993</v>
      </c>
      <c r="G379" s="8">
        <v>0.0291</v>
      </c>
    </row>
    <row r="380" spans="1:7">
      <c r="A380" s="6">
        <v>45083</v>
      </c>
      <c r="B380" s="7">
        <v>2.381</v>
      </c>
      <c r="C380" s="7">
        <v>2.391</v>
      </c>
      <c r="D380" s="7">
        <v>2.408</v>
      </c>
      <c r="E380" s="7">
        <v>2.294</v>
      </c>
      <c r="F380" s="7" t="s">
        <v>1994</v>
      </c>
      <c r="G380" s="8">
        <v>0.0063</v>
      </c>
    </row>
    <row r="381" spans="1:7">
      <c r="A381" s="6">
        <v>45084</v>
      </c>
      <c r="B381" s="7">
        <v>2.433</v>
      </c>
      <c r="C381" s="7">
        <v>2.381</v>
      </c>
      <c r="D381" s="7">
        <v>2.456</v>
      </c>
      <c r="E381" s="7">
        <v>2.369</v>
      </c>
      <c r="F381" s="7" t="s">
        <v>1995</v>
      </c>
      <c r="G381" s="8">
        <v>0.0218</v>
      </c>
    </row>
    <row r="382" spans="1:7">
      <c r="A382" s="6">
        <v>45085</v>
      </c>
      <c r="B382" s="7">
        <v>2.434</v>
      </c>
      <c r="C382" s="7">
        <v>2.431</v>
      </c>
      <c r="D382" s="7">
        <v>2.469</v>
      </c>
      <c r="E382" s="7">
        <v>2.368</v>
      </c>
      <c r="F382" s="7" t="s">
        <v>1996</v>
      </c>
      <c r="G382" s="8">
        <v>0.0004</v>
      </c>
    </row>
    <row r="383" spans="1:7">
      <c r="A383" s="6">
        <v>45086</v>
      </c>
      <c r="B383" s="7">
        <v>2.331</v>
      </c>
      <c r="C383" s="7">
        <v>2.402</v>
      </c>
      <c r="D383" s="7">
        <v>2.415</v>
      </c>
      <c r="E383" s="7">
        <v>2.325</v>
      </c>
      <c r="F383" s="7" t="s">
        <v>1997</v>
      </c>
      <c r="G383" s="8">
        <v>-0.0423</v>
      </c>
    </row>
    <row r="384" spans="1:7">
      <c r="A384" s="6">
        <v>45089</v>
      </c>
      <c r="B384" s="7">
        <v>2.336</v>
      </c>
      <c r="C384" s="7">
        <v>2.38</v>
      </c>
      <c r="D384" s="7">
        <v>2.401</v>
      </c>
      <c r="E384" s="7">
        <v>2.282</v>
      </c>
      <c r="F384" s="7" t="s">
        <v>1998</v>
      </c>
      <c r="G384" s="8">
        <v>0.0021</v>
      </c>
    </row>
    <row r="385" spans="1:7">
      <c r="A385" s="6">
        <v>45090</v>
      </c>
      <c r="B385" s="7">
        <v>2.407</v>
      </c>
      <c r="C385" s="7">
        <v>2.352</v>
      </c>
      <c r="D385" s="7">
        <v>2.433</v>
      </c>
      <c r="E385" s="7">
        <v>2.344</v>
      </c>
      <c r="F385" s="7" t="s">
        <v>1999</v>
      </c>
      <c r="G385" s="8">
        <v>0.0304</v>
      </c>
    </row>
    <row r="386" spans="1:7">
      <c r="A386" s="6">
        <v>45091</v>
      </c>
      <c r="B386" s="7">
        <v>2.413</v>
      </c>
      <c r="C386" s="7">
        <v>2.403</v>
      </c>
      <c r="D386" s="7">
        <v>2.455</v>
      </c>
      <c r="E386" s="7">
        <v>2.368</v>
      </c>
      <c r="F386" s="7" t="s">
        <v>522</v>
      </c>
      <c r="G386" s="8">
        <v>0.0025</v>
      </c>
    </row>
    <row r="387" spans="1:7">
      <c r="A387" s="6">
        <v>45092</v>
      </c>
      <c r="B387" s="7">
        <v>2.609</v>
      </c>
      <c r="C387" s="7">
        <v>2.424</v>
      </c>
      <c r="D387" s="7">
        <v>2.639</v>
      </c>
      <c r="E387" s="7">
        <v>2.394</v>
      </c>
      <c r="F387" s="7" t="s">
        <v>327</v>
      </c>
      <c r="G387" s="8">
        <v>0.0812</v>
      </c>
    </row>
    <row r="388" spans="1:7">
      <c r="A388" s="6">
        <v>45093</v>
      </c>
      <c r="B388" s="7">
        <v>2.721</v>
      </c>
      <c r="C388" s="7">
        <v>2.627</v>
      </c>
      <c r="D388" s="7">
        <v>2.733</v>
      </c>
      <c r="E388" s="7">
        <v>2.594</v>
      </c>
      <c r="F388" s="7" t="s">
        <v>2000</v>
      </c>
      <c r="G388" s="8">
        <v>0.0429</v>
      </c>
    </row>
    <row r="389" spans="1:7">
      <c r="A389" s="6">
        <v>45095</v>
      </c>
      <c r="B389" s="7">
        <v>2.602</v>
      </c>
      <c r="C389" s="7">
        <v>2.613</v>
      </c>
      <c r="D389" s="7">
        <v>2.623</v>
      </c>
      <c r="E389" s="7">
        <v>2.598</v>
      </c>
      <c r="G389" s="8">
        <v>-0.0437</v>
      </c>
    </row>
    <row r="390" spans="1:7">
      <c r="A390" s="6">
        <v>45096</v>
      </c>
      <c r="B390" s="7">
        <v>2.643</v>
      </c>
      <c r="C390" s="7">
        <v>2.604</v>
      </c>
      <c r="D390" s="7">
        <v>2.683</v>
      </c>
      <c r="E390" s="7">
        <v>2.569</v>
      </c>
      <c r="G390" s="8">
        <v>0.0158</v>
      </c>
    </row>
    <row r="391" spans="1:7">
      <c r="A391" s="6">
        <v>45097</v>
      </c>
      <c r="B391" s="7">
        <v>2.57</v>
      </c>
      <c r="C391" s="7">
        <v>2.72</v>
      </c>
      <c r="D391" s="7">
        <v>2.783</v>
      </c>
      <c r="E391" s="7">
        <v>2.562</v>
      </c>
      <c r="F391" s="7" t="s">
        <v>2001</v>
      </c>
      <c r="G391" s="8">
        <v>-0.0276</v>
      </c>
    </row>
    <row r="392" spans="1:7">
      <c r="A392" s="6">
        <v>45098</v>
      </c>
      <c r="B392" s="7">
        <v>2.677</v>
      </c>
      <c r="C392" s="7">
        <v>2.563</v>
      </c>
      <c r="D392" s="7">
        <v>2.684</v>
      </c>
      <c r="E392" s="7">
        <v>2.527</v>
      </c>
      <c r="F392" s="7" t="s">
        <v>2002</v>
      </c>
      <c r="G392" s="8">
        <v>0.0416</v>
      </c>
    </row>
    <row r="393" spans="1:7">
      <c r="A393" s="6">
        <v>45099</v>
      </c>
      <c r="B393" s="7">
        <v>2.704</v>
      </c>
      <c r="C393" s="7">
        <v>2.675</v>
      </c>
      <c r="D393" s="7">
        <v>2.714</v>
      </c>
      <c r="E393" s="7">
        <v>2.612</v>
      </c>
      <c r="F393" s="7" t="s">
        <v>2003</v>
      </c>
      <c r="G393" s="8">
        <v>0.0101</v>
      </c>
    </row>
    <row r="394" spans="1:7">
      <c r="A394" s="6">
        <v>45100</v>
      </c>
      <c r="B394" s="7">
        <v>2.843</v>
      </c>
      <c r="C394" s="7">
        <v>2.707</v>
      </c>
      <c r="D394" s="7">
        <v>2.852</v>
      </c>
      <c r="E394" s="7">
        <v>2.611</v>
      </c>
      <c r="F394" s="7" t="s">
        <v>2004</v>
      </c>
      <c r="G394" s="8">
        <v>0.0514</v>
      </c>
    </row>
    <row r="395" spans="1:7">
      <c r="A395" s="6">
        <v>45103</v>
      </c>
      <c r="B395" s="7">
        <v>2.892</v>
      </c>
      <c r="C395" s="7">
        <v>2.878</v>
      </c>
      <c r="D395" s="7">
        <v>2.936</v>
      </c>
      <c r="E395" s="7">
        <v>2.828</v>
      </c>
      <c r="F395" s="7" t="s">
        <v>2005</v>
      </c>
      <c r="G395" s="8">
        <v>0.0172</v>
      </c>
    </row>
    <row r="396" spans="1:7">
      <c r="A396" s="6">
        <v>45104</v>
      </c>
      <c r="B396" s="7">
        <v>2.789</v>
      </c>
      <c r="C396" s="7">
        <v>2.881</v>
      </c>
      <c r="D396" s="7">
        <v>2.895</v>
      </c>
      <c r="E396" s="7">
        <v>2.759</v>
      </c>
      <c r="F396" s="7" t="s">
        <v>2006</v>
      </c>
      <c r="G396" s="8">
        <v>-0.0356</v>
      </c>
    </row>
    <row r="397" spans="1:7">
      <c r="A397" s="6">
        <v>45105</v>
      </c>
      <c r="B397" s="7">
        <v>2.668</v>
      </c>
      <c r="C397" s="7">
        <v>2.807</v>
      </c>
      <c r="D397" s="7">
        <v>2.878</v>
      </c>
      <c r="E397" s="7">
        <v>2.647</v>
      </c>
      <c r="F397" s="7" t="s">
        <v>2007</v>
      </c>
      <c r="G397" s="8">
        <v>-0.0434</v>
      </c>
    </row>
    <row r="398" spans="1:7">
      <c r="A398" s="6">
        <v>45106</v>
      </c>
      <c r="B398" s="7">
        <v>2.691</v>
      </c>
      <c r="C398" s="7">
        <v>2.642</v>
      </c>
      <c r="D398" s="7">
        <v>2.734</v>
      </c>
      <c r="E398" s="7">
        <v>2.607</v>
      </c>
      <c r="F398" s="7" t="s">
        <v>2008</v>
      </c>
      <c r="G398" s="8">
        <v>0.0086</v>
      </c>
    </row>
    <row r="399" spans="1:7">
      <c r="A399" s="6">
        <v>45107</v>
      </c>
      <c r="B399" s="7">
        <v>2.774</v>
      </c>
      <c r="C399" s="7">
        <v>2.664</v>
      </c>
      <c r="D399" s="7">
        <v>2.801</v>
      </c>
      <c r="E399" s="7">
        <v>2.629</v>
      </c>
      <c r="F399" s="7" t="s">
        <v>2009</v>
      </c>
      <c r="G399" s="8">
        <v>0.0308</v>
      </c>
    </row>
    <row r="400" spans="1:7">
      <c r="A400" s="6">
        <v>45110</v>
      </c>
      <c r="B400" s="7">
        <v>2.702</v>
      </c>
      <c r="C400" s="7">
        <v>2.71</v>
      </c>
      <c r="D400" s="7">
        <v>2.728</v>
      </c>
      <c r="E400" s="7">
        <v>2.661</v>
      </c>
      <c r="F400" s="7" t="s">
        <v>2010</v>
      </c>
      <c r="G400" s="8">
        <v>-0.026</v>
      </c>
    </row>
    <row r="401" spans="1:7">
      <c r="A401" s="6">
        <v>45111</v>
      </c>
      <c r="B401" s="7">
        <v>2.751</v>
      </c>
      <c r="C401" s="7">
        <v>2.689</v>
      </c>
      <c r="D401" s="7">
        <v>2.758</v>
      </c>
      <c r="E401" s="7">
        <v>2.662</v>
      </c>
      <c r="G401" s="8">
        <v>0.0181</v>
      </c>
    </row>
    <row r="402" spans="1:7">
      <c r="A402" s="6">
        <v>45112</v>
      </c>
      <c r="B402" s="7">
        <v>2.643</v>
      </c>
      <c r="C402" s="7">
        <v>2.694</v>
      </c>
      <c r="D402" s="7">
        <v>2.78</v>
      </c>
      <c r="E402" s="7">
        <v>2.63</v>
      </c>
      <c r="F402" s="7" t="s">
        <v>2011</v>
      </c>
      <c r="G402" s="8">
        <v>-0.0393</v>
      </c>
    </row>
    <row r="403" spans="1:7">
      <c r="A403" s="6">
        <v>45113</v>
      </c>
      <c r="B403" s="7">
        <v>2.599</v>
      </c>
      <c r="C403" s="7">
        <v>2.637</v>
      </c>
      <c r="D403" s="7">
        <v>2.678</v>
      </c>
      <c r="E403" s="7">
        <v>2.579</v>
      </c>
      <c r="F403" s="7" t="s">
        <v>2012</v>
      </c>
      <c r="G403" s="8">
        <v>-0.0166</v>
      </c>
    </row>
    <row r="404" spans="1:7">
      <c r="A404" s="6">
        <v>45114</v>
      </c>
      <c r="B404" s="7">
        <v>2.57</v>
      </c>
      <c r="C404" s="7">
        <v>2.623</v>
      </c>
      <c r="D404" s="7">
        <v>2.665</v>
      </c>
      <c r="E404" s="7">
        <v>2.526</v>
      </c>
      <c r="F404" s="7" t="s">
        <v>2013</v>
      </c>
      <c r="G404" s="8">
        <v>-0.0112</v>
      </c>
    </row>
    <row r="405" spans="1:7">
      <c r="A405" s="6">
        <v>45117</v>
      </c>
      <c r="B405" s="7">
        <v>2.641</v>
      </c>
      <c r="C405" s="7">
        <v>2.566</v>
      </c>
      <c r="D405" s="7">
        <v>2.671</v>
      </c>
      <c r="E405" s="7">
        <v>2.562</v>
      </c>
      <c r="F405" s="7" t="s">
        <v>2014</v>
      </c>
      <c r="G405" s="8">
        <v>0.0276</v>
      </c>
    </row>
    <row r="406" spans="1:7">
      <c r="A406" s="6">
        <v>45118</v>
      </c>
      <c r="B406" s="7">
        <v>2.692</v>
      </c>
      <c r="C406" s="7">
        <v>2.639</v>
      </c>
      <c r="D406" s="7">
        <v>2.716</v>
      </c>
      <c r="E406" s="7">
        <v>2.606</v>
      </c>
      <c r="F406" s="7" t="s">
        <v>2015</v>
      </c>
      <c r="G406" s="8">
        <v>0.0193</v>
      </c>
    </row>
    <row r="407" spans="1:7">
      <c r="A407" s="6">
        <v>45119</v>
      </c>
      <c r="B407" s="7">
        <v>2.597</v>
      </c>
      <c r="C407" s="7">
        <v>2.697</v>
      </c>
      <c r="D407" s="7">
        <v>2.712</v>
      </c>
      <c r="E407" s="7">
        <v>2.586</v>
      </c>
      <c r="F407" s="7" t="s">
        <v>2016</v>
      </c>
      <c r="G407" s="8">
        <v>-0.0353</v>
      </c>
    </row>
    <row r="408" spans="1:7">
      <c r="A408" s="6">
        <v>45120</v>
      </c>
      <c r="B408" s="7">
        <v>2.534</v>
      </c>
      <c r="C408" s="7">
        <v>2.622</v>
      </c>
      <c r="D408" s="7">
        <v>2.631</v>
      </c>
      <c r="E408" s="7">
        <v>2.528</v>
      </c>
      <c r="F408" s="7" t="s">
        <v>2017</v>
      </c>
      <c r="G408" s="8">
        <v>-0.0243</v>
      </c>
    </row>
    <row r="409" spans="1:7">
      <c r="A409" s="6">
        <v>45121</v>
      </c>
      <c r="B409" s="7">
        <v>2.53</v>
      </c>
      <c r="C409" s="7">
        <v>2.545</v>
      </c>
      <c r="D409" s="7">
        <v>2.592</v>
      </c>
      <c r="E409" s="7">
        <v>2.487</v>
      </c>
      <c r="F409" s="7" t="s">
        <v>2018</v>
      </c>
      <c r="G409" s="8">
        <v>-0.0016</v>
      </c>
    </row>
    <row r="410" spans="1:7">
      <c r="A410" s="6">
        <v>45124</v>
      </c>
      <c r="B410" s="7">
        <v>2.504</v>
      </c>
      <c r="C410" s="7">
        <v>2.541</v>
      </c>
      <c r="D410" s="7">
        <v>2.569</v>
      </c>
      <c r="E410" s="7">
        <v>2.477</v>
      </c>
      <c r="F410" s="7" t="s">
        <v>2019</v>
      </c>
      <c r="G410" s="8">
        <v>-0.0103</v>
      </c>
    </row>
    <row r="411" spans="1:7">
      <c r="A411" s="6">
        <v>45125</v>
      </c>
      <c r="B411" s="7">
        <v>2.618</v>
      </c>
      <c r="C411" s="7">
        <v>2.529</v>
      </c>
      <c r="D411" s="7">
        <v>2.634</v>
      </c>
      <c r="E411" s="7">
        <v>2.522</v>
      </c>
      <c r="F411" s="7" t="s">
        <v>2020</v>
      </c>
      <c r="G411" s="8">
        <v>0.0455</v>
      </c>
    </row>
    <row r="412" spans="1:7">
      <c r="A412" s="6">
        <v>45126</v>
      </c>
      <c r="B412" s="7">
        <v>2.585</v>
      </c>
      <c r="C412" s="7">
        <v>2.612</v>
      </c>
      <c r="D412" s="7">
        <v>2.642</v>
      </c>
      <c r="E412" s="7">
        <v>2.57</v>
      </c>
      <c r="F412" s="7" t="s">
        <v>2021</v>
      </c>
      <c r="G412" s="8">
        <v>-0.0126</v>
      </c>
    </row>
    <row r="413" spans="1:7">
      <c r="A413" s="6">
        <v>45127</v>
      </c>
      <c r="B413" s="7">
        <v>2.731</v>
      </c>
      <c r="C413" s="7">
        <v>2.611</v>
      </c>
      <c r="D413" s="7">
        <v>2.759</v>
      </c>
      <c r="E413" s="7">
        <v>2.599</v>
      </c>
      <c r="F413" s="7" t="s">
        <v>2022</v>
      </c>
      <c r="G413" s="8">
        <v>0.0565</v>
      </c>
    </row>
    <row r="414" spans="1:7">
      <c r="A414" s="6">
        <v>45128</v>
      </c>
      <c r="B414" s="7">
        <v>2.707</v>
      </c>
      <c r="C414" s="7">
        <v>2.718</v>
      </c>
      <c r="D414" s="7">
        <v>2.759</v>
      </c>
      <c r="E414" s="7">
        <v>2.684</v>
      </c>
      <c r="F414" s="7" t="s">
        <v>2023</v>
      </c>
      <c r="G414" s="8">
        <v>-0.0088</v>
      </c>
    </row>
    <row r="415" spans="1:7">
      <c r="A415" s="6">
        <v>45131</v>
      </c>
      <c r="B415" s="7">
        <v>2.688</v>
      </c>
      <c r="C415" s="7">
        <v>2.713</v>
      </c>
      <c r="D415" s="7">
        <v>2.762</v>
      </c>
      <c r="E415" s="7">
        <v>2.661</v>
      </c>
      <c r="F415" s="7" t="s">
        <v>2024</v>
      </c>
      <c r="G415" s="8">
        <v>-0.007</v>
      </c>
    </row>
    <row r="416" spans="1:7">
      <c r="A416" s="6">
        <v>45132</v>
      </c>
      <c r="B416" s="7">
        <v>2.747</v>
      </c>
      <c r="C416" s="7">
        <v>2.707</v>
      </c>
      <c r="D416" s="7">
        <v>2.771</v>
      </c>
      <c r="E416" s="7">
        <v>2.672</v>
      </c>
      <c r="F416" s="7" t="s">
        <v>2025</v>
      </c>
      <c r="G416" s="8">
        <v>0.0219</v>
      </c>
    </row>
    <row r="417" spans="1:7">
      <c r="A417" s="6">
        <v>45133</v>
      </c>
      <c r="B417" s="7">
        <v>2.693</v>
      </c>
      <c r="C417" s="7">
        <v>2.734</v>
      </c>
      <c r="D417" s="7">
        <v>2.759</v>
      </c>
      <c r="E417" s="7">
        <v>2.65</v>
      </c>
      <c r="F417" s="7" t="s">
        <v>2026</v>
      </c>
      <c r="G417" s="8">
        <v>-0.0197</v>
      </c>
    </row>
    <row r="418" spans="1:7">
      <c r="A418" s="6">
        <v>45134</v>
      </c>
      <c r="B418" s="7">
        <v>2.595</v>
      </c>
      <c r="C418" s="7">
        <v>2.684</v>
      </c>
      <c r="D418" s="7">
        <v>2.691</v>
      </c>
      <c r="E418" s="7">
        <v>2.551</v>
      </c>
      <c r="F418" s="7" t="s">
        <v>2027</v>
      </c>
      <c r="G418" s="8">
        <v>-0.0364</v>
      </c>
    </row>
    <row r="419" spans="1:7">
      <c r="A419" s="6">
        <v>45135</v>
      </c>
      <c r="B419" s="7">
        <v>2.753</v>
      </c>
      <c r="C419" s="7">
        <v>2.717</v>
      </c>
      <c r="D419" s="7">
        <v>2.801</v>
      </c>
      <c r="E419" s="7">
        <v>2.682</v>
      </c>
      <c r="F419" s="7" t="s">
        <v>2028</v>
      </c>
      <c r="G419" s="8">
        <v>0.0609</v>
      </c>
    </row>
    <row r="420" spans="1:7">
      <c r="A420" s="6">
        <v>45138</v>
      </c>
      <c r="B420" s="7">
        <v>2.741</v>
      </c>
      <c r="C420" s="7">
        <v>2.768</v>
      </c>
      <c r="D420" s="7">
        <v>2.804</v>
      </c>
      <c r="E420" s="7">
        <v>2.72</v>
      </c>
      <c r="F420" s="7" t="s">
        <v>1797</v>
      </c>
      <c r="G420" s="8">
        <v>-0.0044</v>
      </c>
    </row>
    <row r="421" spans="1:7">
      <c r="A421" s="6">
        <v>45139</v>
      </c>
      <c r="B421" s="7">
        <v>2.672</v>
      </c>
      <c r="C421" s="7">
        <v>2.747</v>
      </c>
      <c r="D421" s="7">
        <v>2.778</v>
      </c>
      <c r="E421" s="7">
        <v>2.644</v>
      </c>
      <c r="F421" s="7" t="s">
        <v>2029</v>
      </c>
      <c r="G421" s="8">
        <v>-0.0252</v>
      </c>
    </row>
    <row r="422" spans="1:7">
      <c r="A422" s="6">
        <v>45140</v>
      </c>
      <c r="B422" s="7">
        <v>2.586</v>
      </c>
      <c r="C422" s="7">
        <v>2.689</v>
      </c>
      <c r="D422" s="7">
        <v>2.69</v>
      </c>
      <c r="E422" s="7">
        <v>2.57</v>
      </c>
      <c r="F422" s="7" t="s">
        <v>2030</v>
      </c>
      <c r="G422" s="8">
        <v>-0.0322</v>
      </c>
    </row>
    <row r="423" spans="1:7">
      <c r="A423" s="6">
        <v>45141</v>
      </c>
      <c r="B423" s="7">
        <v>2.67</v>
      </c>
      <c r="C423" s="7">
        <v>2.592</v>
      </c>
      <c r="D423" s="7">
        <v>2.685</v>
      </c>
      <c r="E423" s="7">
        <v>2.58</v>
      </c>
      <c r="F423" s="7" t="s">
        <v>2031</v>
      </c>
      <c r="G423" s="8">
        <v>0.0325</v>
      </c>
    </row>
    <row r="424" spans="1:7">
      <c r="A424" s="6">
        <v>45142</v>
      </c>
      <c r="B424" s="7">
        <v>2.681</v>
      </c>
      <c r="C424" s="7">
        <v>2.658</v>
      </c>
      <c r="D424" s="7">
        <v>2.72</v>
      </c>
      <c r="E424" s="7">
        <v>2.635</v>
      </c>
      <c r="F424" s="7" t="s">
        <v>2032</v>
      </c>
      <c r="G424" s="8">
        <v>0.0041</v>
      </c>
    </row>
    <row r="425" spans="1:7">
      <c r="A425" s="6">
        <v>45145</v>
      </c>
      <c r="B425" s="7">
        <v>2.813</v>
      </c>
      <c r="C425" s="7">
        <v>2.681</v>
      </c>
      <c r="D425" s="7">
        <v>2.844</v>
      </c>
      <c r="E425" s="7">
        <v>2.674</v>
      </c>
      <c r="F425" s="7" t="s">
        <v>2033</v>
      </c>
      <c r="G425" s="8">
        <v>0.0492</v>
      </c>
    </row>
    <row r="426" spans="1:7">
      <c r="A426" s="6">
        <v>45146</v>
      </c>
      <c r="B426" s="7">
        <v>2.864</v>
      </c>
      <c r="C426" s="7">
        <v>2.828</v>
      </c>
      <c r="D426" s="7">
        <v>2.886</v>
      </c>
      <c r="E426" s="7">
        <v>2.783</v>
      </c>
      <c r="F426" s="7" t="s">
        <v>2034</v>
      </c>
      <c r="G426" s="8">
        <v>0.0181</v>
      </c>
    </row>
    <row r="427" spans="1:7">
      <c r="A427" s="6">
        <v>45147</v>
      </c>
      <c r="B427" s="7">
        <v>3.053</v>
      </c>
      <c r="C427" s="7">
        <v>2.883</v>
      </c>
      <c r="D427" s="7">
        <v>3.096</v>
      </c>
      <c r="E427" s="7">
        <v>2.855</v>
      </c>
      <c r="F427" s="7" t="s">
        <v>2035</v>
      </c>
      <c r="G427" s="8">
        <v>0.066</v>
      </c>
    </row>
    <row r="428" spans="1:7">
      <c r="A428" s="6">
        <v>45148</v>
      </c>
      <c r="B428" s="7">
        <v>2.87</v>
      </c>
      <c r="C428" s="7">
        <v>3.062</v>
      </c>
      <c r="D428" s="7">
        <v>3.089</v>
      </c>
      <c r="E428" s="7">
        <v>2.857</v>
      </c>
      <c r="F428" s="7" t="s">
        <v>2036</v>
      </c>
      <c r="G428" s="8">
        <v>-0.0599</v>
      </c>
    </row>
    <row r="429" spans="1:7">
      <c r="A429" s="6">
        <v>45149</v>
      </c>
      <c r="B429" s="7">
        <v>2.882</v>
      </c>
      <c r="C429" s="7">
        <v>2.89</v>
      </c>
      <c r="D429" s="7">
        <v>2.939</v>
      </c>
      <c r="E429" s="7">
        <v>2.817</v>
      </c>
      <c r="F429" s="7" t="s">
        <v>2037</v>
      </c>
      <c r="G429" s="8">
        <v>0.0042</v>
      </c>
    </row>
    <row r="430" spans="1:7">
      <c r="A430" s="6">
        <v>45152</v>
      </c>
      <c r="B430" s="7">
        <v>2.898</v>
      </c>
      <c r="C430" s="7">
        <v>2.897</v>
      </c>
      <c r="D430" s="7">
        <v>2.932</v>
      </c>
      <c r="E430" s="7">
        <v>2.851</v>
      </c>
      <c r="F430" s="7" t="s">
        <v>2038</v>
      </c>
      <c r="G430" s="8">
        <v>0.0056</v>
      </c>
    </row>
    <row r="431" spans="1:7">
      <c r="A431" s="6">
        <v>45153</v>
      </c>
      <c r="B431" s="7">
        <v>2.781</v>
      </c>
      <c r="C431" s="7">
        <v>2.913</v>
      </c>
      <c r="D431" s="7">
        <v>2.961</v>
      </c>
      <c r="E431" s="7">
        <v>2.765</v>
      </c>
      <c r="F431" s="7" t="s">
        <v>2039</v>
      </c>
      <c r="G431" s="8">
        <v>-0.0404</v>
      </c>
    </row>
    <row r="432" spans="1:7">
      <c r="A432" s="6">
        <v>45154</v>
      </c>
      <c r="B432" s="7">
        <v>2.726</v>
      </c>
      <c r="C432" s="7">
        <v>2.78</v>
      </c>
      <c r="D432" s="7">
        <v>2.797</v>
      </c>
      <c r="E432" s="7">
        <v>2.705</v>
      </c>
      <c r="F432" s="7" t="s">
        <v>2040</v>
      </c>
      <c r="G432" s="8">
        <v>-0.0198</v>
      </c>
    </row>
    <row r="433" spans="1:7">
      <c r="A433" s="6">
        <v>45155</v>
      </c>
      <c r="B433" s="7">
        <v>2.755</v>
      </c>
      <c r="C433" s="7">
        <v>2.742</v>
      </c>
      <c r="D433" s="7">
        <v>2.795</v>
      </c>
      <c r="E433" s="7">
        <v>2.715</v>
      </c>
      <c r="F433" s="7" t="s">
        <v>2041</v>
      </c>
      <c r="G433" s="8">
        <v>0.0106</v>
      </c>
    </row>
    <row r="434" spans="1:7">
      <c r="A434" s="6">
        <v>45156</v>
      </c>
      <c r="B434" s="7">
        <v>2.691</v>
      </c>
      <c r="C434" s="7">
        <v>2.763</v>
      </c>
      <c r="D434" s="7">
        <v>2.774</v>
      </c>
      <c r="E434" s="7">
        <v>2.663</v>
      </c>
      <c r="F434" s="7" t="s">
        <v>1956</v>
      </c>
      <c r="G434" s="8">
        <v>-0.0232</v>
      </c>
    </row>
    <row r="435" spans="1:7">
      <c r="A435" s="6">
        <v>45159</v>
      </c>
      <c r="B435" s="7">
        <v>2.743</v>
      </c>
      <c r="C435" s="7">
        <v>2.71</v>
      </c>
      <c r="D435" s="7">
        <v>2.797</v>
      </c>
      <c r="E435" s="7">
        <v>2.685</v>
      </c>
      <c r="F435" s="7" t="s">
        <v>2042</v>
      </c>
      <c r="G435" s="8">
        <v>0.0193</v>
      </c>
    </row>
    <row r="436" spans="1:7">
      <c r="A436" s="6">
        <v>45160</v>
      </c>
      <c r="B436" s="7">
        <v>2.652</v>
      </c>
      <c r="C436" s="7">
        <v>2.732</v>
      </c>
      <c r="D436" s="7">
        <v>2.737</v>
      </c>
      <c r="E436" s="7">
        <v>2.632</v>
      </c>
      <c r="F436" s="7" t="s">
        <v>2043</v>
      </c>
      <c r="G436" s="8">
        <v>-0.0332</v>
      </c>
    </row>
    <row r="437" spans="1:7">
      <c r="A437" s="6">
        <v>45161</v>
      </c>
      <c r="B437" s="7">
        <v>2.592</v>
      </c>
      <c r="C437" s="7">
        <v>2.654</v>
      </c>
      <c r="D437" s="7">
        <v>2.673</v>
      </c>
      <c r="E437" s="7">
        <v>2.57</v>
      </c>
      <c r="F437" s="7" t="s">
        <v>2044</v>
      </c>
      <c r="G437" s="8">
        <v>-0.0226</v>
      </c>
    </row>
    <row r="438" spans="1:7">
      <c r="A438" s="6">
        <v>45162</v>
      </c>
      <c r="B438" s="7">
        <v>2.636</v>
      </c>
      <c r="C438" s="7">
        <v>2.583</v>
      </c>
      <c r="D438" s="7">
        <v>2.68</v>
      </c>
      <c r="E438" s="7">
        <v>2.529</v>
      </c>
      <c r="F438" s="7" t="s">
        <v>2045</v>
      </c>
      <c r="G438" s="8">
        <v>0.017</v>
      </c>
    </row>
    <row r="439" spans="1:7">
      <c r="A439" s="6">
        <v>45163</v>
      </c>
      <c r="B439" s="7">
        <v>2.657</v>
      </c>
      <c r="C439" s="7">
        <v>2.631</v>
      </c>
      <c r="D439" s="7">
        <v>2.679</v>
      </c>
      <c r="E439" s="7">
        <v>2.585</v>
      </c>
      <c r="F439" s="7" t="s">
        <v>2046</v>
      </c>
      <c r="G439" s="8">
        <v>0.008</v>
      </c>
    </row>
    <row r="440" spans="1:7">
      <c r="A440" s="6">
        <v>45166</v>
      </c>
      <c r="B440" s="7">
        <v>2.665</v>
      </c>
      <c r="C440" s="7">
        <v>2.74</v>
      </c>
      <c r="D440" s="7">
        <v>2.829</v>
      </c>
      <c r="E440" s="7">
        <v>2.653</v>
      </c>
      <c r="F440" s="7" t="s">
        <v>2047</v>
      </c>
      <c r="G440" s="8">
        <v>0.003</v>
      </c>
    </row>
    <row r="441" spans="1:7">
      <c r="A441" s="6">
        <v>45167</v>
      </c>
      <c r="B441" s="7">
        <v>2.662</v>
      </c>
      <c r="C441" s="7">
        <v>2.685</v>
      </c>
      <c r="D441" s="7">
        <v>2.699</v>
      </c>
      <c r="E441" s="7">
        <v>2.622</v>
      </c>
      <c r="F441" s="7" t="s">
        <v>2048</v>
      </c>
      <c r="G441" s="8">
        <v>-0.0011</v>
      </c>
    </row>
    <row r="442" spans="1:7">
      <c r="A442" s="6">
        <v>45168</v>
      </c>
      <c r="B442" s="7">
        <v>3.181</v>
      </c>
      <c r="C442" s="7">
        <v>3.083</v>
      </c>
      <c r="D442" s="7">
        <v>3.196</v>
      </c>
      <c r="E442" s="7">
        <v>3.039</v>
      </c>
      <c r="F442" s="7" t="s">
        <v>2049</v>
      </c>
      <c r="G442" s="8">
        <v>0.195</v>
      </c>
    </row>
    <row r="443" spans="1:7">
      <c r="A443" s="6">
        <v>45169</v>
      </c>
      <c r="B443" s="7">
        <v>3.147</v>
      </c>
      <c r="C443" s="7">
        <v>3.191</v>
      </c>
      <c r="D443" s="7">
        <v>3.242</v>
      </c>
      <c r="E443" s="7">
        <v>3.117</v>
      </c>
      <c r="F443" s="7" t="s">
        <v>2050</v>
      </c>
      <c r="G443" s="8">
        <v>-0.0107</v>
      </c>
    </row>
    <row r="444" spans="1:7">
      <c r="A444" s="6">
        <v>45170</v>
      </c>
      <c r="B444" s="7">
        <v>3.111</v>
      </c>
      <c r="C444" s="7">
        <v>3.136</v>
      </c>
      <c r="D444" s="7">
        <v>3.213</v>
      </c>
      <c r="E444" s="7">
        <v>3.096</v>
      </c>
      <c r="F444" s="7" t="s">
        <v>2051</v>
      </c>
      <c r="G444" s="8">
        <v>-0.0114</v>
      </c>
    </row>
    <row r="445" spans="1:7">
      <c r="A445" s="6">
        <v>45172</v>
      </c>
      <c r="B445" s="7">
        <v>2.671</v>
      </c>
      <c r="C445" s="7">
        <v>2.692</v>
      </c>
      <c r="D445" s="7">
        <v>2.694</v>
      </c>
      <c r="E445" s="7">
        <v>2.652</v>
      </c>
      <c r="G445" s="8">
        <v>-0.1414</v>
      </c>
    </row>
    <row r="446" spans="1:7">
      <c r="A446" s="6">
        <v>45173</v>
      </c>
      <c r="B446" s="7">
        <v>2.647</v>
      </c>
      <c r="C446" s="7">
        <v>2.671</v>
      </c>
      <c r="D446" s="7">
        <v>2.708</v>
      </c>
      <c r="E446" s="7">
        <v>2.642</v>
      </c>
      <c r="G446" s="8">
        <v>-0.009</v>
      </c>
    </row>
    <row r="447" spans="1:7">
      <c r="A447" s="6">
        <v>45174</v>
      </c>
      <c r="B447" s="7">
        <v>2.991</v>
      </c>
      <c r="C447" s="7">
        <v>3.05</v>
      </c>
      <c r="D447" s="7">
        <v>3.075</v>
      </c>
      <c r="E447" s="7">
        <v>2.976</v>
      </c>
      <c r="F447" s="7" t="s">
        <v>2052</v>
      </c>
      <c r="G447" s="8">
        <v>0.13</v>
      </c>
    </row>
    <row r="448" spans="1:7">
      <c r="A448" s="6">
        <v>45175</v>
      </c>
      <c r="B448" s="7">
        <v>2.943</v>
      </c>
      <c r="C448" s="7">
        <v>2.994</v>
      </c>
      <c r="D448" s="7">
        <v>3.018</v>
      </c>
      <c r="E448" s="7">
        <v>2.92</v>
      </c>
      <c r="F448" s="7" t="s">
        <v>2053</v>
      </c>
      <c r="G448" s="8">
        <v>-0.016</v>
      </c>
    </row>
    <row r="449" spans="1:7">
      <c r="A449" s="6">
        <v>45176</v>
      </c>
      <c r="B449" s="7">
        <v>2.958</v>
      </c>
      <c r="C449" s="7">
        <v>2.945</v>
      </c>
      <c r="D449" s="7">
        <v>3.004</v>
      </c>
      <c r="E449" s="7">
        <v>2.901</v>
      </c>
      <c r="F449" s="7" t="s">
        <v>2054</v>
      </c>
      <c r="G449" s="8">
        <v>0.0051</v>
      </c>
    </row>
    <row r="450" spans="1:7">
      <c r="A450" s="6">
        <v>45177</v>
      </c>
      <c r="B450" s="7">
        <v>2.966</v>
      </c>
      <c r="C450" s="7">
        <v>2.946</v>
      </c>
      <c r="D450" s="7">
        <v>3.025</v>
      </c>
      <c r="E450" s="7">
        <v>2.942</v>
      </c>
      <c r="F450" s="7" t="s">
        <v>2055</v>
      </c>
      <c r="G450" s="8">
        <v>0.0027</v>
      </c>
    </row>
    <row r="451" spans="1:7">
      <c r="A451" s="6">
        <v>45180</v>
      </c>
      <c r="B451" s="7">
        <v>2.937</v>
      </c>
      <c r="C451" s="7">
        <v>2.971</v>
      </c>
      <c r="D451" s="7">
        <v>2.973</v>
      </c>
      <c r="E451" s="7">
        <v>2.909</v>
      </c>
      <c r="F451" s="7" t="s">
        <v>2056</v>
      </c>
      <c r="G451" s="8">
        <v>-0.0098</v>
      </c>
    </row>
    <row r="452" spans="1:7">
      <c r="A452" s="6">
        <v>45181</v>
      </c>
      <c r="B452" s="7">
        <v>3.015</v>
      </c>
      <c r="C452" s="7">
        <v>2.949</v>
      </c>
      <c r="D452" s="7">
        <v>3.061</v>
      </c>
      <c r="E452" s="7">
        <v>2.93</v>
      </c>
      <c r="F452" s="7" t="s">
        <v>2057</v>
      </c>
      <c r="G452" s="8">
        <v>0.0266</v>
      </c>
    </row>
    <row r="453" spans="1:7">
      <c r="A453" s="6">
        <v>45182</v>
      </c>
      <c r="B453" s="7">
        <v>2.987</v>
      </c>
      <c r="C453" s="7">
        <v>3.019</v>
      </c>
      <c r="D453" s="7">
        <v>3.042</v>
      </c>
      <c r="E453" s="7">
        <v>2.953</v>
      </c>
      <c r="F453" s="7" t="s">
        <v>2058</v>
      </c>
      <c r="G453" s="8">
        <v>-0.0093</v>
      </c>
    </row>
    <row r="454" spans="1:7">
      <c r="A454" s="6">
        <v>45183</v>
      </c>
      <c r="B454" s="7">
        <v>2.983</v>
      </c>
      <c r="C454" s="7">
        <v>3.005</v>
      </c>
      <c r="D454" s="7">
        <v>3.088</v>
      </c>
      <c r="E454" s="7">
        <v>2.975</v>
      </c>
      <c r="F454" s="7" t="s">
        <v>2059</v>
      </c>
      <c r="G454" s="8">
        <v>-0.0013</v>
      </c>
    </row>
    <row r="455" spans="1:7">
      <c r="A455" s="6">
        <v>45184</v>
      </c>
      <c r="B455" s="7">
        <v>2.932</v>
      </c>
      <c r="C455" s="7">
        <v>2.987</v>
      </c>
      <c r="D455" s="7">
        <v>2.997</v>
      </c>
      <c r="E455" s="7">
        <v>2.927</v>
      </c>
      <c r="F455" s="7" t="s">
        <v>2060</v>
      </c>
      <c r="G455" s="8">
        <v>-0.0171</v>
      </c>
    </row>
    <row r="456" spans="1:7">
      <c r="A456" s="6">
        <v>45187</v>
      </c>
      <c r="B456" s="7">
        <v>3.001</v>
      </c>
      <c r="C456" s="7">
        <v>2.918</v>
      </c>
      <c r="D456" s="7">
        <v>3.009</v>
      </c>
      <c r="E456" s="7">
        <v>2.878</v>
      </c>
      <c r="F456" s="7" t="s">
        <v>2061</v>
      </c>
      <c r="G456" s="8">
        <v>0.0235</v>
      </c>
    </row>
    <row r="457" spans="1:7">
      <c r="A457" s="6">
        <v>45188</v>
      </c>
      <c r="B457" s="7">
        <v>3.026</v>
      </c>
      <c r="C457" s="7">
        <v>2.994</v>
      </c>
      <c r="D457" s="7">
        <v>3.072</v>
      </c>
      <c r="E457" s="7">
        <v>2.975</v>
      </c>
      <c r="F457" s="7" t="s">
        <v>2062</v>
      </c>
      <c r="G457" s="8">
        <v>0.0083</v>
      </c>
    </row>
    <row r="458" spans="1:7">
      <c r="A458" s="6">
        <v>45189</v>
      </c>
      <c r="B458" s="7">
        <v>2.921</v>
      </c>
      <c r="C458" s="7">
        <v>3.009</v>
      </c>
      <c r="D458" s="7">
        <v>3.016</v>
      </c>
      <c r="E458" s="7">
        <v>2.901</v>
      </c>
      <c r="F458" s="7" t="s">
        <v>2063</v>
      </c>
      <c r="G458" s="8">
        <v>-0.0347</v>
      </c>
    </row>
    <row r="459" spans="1:7">
      <c r="A459" s="6">
        <v>45190</v>
      </c>
      <c r="B459" s="7">
        <v>2.84</v>
      </c>
      <c r="C459" s="7">
        <v>2.925</v>
      </c>
      <c r="D459" s="7">
        <v>2.963</v>
      </c>
      <c r="E459" s="7">
        <v>2.832</v>
      </c>
      <c r="F459" s="7" t="s">
        <v>93</v>
      </c>
      <c r="G459" s="8">
        <v>-0.0277</v>
      </c>
    </row>
    <row r="460" spans="1:7">
      <c r="A460" s="6">
        <v>45191</v>
      </c>
      <c r="B460" s="7">
        <v>2.879</v>
      </c>
      <c r="C460" s="7">
        <v>2.844</v>
      </c>
      <c r="D460" s="7">
        <v>2.912</v>
      </c>
      <c r="E460" s="7">
        <v>2.834</v>
      </c>
      <c r="F460" s="7" t="s">
        <v>2064</v>
      </c>
      <c r="G460" s="8">
        <v>0.0137</v>
      </c>
    </row>
    <row r="461" spans="1:7">
      <c r="A461" s="6">
        <v>45194</v>
      </c>
      <c r="B461" s="7">
        <v>2.906</v>
      </c>
      <c r="C461" s="7">
        <v>2.889</v>
      </c>
      <c r="D461" s="7">
        <v>2.937</v>
      </c>
      <c r="E461" s="7">
        <v>2.862</v>
      </c>
      <c r="F461" s="7" t="s">
        <v>2065</v>
      </c>
      <c r="G461" s="8">
        <v>0.0094</v>
      </c>
    </row>
    <row r="462" spans="1:7">
      <c r="A462" s="6">
        <v>45195</v>
      </c>
      <c r="B462" s="7">
        <v>2.845</v>
      </c>
      <c r="C462" s="7">
        <v>2.904</v>
      </c>
      <c r="D462" s="7">
        <v>2.906</v>
      </c>
      <c r="E462" s="7">
        <v>2.796</v>
      </c>
      <c r="F462" s="7" t="s">
        <v>1508</v>
      </c>
      <c r="G462" s="8">
        <v>-0.021</v>
      </c>
    </row>
    <row r="463" spans="1:7">
      <c r="A463" s="6">
        <v>45196</v>
      </c>
      <c r="B463" s="7">
        <v>2.899</v>
      </c>
      <c r="C463" s="7">
        <v>2.858</v>
      </c>
      <c r="D463" s="7">
        <v>2.947</v>
      </c>
      <c r="E463" s="7">
        <v>2.85</v>
      </c>
      <c r="F463" s="7" t="s">
        <v>1595</v>
      </c>
      <c r="G463" s="8">
        <v>0.019</v>
      </c>
    </row>
    <row r="464" spans="1:7">
      <c r="A464" s="6">
        <v>45197</v>
      </c>
      <c r="B464" s="7">
        <v>3.34</v>
      </c>
      <c r="C464" s="7">
        <v>3.29</v>
      </c>
      <c r="D464" s="7">
        <v>3.356</v>
      </c>
      <c r="E464" s="7">
        <v>3.269</v>
      </c>
      <c r="F464" s="7" t="s">
        <v>2066</v>
      </c>
      <c r="G464" s="8">
        <v>0.1521</v>
      </c>
    </row>
    <row r="465" spans="1:7">
      <c r="A465" s="6">
        <v>45198</v>
      </c>
      <c r="B465" s="7">
        <v>3.312</v>
      </c>
      <c r="C465" s="7">
        <v>3.343</v>
      </c>
      <c r="D465" s="7">
        <v>3.382</v>
      </c>
      <c r="E465" s="7">
        <v>3.255</v>
      </c>
      <c r="F465" s="7" t="s">
        <v>2067</v>
      </c>
      <c r="G465" s="8">
        <v>-0.0084</v>
      </c>
    </row>
    <row r="466" spans="1:7">
      <c r="A466" s="6">
        <v>45201</v>
      </c>
      <c r="B466" s="7">
        <v>3.233</v>
      </c>
      <c r="C466" s="7">
        <v>3.326</v>
      </c>
      <c r="D466" s="7">
        <v>3.333</v>
      </c>
      <c r="E466" s="7">
        <v>3.224</v>
      </c>
      <c r="F466" s="7" t="s">
        <v>2068</v>
      </c>
      <c r="G466" s="8">
        <v>-0.0239</v>
      </c>
    </row>
    <row r="467" spans="1:7">
      <c r="A467" s="6">
        <v>45202</v>
      </c>
      <c r="B467" s="7">
        <v>3.313</v>
      </c>
      <c r="C467" s="7">
        <v>3.237</v>
      </c>
      <c r="D467" s="7">
        <v>3.327</v>
      </c>
      <c r="E467" s="7">
        <v>3.216</v>
      </c>
      <c r="F467" s="7" t="s">
        <v>2069</v>
      </c>
      <c r="G467" s="8">
        <v>0.0247</v>
      </c>
    </row>
    <row r="468" spans="1:7">
      <c r="A468" s="6">
        <v>45203</v>
      </c>
      <c r="B468" s="7">
        <v>3.32</v>
      </c>
      <c r="C468" s="7">
        <v>3.307</v>
      </c>
      <c r="D468" s="7">
        <v>3.396</v>
      </c>
      <c r="E468" s="7">
        <v>3.303</v>
      </c>
      <c r="F468" s="7" t="s">
        <v>2070</v>
      </c>
      <c r="G468" s="8">
        <v>0.0021</v>
      </c>
    </row>
    <row r="469" spans="1:7">
      <c r="A469" s="6">
        <v>45204</v>
      </c>
      <c r="B469" s="7">
        <v>3.511</v>
      </c>
      <c r="C469" s="7">
        <v>3.334</v>
      </c>
      <c r="D469" s="7">
        <v>3.547</v>
      </c>
      <c r="E469" s="7">
        <v>3.324</v>
      </c>
      <c r="F469" s="7" t="s">
        <v>1677</v>
      </c>
      <c r="G469" s="8">
        <v>0.0575</v>
      </c>
    </row>
    <row r="470" spans="1:7">
      <c r="A470" s="6">
        <v>45205</v>
      </c>
      <c r="B470" s="7">
        <v>3.641</v>
      </c>
      <c r="C470" s="7">
        <v>3.537</v>
      </c>
      <c r="D470" s="7">
        <v>3.659</v>
      </c>
      <c r="E470" s="7">
        <v>3.521</v>
      </c>
      <c r="F470" s="7" t="s">
        <v>2071</v>
      </c>
      <c r="G470" s="8">
        <v>0.037</v>
      </c>
    </row>
    <row r="471" spans="1:7">
      <c r="A471" s="6">
        <v>45208</v>
      </c>
      <c r="B471" s="7">
        <v>3.631</v>
      </c>
      <c r="C471" s="7">
        <v>3.657</v>
      </c>
      <c r="D471" s="7">
        <v>3.756</v>
      </c>
      <c r="E471" s="7">
        <v>3.595</v>
      </c>
      <c r="F471" s="7" t="s">
        <v>2072</v>
      </c>
      <c r="G471" s="8">
        <v>-0.0027</v>
      </c>
    </row>
    <row r="472" spans="1:7">
      <c r="A472" s="6">
        <v>45209</v>
      </c>
      <c r="B472" s="7">
        <v>3.659</v>
      </c>
      <c r="C472" s="7">
        <v>3.642</v>
      </c>
      <c r="D472" s="7">
        <v>3.695</v>
      </c>
      <c r="E472" s="7">
        <v>3.603</v>
      </c>
      <c r="F472" s="7" t="s">
        <v>2073</v>
      </c>
      <c r="G472" s="8">
        <v>0.0077</v>
      </c>
    </row>
    <row r="473" spans="1:7">
      <c r="A473" s="6">
        <v>45210</v>
      </c>
      <c r="B473" s="7">
        <v>3.658</v>
      </c>
      <c r="C473" s="7">
        <v>3.679</v>
      </c>
      <c r="D473" s="7">
        <v>3.725</v>
      </c>
      <c r="E473" s="7">
        <v>3.525</v>
      </c>
      <c r="F473" s="7" t="s">
        <v>2074</v>
      </c>
      <c r="G473" s="8">
        <v>-0.0003</v>
      </c>
    </row>
    <row r="474" spans="1:7">
      <c r="A474" s="6">
        <v>45211</v>
      </c>
      <c r="B474" s="7">
        <v>3.639</v>
      </c>
      <c r="C474" s="7">
        <v>3.659</v>
      </c>
      <c r="D474" s="7">
        <v>3.699</v>
      </c>
      <c r="E474" s="7">
        <v>3.582</v>
      </c>
      <c r="F474" s="7" t="s">
        <v>2075</v>
      </c>
      <c r="G474" s="8">
        <v>-0.0052</v>
      </c>
    </row>
    <row r="475" spans="1:7">
      <c r="A475" s="6">
        <v>45212</v>
      </c>
      <c r="B475" s="7">
        <v>3.584</v>
      </c>
      <c r="C475" s="7">
        <v>3.636</v>
      </c>
      <c r="D475" s="7">
        <v>3.639</v>
      </c>
      <c r="E475" s="7">
        <v>3.535</v>
      </c>
      <c r="F475" s="7" t="s">
        <v>1938</v>
      </c>
      <c r="G475" s="8">
        <v>-0.0151</v>
      </c>
    </row>
    <row r="476" spans="1:7">
      <c r="A476" s="6">
        <v>45215</v>
      </c>
      <c r="B476" s="7">
        <v>3.479</v>
      </c>
      <c r="C476" s="7">
        <v>3.539</v>
      </c>
      <c r="D476" s="7">
        <v>3.539</v>
      </c>
      <c r="E476" s="7">
        <v>3.438</v>
      </c>
      <c r="F476" s="7" t="s">
        <v>2076</v>
      </c>
      <c r="G476" s="8">
        <v>-0.0293</v>
      </c>
    </row>
    <row r="477" spans="1:7">
      <c r="A477" s="6">
        <v>45216</v>
      </c>
      <c r="B477" s="7">
        <v>3.468</v>
      </c>
      <c r="C477" s="7">
        <v>3.481</v>
      </c>
      <c r="D477" s="7">
        <v>3.512</v>
      </c>
      <c r="E477" s="7">
        <v>3.408</v>
      </c>
      <c r="F477" s="7" t="s">
        <v>2077</v>
      </c>
      <c r="G477" s="8">
        <v>-0.0032</v>
      </c>
    </row>
    <row r="478" spans="1:7">
      <c r="A478" s="6">
        <v>45217</v>
      </c>
      <c r="B478" s="7">
        <v>3.463</v>
      </c>
      <c r="C478" s="7">
        <v>3.45</v>
      </c>
      <c r="D478" s="7">
        <v>3.542</v>
      </c>
      <c r="E478" s="7">
        <v>3.441</v>
      </c>
      <c r="F478" s="7" t="s">
        <v>2078</v>
      </c>
      <c r="G478" s="8">
        <v>-0.0014</v>
      </c>
    </row>
    <row r="479" spans="1:7">
      <c r="A479" s="6">
        <v>45218</v>
      </c>
      <c r="B479" s="7">
        <v>3.326</v>
      </c>
      <c r="C479" s="7">
        <v>3.485</v>
      </c>
      <c r="D479" s="7">
        <v>3.498</v>
      </c>
      <c r="E479" s="7">
        <v>3.317</v>
      </c>
      <c r="F479" s="7" t="s">
        <v>2079</v>
      </c>
      <c r="G479" s="8">
        <v>-0.0396</v>
      </c>
    </row>
    <row r="480" spans="1:7">
      <c r="A480" s="6">
        <v>45219</v>
      </c>
      <c r="B480" s="7">
        <v>3.258</v>
      </c>
      <c r="C480" s="7">
        <v>3.324</v>
      </c>
      <c r="D480" s="7">
        <v>3.329</v>
      </c>
      <c r="E480" s="7">
        <v>3.247</v>
      </c>
      <c r="F480" s="7" t="s">
        <v>2080</v>
      </c>
      <c r="G480" s="8">
        <v>-0.0204</v>
      </c>
    </row>
    <row r="481" spans="1:7">
      <c r="A481" s="6">
        <v>45222</v>
      </c>
      <c r="B481" s="7">
        <v>3.273</v>
      </c>
      <c r="C481" s="7">
        <v>3.25</v>
      </c>
      <c r="D481" s="7">
        <v>3.297</v>
      </c>
      <c r="E481" s="7">
        <v>3.216</v>
      </c>
      <c r="F481" s="7" t="s">
        <v>2081</v>
      </c>
      <c r="G481" s="8">
        <v>0.0046</v>
      </c>
    </row>
    <row r="482" spans="1:7">
      <c r="A482" s="6">
        <v>45223</v>
      </c>
      <c r="B482" s="7">
        <v>3.322</v>
      </c>
      <c r="C482" s="7">
        <v>3.278</v>
      </c>
      <c r="D482" s="7">
        <v>3.349</v>
      </c>
      <c r="E482" s="7">
        <v>3.253</v>
      </c>
      <c r="F482" s="7" t="s">
        <v>2082</v>
      </c>
      <c r="G482" s="8">
        <v>0.015</v>
      </c>
    </row>
    <row r="483" spans="1:7">
      <c r="A483" s="6">
        <v>45224</v>
      </c>
      <c r="B483" s="7">
        <v>3.376</v>
      </c>
      <c r="C483" s="7">
        <v>3.331</v>
      </c>
      <c r="D483" s="7">
        <v>3.406</v>
      </c>
      <c r="E483" s="7">
        <v>3.317</v>
      </c>
      <c r="F483" s="7" t="s">
        <v>2083</v>
      </c>
      <c r="G483" s="8">
        <v>0.0163</v>
      </c>
    </row>
    <row r="484" spans="1:7">
      <c r="A484" s="6">
        <v>45225</v>
      </c>
      <c r="B484" s="7">
        <v>3.477</v>
      </c>
      <c r="C484" s="7">
        <v>3.399</v>
      </c>
      <c r="D484" s="7">
        <v>3.544</v>
      </c>
      <c r="E484" s="7">
        <v>3.363</v>
      </c>
      <c r="F484" s="7" t="s">
        <v>2084</v>
      </c>
      <c r="G484" s="8">
        <v>0.0299</v>
      </c>
    </row>
    <row r="485" spans="1:7">
      <c r="A485" s="6">
        <v>45226</v>
      </c>
      <c r="B485" s="7">
        <v>3.483</v>
      </c>
      <c r="C485" s="7">
        <v>3.511</v>
      </c>
      <c r="D485" s="7">
        <v>3.643</v>
      </c>
      <c r="E485" s="7">
        <v>3.435</v>
      </c>
      <c r="F485" s="7" t="s">
        <v>2085</v>
      </c>
      <c r="G485" s="8">
        <v>0.0017</v>
      </c>
    </row>
    <row r="486" spans="1:7">
      <c r="A486" s="6">
        <v>45229</v>
      </c>
      <c r="B486" s="7">
        <v>3.589</v>
      </c>
      <c r="C486" s="7">
        <v>3.639</v>
      </c>
      <c r="D486" s="7">
        <v>3.647</v>
      </c>
      <c r="E486" s="7">
        <v>3.563</v>
      </c>
      <c r="F486" s="7" t="s">
        <v>2086</v>
      </c>
      <c r="G486" s="8">
        <v>0.0304</v>
      </c>
    </row>
    <row r="487" spans="1:7">
      <c r="A487" s="6">
        <v>45230</v>
      </c>
      <c r="B487" s="7">
        <v>3.813</v>
      </c>
      <c r="C487" s="7">
        <v>3.567</v>
      </c>
      <c r="D487" s="7">
        <v>3.865</v>
      </c>
      <c r="E487" s="7">
        <v>3.558</v>
      </c>
      <c r="F487" s="7" t="s">
        <v>2087</v>
      </c>
      <c r="G487" s="8">
        <v>0.0624</v>
      </c>
    </row>
    <row r="488" spans="1:7">
      <c r="A488" s="6">
        <v>45231</v>
      </c>
      <c r="B488" s="7">
        <v>3.753</v>
      </c>
      <c r="C488" s="7">
        <v>3.84</v>
      </c>
      <c r="D488" s="7">
        <v>3.841</v>
      </c>
      <c r="E488" s="7">
        <v>3.684</v>
      </c>
      <c r="F488" s="7" t="s">
        <v>2088</v>
      </c>
      <c r="G488" s="8">
        <v>-0.0157</v>
      </c>
    </row>
    <row r="489" spans="1:7">
      <c r="A489" s="6">
        <v>45232</v>
      </c>
      <c r="B489" s="7">
        <v>3.75</v>
      </c>
      <c r="C489" s="7">
        <v>3.763</v>
      </c>
      <c r="D489" s="7">
        <v>3.799</v>
      </c>
      <c r="E489" s="7">
        <v>3.673</v>
      </c>
      <c r="F489" s="7" t="s">
        <v>2089</v>
      </c>
      <c r="G489" s="8">
        <v>-0.0008</v>
      </c>
    </row>
    <row r="490" spans="1:7">
      <c r="A490" s="6">
        <v>45233</v>
      </c>
      <c r="B490" s="7">
        <v>3.795</v>
      </c>
      <c r="C490" s="7">
        <v>3.794</v>
      </c>
      <c r="D490" s="7">
        <v>3.856</v>
      </c>
      <c r="E490" s="7">
        <v>3.738</v>
      </c>
      <c r="F490" s="7" t="s">
        <v>2090</v>
      </c>
      <c r="G490" s="8">
        <v>0.012</v>
      </c>
    </row>
    <row r="491" spans="1:7">
      <c r="A491" s="6">
        <v>45236</v>
      </c>
      <c r="B491" s="7">
        <v>3.564</v>
      </c>
      <c r="C491" s="7">
        <v>3.66</v>
      </c>
      <c r="D491" s="7">
        <v>3.693</v>
      </c>
      <c r="E491" s="7">
        <v>3.556</v>
      </c>
      <c r="F491" s="7" t="s">
        <v>2091</v>
      </c>
      <c r="G491" s="8">
        <v>-0.0609</v>
      </c>
    </row>
    <row r="492" spans="1:7">
      <c r="A492" s="6">
        <v>45237</v>
      </c>
      <c r="B492" s="7">
        <v>3.463</v>
      </c>
      <c r="C492" s="7">
        <v>3.566</v>
      </c>
      <c r="D492" s="7">
        <v>3.593</v>
      </c>
      <c r="E492" s="7">
        <v>3.458</v>
      </c>
      <c r="F492" s="7" t="s">
        <v>2092</v>
      </c>
      <c r="G492" s="8">
        <v>-0.0283</v>
      </c>
    </row>
    <row r="493" spans="1:7">
      <c r="A493" s="6">
        <v>45238</v>
      </c>
      <c r="B493" s="7">
        <v>3.389</v>
      </c>
      <c r="C493" s="7">
        <v>3.496</v>
      </c>
      <c r="D493" s="7">
        <v>3.514</v>
      </c>
      <c r="E493" s="7">
        <v>3.345</v>
      </c>
      <c r="F493" s="7" t="s">
        <v>691</v>
      </c>
      <c r="G493" s="8">
        <v>-0.0214</v>
      </c>
    </row>
    <row r="494" spans="1:7">
      <c r="A494" s="6">
        <v>45239</v>
      </c>
      <c r="B494" s="7">
        <v>3.333</v>
      </c>
      <c r="C494" s="7">
        <v>3.4</v>
      </c>
      <c r="D494" s="7">
        <v>3.426</v>
      </c>
      <c r="E494" s="7">
        <v>3.299</v>
      </c>
      <c r="F494" s="7" t="s">
        <v>1979</v>
      </c>
      <c r="G494" s="8">
        <v>-0.0165</v>
      </c>
    </row>
    <row r="495" spans="1:7">
      <c r="A495" s="6">
        <v>45240</v>
      </c>
      <c r="B495" s="7">
        <v>3.284</v>
      </c>
      <c r="C495" s="7">
        <v>3.327</v>
      </c>
      <c r="D495" s="7">
        <v>3.343</v>
      </c>
      <c r="E495" s="7">
        <v>3.273</v>
      </c>
      <c r="F495" s="7" t="s">
        <v>2093</v>
      </c>
      <c r="G495" s="8">
        <v>-0.0147</v>
      </c>
    </row>
    <row r="496" spans="1:7">
      <c r="A496" s="6">
        <v>45243</v>
      </c>
      <c r="B496" s="7">
        <v>3.4</v>
      </c>
      <c r="C496" s="7">
        <v>3.313</v>
      </c>
      <c r="D496" s="7">
        <v>3.438</v>
      </c>
      <c r="E496" s="7">
        <v>3.311</v>
      </c>
      <c r="F496" s="7" t="s">
        <v>2094</v>
      </c>
      <c r="G496" s="8">
        <v>0.0353</v>
      </c>
    </row>
    <row r="497" spans="1:7">
      <c r="A497" s="6">
        <v>45244</v>
      </c>
      <c r="B497" s="7">
        <v>3.316</v>
      </c>
      <c r="C497" s="7">
        <v>3.435</v>
      </c>
      <c r="D497" s="7">
        <v>3.465</v>
      </c>
      <c r="E497" s="7">
        <v>3.297</v>
      </c>
      <c r="F497" s="7" t="s">
        <v>2095</v>
      </c>
      <c r="G497" s="8">
        <v>-0.0247</v>
      </c>
    </row>
    <row r="498" spans="1:7">
      <c r="A498" s="6">
        <v>45245</v>
      </c>
      <c r="B498" s="7">
        <v>3.362</v>
      </c>
      <c r="C498" s="7">
        <v>3.316</v>
      </c>
      <c r="D498" s="7">
        <v>3.448</v>
      </c>
      <c r="E498" s="7">
        <v>3.269</v>
      </c>
      <c r="F498" s="7" t="s">
        <v>2096</v>
      </c>
      <c r="G498" s="8">
        <v>0.0139</v>
      </c>
    </row>
    <row r="499" spans="1:7">
      <c r="A499" s="6">
        <v>45246</v>
      </c>
      <c r="B499" s="7">
        <v>3.239</v>
      </c>
      <c r="C499" s="7">
        <v>3.326</v>
      </c>
      <c r="D499" s="7">
        <v>3.407</v>
      </c>
      <c r="E499" s="7">
        <v>3.188</v>
      </c>
      <c r="F499" s="7" t="s">
        <v>2097</v>
      </c>
      <c r="G499" s="8">
        <v>-0.0366</v>
      </c>
    </row>
    <row r="500" spans="1:7">
      <c r="A500" s="6">
        <v>45247</v>
      </c>
      <c r="B500" s="7">
        <v>3.131</v>
      </c>
      <c r="C500" s="7">
        <v>3.227</v>
      </c>
      <c r="D500" s="7">
        <v>3.275</v>
      </c>
      <c r="E500" s="7">
        <v>3.068</v>
      </c>
      <c r="F500" s="7" t="s">
        <v>2098</v>
      </c>
      <c r="G500" s="8">
        <v>-0.0333</v>
      </c>
    </row>
    <row r="501" spans="1:7">
      <c r="A501" s="6">
        <v>45250</v>
      </c>
      <c r="B501" s="7">
        <v>3.05</v>
      </c>
      <c r="C501" s="7">
        <v>3.115</v>
      </c>
      <c r="D501" s="7">
        <v>3.134</v>
      </c>
      <c r="E501" s="7">
        <v>3.04</v>
      </c>
      <c r="F501" s="7" t="s">
        <v>2099</v>
      </c>
      <c r="G501" s="8">
        <v>-0.0259</v>
      </c>
    </row>
    <row r="502" spans="1:7">
      <c r="A502" s="6">
        <v>45251</v>
      </c>
      <c r="B502" s="7">
        <v>2.993</v>
      </c>
      <c r="C502" s="7">
        <v>3.047</v>
      </c>
      <c r="D502" s="7">
        <v>3.084</v>
      </c>
      <c r="E502" s="7">
        <v>2.986</v>
      </c>
      <c r="F502" s="7" t="s">
        <v>1079</v>
      </c>
      <c r="G502" s="8">
        <v>-0.0187</v>
      </c>
    </row>
    <row r="503" spans="1:7">
      <c r="A503" s="6">
        <v>45252</v>
      </c>
      <c r="B503" s="7">
        <v>3.033</v>
      </c>
      <c r="C503" s="7">
        <v>2.994</v>
      </c>
      <c r="D503" s="7">
        <v>3.055</v>
      </c>
      <c r="E503" s="7">
        <v>2.961</v>
      </c>
      <c r="F503" s="7" t="s">
        <v>2100</v>
      </c>
      <c r="G503" s="8">
        <v>0.0134</v>
      </c>
    </row>
    <row r="504" spans="1:7">
      <c r="A504" s="6">
        <v>45253</v>
      </c>
      <c r="B504" s="7">
        <v>2.93</v>
      </c>
      <c r="C504" s="7">
        <v>2.88</v>
      </c>
      <c r="D504" s="7">
        <v>2.938</v>
      </c>
      <c r="E504" s="7">
        <v>2.861</v>
      </c>
      <c r="G504" s="8">
        <v>-0.034</v>
      </c>
    </row>
    <row r="505" spans="1:7">
      <c r="A505" s="6">
        <v>45254</v>
      </c>
      <c r="B505" s="7">
        <v>2.999</v>
      </c>
      <c r="C505" s="7">
        <v>3.035</v>
      </c>
      <c r="D505" s="7">
        <v>3.095</v>
      </c>
      <c r="E505" s="7">
        <v>2.933</v>
      </c>
      <c r="F505" s="7" t="s">
        <v>2101</v>
      </c>
      <c r="G505" s="8">
        <v>0.0235</v>
      </c>
    </row>
    <row r="506" spans="1:7">
      <c r="A506" s="6">
        <v>45257</v>
      </c>
      <c r="B506" s="7">
        <v>2.946</v>
      </c>
      <c r="C506" s="7">
        <v>2.924</v>
      </c>
      <c r="D506" s="7">
        <v>2.956</v>
      </c>
      <c r="E506" s="7">
        <v>2.867</v>
      </c>
      <c r="F506" s="7" t="s">
        <v>2102</v>
      </c>
      <c r="G506" s="8">
        <v>-0.0177</v>
      </c>
    </row>
    <row r="507" spans="1:7">
      <c r="A507" s="6">
        <v>45258</v>
      </c>
      <c r="B507" s="7">
        <v>2.837</v>
      </c>
      <c r="C507" s="7">
        <v>2.947</v>
      </c>
      <c r="D507" s="7">
        <v>2.992</v>
      </c>
      <c r="E507" s="7">
        <v>2.786</v>
      </c>
      <c r="F507" s="7" t="s">
        <v>2103</v>
      </c>
      <c r="G507" s="8">
        <v>-0.037</v>
      </c>
    </row>
    <row r="508" spans="1:7">
      <c r="A508" s="6">
        <v>45259</v>
      </c>
      <c r="B508" s="7">
        <v>2.769</v>
      </c>
      <c r="C508" s="7">
        <v>2.757</v>
      </c>
      <c r="D508" s="7">
        <v>2.83</v>
      </c>
      <c r="E508" s="7">
        <v>2.728</v>
      </c>
      <c r="F508" s="7" t="s">
        <v>2104</v>
      </c>
      <c r="G508" s="8">
        <v>-0.024</v>
      </c>
    </row>
    <row r="509" spans="1:7">
      <c r="A509" s="6">
        <v>45260</v>
      </c>
      <c r="B509" s="7">
        <v>2.763</v>
      </c>
      <c r="C509" s="7">
        <v>2.761</v>
      </c>
      <c r="D509" s="7">
        <v>2.814</v>
      </c>
      <c r="E509" s="7">
        <v>2.724</v>
      </c>
      <c r="F509" s="7" t="s">
        <v>2105</v>
      </c>
      <c r="G509" s="8">
        <v>-0.0022</v>
      </c>
    </row>
    <row r="510" spans="1:7">
      <c r="A510" s="6">
        <v>45261</v>
      </c>
      <c r="B510" s="7">
        <v>2.773</v>
      </c>
      <c r="C510" s="7">
        <v>2.77</v>
      </c>
      <c r="D510" s="7">
        <v>2.801</v>
      </c>
      <c r="E510" s="7">
        <v>2.712</v>
      </c>
      <c r="F510" s="7" t="s">
        <v>2106</v>
      </c>
      <c r="G510" s="8">
        <v>0.0036</v>
      </c>
    </row>
    <row r="511" spans="1:7">
      <c r="A511" s="6">
        <v>45264</v>
      </c>
      <c r="B511" s="7">
        <v>2.651</v>
      </c>
      <c r="C511" s="7">
        <v>2.685</v>
      </c>
      <c r="D511" s="7">
        <v>2.704</v>
      </c>
      <c r="E511" s="7">
        <v>2.608</v>
      </c>
      <c r="F511" s="7" t="s">
        <v>2107</v>
      </c>
      <c r="G511" s="8">
        <v>-0.044</v>
      </c>
    </row>
    <row r="512" spans="1:7">
      <c r="A512" s="6">
        <v>45265</v>
      </c>
      <c r="B512" s="7">
        <v>2.667</v>
      </c>
      <c r="C512" s="7">
        <v>2.655</v>
      </c>
      <c r="D512" s="7">
        <v>2.738</v>
      </c>
      <c r="E512" s="7">
        <v>2.632</v>
      </c>
      <c r="F512" s="7" t="s">
        <v>2108</v>
      </c>
      <c r="G512" s="8">
        <v>0.006</v>
      </c>
    </row>
    <row r="513" spans="1:7">
      <c r="A513" s="6">
        <v>45266</v>
      </c>
      <c r="B513" s="7">
        <v>2.517</v>
      </c>
      <c r="C513" s="7">
        <v>2.658</v>
      </c>
      <c r="D513" s="7">
        <v>2.707</v>
      </c>
      <c r="E513" s="7">
        <v>2.492</v>
      </c>
      <c r="F513" s="7" t="s">
        <v>2109</v>
      </c>
      <c r="G513" s="8">
        <v>-0.0562</v>
      </c>
    </row>
    <row r="514" spans="1:7">
      <c r="A514" s="6">
        <v>45267</v>
      </c>
      <c r="B514" s="7">
        <v>2.52</v>
      </c>
      <c r="C514" s="7">
        <v>2.522</v>
      </c>
      <c r="D514" s="7">
        <v>2.555</v>
      </c>
      <c r="E514" s="7">
        <v>2.436</v>
      </c>
      <c r="F514" s="7" t="s">
        <v>2110</v>
      </c>
      <c r="G514" s="8">
        <v>0.0012</v>
      </c>
    </row>
    <row r="515" spans="1:7">
      <c r="A515" s="6">
        <v>45268</v>
      </c>
      <c r="B515" s="7">
        <v>2.504</v>
      </c>
      <c r="C515" s="7">
        <v>2.487</v>
      </c>
      <c r="D515" s="7">
        <v>2.534</v>
      </c>
      <c r="E515" s="7">
        <v>2.459</v>
      </c>
      <c r="F515" s="7" t="s">
        <v>2111</v>
      </c>
      <c r="G515" s="8">
        <v>-0.0063</v>
      </c>
    </row>
    <row r="516" spans="1:7">
      <c r="A516" s="6">
        <v>45271</v>
      </c>
      <c r="B516" s="7">
        <v>2.35</v>
      </c>
      <c r="C516" s="7">
        <v>2.408</v>
      </c>
      <c r="D516" s="7">
        <v>2.417</v>
      </c>
      <c r="E516" s="7">
        <v>2.217</v>
      </c>
      <c r="F516" s="7" t="s">
        <v>2112</v>
      </c>
      <c r="G516" s="8">
        <v>-0.0615</v>
      </c>
    </row>
    <row r="517" spans="1:7">
      <c r="A517" s="6">
        <v>45272</v>
      </c>
      <c r="B517" s="7">
        <v>2.24</v>
      </c>
      <c r="C517" s="7">
        <v>2.359</v>
      </c>
      <c r="D517" s="7">
        <v>2.369</v>
      </c>
      <c r="E517" s="7">
        <v>2.223</v>
      </c>
      <c r="F517" s="7" t="s">
        <v>2113</v>
      </c>
      <c r="G517" s="8">
        <v>-0.0468</v>
      </c>
    </row>
    <row r="518" spans="1:7">
      <c r="A518" s="6">
        <v>45273</v>
      </c>
      <c r="B518" s="7">
        <v>2.292</v>
      </c>
      <c r="C518" s="7">
        <v>2.225</v>
      </c>
      <c r="D518" s="7">
        <v>2.342</v>
      </c>
      <c r="E518" s="7">
        <v>2.187</v>
      </c>
      <c r="F518" s="7" t="s">
        <v>2114</v>
      </c>
      <c r="G518" s="8">
        <v>0.0232</v>
      </c>
    </row>
    <row r="519" spans="1:7">
      <c r="A519" s="6">
        <v>45274</v>
      </c>
      <c r="B519" s="7">
        <v>2.347</v>
      </c>
      <c r="C519" s="7">
        <v>2.309</v>
      </c>
      <c r="D519" s="7">
        <v>2.374</v>
      </c>
      <c r="E519" s="7">
        <v>2.28</v>
      </c>
      <c r="F519" s="7" t="s">
        <v>1942</v>
      </c>
      <c r="G519" s="8">
        <v>0.024</v>
      </c>
    </row>
    <row r="520" spans="1:7">
      <c r="A520" s="6">
        <v>45275</v>
      </c>
      <c r="B520" s="7">
        <v>2.425</v>
      </c>
      <c r="C520" s="7">
        <v>2.366</v>
      </c>
      <c r="D520" s="7">
        <v>2.467</v>
      </c>
      <c r="E520" s="7">
        <v>2.327</v>
      </c>
      <c r="F520" s="7" t="s">
        <v>2115</v>
      </c>
      <c r="G520" s="8">
        <v>0.0332</v>
      </c>
    </row>
    <row r="521" spans="1:7">
      <c r="A521" s="6">
        <v>45278</v>
      </c>
      <c r="B521" s="7">
        <v>2.416</v>
      </c>
      <c r="C521" s="7">
        <v>2.434</v>
      </c>
      <c r="D521" s="7">
        <v>2.509</v>
      </c>
      <c r="E521" s="7">
        <v>2.411</v>
      </c>
      <c r="F521" s="7" t="s">
        <v>2116</v>
      </c>
      <c r="G521" s="8">
        <v>-0.0037</v>
      </c>
    </row>
    <row r="522" spans="1:7">
      <c r="A522" s="6">
        <v>45279</v>
      </c>
      <c r="B522" s="7">
        <v>2.366</v>
      </c>
      <c r="C522" s="7">
        <v>2.429</v>
      </c>
      <c r="D522" s="7">
        <v>2.44</v>
      </c>
      <c r="E522" s="7">
        <v>2.288</v>
      </c>
      <c r="F522" s="7" t="s">
        <v>2117</v>
      </c>
      <c r="G522" s="8">
        <v>-0.0207</v>
      </c>
    </row>
    <row r="523" spans="1:7">
      <c r="A523" s="6">
        <v>45280</v>
      </c>
      <c r="B523" s="7">
        <v>2.347</v>
      </c>
      <c r="C523" s="7">
        <v>2.425</v>
      </c>
      <c r="D523" s="7">
        <v>2.451</v>
      </c>
      <c r="E523" s="7">
        <v>2.317</v>
      </c>
      <c r="F523" s="7" t="s">
        <v>2118</v>
      </c>
      <c r="G523" s="8">
        <v>-0.008</v>
      </c>
    </row>
    <row r="524" spans="1:7">
      <c r="A524" s="6">
        <v>45281</v>
      </c>
      <c r="B524" s="7">
        <v>2.459</v>
      </c>
      <c r="C524" s="7">
        <v>2.331</v>
      </c>
      <c r="D524" s="7">
        <v>2.492</v>
      </c>
      <c r="E524" s="7">
        <v>2.313</v>
      </c>
      <c r="F524" s="7" t="s">
        <v>2119</v>
      </c>
      <c r="G524" s="8">
        <v>0.0477</v>
      </c>
    </row>
    <row r="525" spans="1:7">
      <c r="A525" s="6">
        <v>45282</v>
      </c>
      <c r="B525" s="7">
        <v>2.49</v>
      </c>
      <c r="C525" s="7">
        <v>2.465</v>
      </c>
      <c r="D525" s="7">
        <v>2.501</v>
      </c>
      <c r="E525" s="7">
        <v>2.41</v>
      </c>
      <c r="F525" s="7" t="s">
        <v>2120</v>
      </c>
      <c r="G525" s="8">
        <v>0.0126</v>
      </c>
    </row>
    <row r="526" spans="1:7">
      <c r="A526" s="6">
        <v>45285</v>
      </c>
      <c r="B526" s="7">
        <v>2.418</v>
      </c>
      <c r="C526" s="7">
        <v>2.425</v>
      </c>
      <c r="D526" s="7">
        <v>2.442</v>
      </c>
      <c r="E526" s="7">
        <v>2.415</v>
      </c>
      <c r="G526" s="8">
        <v>-0.0289</v>
      </c>
    </row>
    <row r="527" spans="1:7">
      <c r="A527" s="6">
        <v>45286</v>
      </c>
      <c r="B527" s="7">
        <v>2.419</v>
      </c>
      <c r="C527" s="7">
        <v>2.445</v>
      </c>
      <c r="D527" s="7">
        <v>2.445</v>
      </c>
      <c r="E527" s="7">
        <v>2.356</v>
      </c>
      <c r="F527" s="7" t="s">
        <v>2121</v>
      </c>
      <c r="G527" s="8">
        <v>0.0004</v>
      </c>
    </row>
    <row r="528" spans="1:7">
      <c r="A528" s="6">
        <v>45287</v>
      </c>
      <c r="B528" s="7">
        <v>2.437</v>
      </c>
      <c r="C528" s="7">
        <v>2.429</v>
      </c>
      <c r="D528" s="7">
        <v>2.57</v>
      </c>
      <c r="E528" s="7">
        <v>2.429</v>
      </c>
      <c r="F528" s="7" t="s">
        <v>2122</v>
      </c>
      <c r="G528" s="8">
        <v>0.0074</v>
      </c>
    </row>
    <row r="529" spans="1:7">
      <c r="A529" s="6">
        <v>45288</v>
      </c>
      <c r="B529" s="7">
        <v>2.377</v>
      </c>
      <c r="C529" s="7">
        <v>2.302</v>
      </c>
      <c r="D529" s="7">
        <v>2.392</v>
      </c>
      <c r="E529" s="7">
        <v>2.266</v>
      </c>
      <c r="F529" s="7" t="s">
        <v>1755</v>
      </c>
      <c r="G529" s="8">
        <v>-0.0246</v>
      </c>
    </row>
    <row r="530" spans="1:7">
      <c r="A530" s="6">
        <v>45289</v>
      </c>
      <c r="B530" s="7">
        <v>2.327</v>
      </c>
      <c r="C530" s="7">
        <v>2.371</v>
      </c>
      <c r="D530" s="7">
        <v>2.395</v>
      </c>
      <c r="E530" s="7">
        <v>2.307</v>
      </c>
      <c r="F530" s="7" t="s">
        <v>2123</v>
      </c>
      <c r="G530" s="8">
        <v>-0.021</v>
      </c>
    </row>
    <row r="531" spans="1:7">
      <c r="A531" s="6">
        <v>45292</v>
      </c>
      <c r="B531" s="7">
        <v>2.667</v>
      </c>
      <c r="C531" s="7">
        <v>2.614</v>
      </c>
      <c r="D531" s="7">
        <v>2.67</v>
      </c>
      <c r="E531" s="7">
        <v>2.614</v>
      </c>
      <c r="G531" s="8">
        <v>0.1461</v>
      </c>
    </row>
    <row r="532" spans="1:7">
      <c r="A532" s="6">
        <v>45293</v>
      </c>
      <c r="B532" s="7">
        <v>2.386</v>
      </c>
      <c r="C532" s="7">
        <v>2.398</v>
      </c>
      <c r="D532" s="7">
        <v>2.467</v>
      </c>
      <c r="E532" s="7">
        <v>2.349</v>
      </c>
      <c r="F532" s="7" t="s">
        <v>731</v>
      </c>
      <c r="G532" s="8">
        <v>-0.1054</v>
      </c>
    </row>
    <row r="533" spans="1:7">
      <c r="A533" s="6">
        <v>45294</v>
      </c>
      <c r="B533" s="7">
        <v>2.448</v>
      </c>
      <c r="C533" s="7">
        <v>2.381</v>
      </c>
      <c r="D533" s="7">
        <v>2.503</v>
      </c>
      <c r="E533" s="7">
        <v>2.367</v>
      </c>
      <c r="F533" s="7" t="s">
        <v>2124</v>
      </c>
      <c r="G533" s="8">
        <v>0.026</v>
      </c>
    </row>
    <row r="534" spans="1:7">
      <c r="A534" s="6">
        <v>45295</v>
      </c>
      <c r="B534" s="7">
        <v>2.559</v>
      </c>
      <c r="C534" s="7">
        <v>2.472</v>
      </c>
      <c r="D534" s="7">
        <v>2.59</v>
      </c>
      <c r="E534" s="7">
        <v>2.467</v>
      </c>
      <c r="F534" s="7" t="s">
        <v>2125</v>
      </c>
      <c r="G534" s="8">
        <v>0.0453</v>
      </c>
    </row>
    <row r="535" spans="1:7">
      <c r="A535" s="6">
        <v>45296</v>
      </c>
      <c r="B535" s="7">
        <v>2.621</v>
      </c>
      <c r="C535" s="7">
        <v>2.58</v>
      </c>
      <c r="D535" s="7">
        <v>2.631</v>
      </c>
      <c r="E535" s="7">
        <v>2.467</v>
      </c>
      <c r="F535" s="7" t="s">
        <v>2126</v>
      </c>
      <c r="G535" s="8">
        <v>0.0242</v>
      </c>
    </row>
    <row r="536" spans="1:7">
      <c r="A536" s="6">
        <v>45299</v>
      </c>
      <c r="B536" s="7">
        <v>2.598</v>
      </c>
      <c r="C536" s="7">
        <v>2.649</v>
      </c>
      <c r="D536" s="7">
        <v>2.654</v>
      </c>
      <c r="E536" s="7">
        <v>2.43</v>
      </c>
      <c r="F536" s="7" t="s">
        <v>2127</v>
      </c>
      <c r="G536" s="8">
        <v>-0.0088</v>
      </c>
    </row>
    <row r="537" spans="1:7">
      <c r="A537" s="6">
        <v>45300</v>
      </c>
      <c r="B537" s="7">
        <v>2.697</v>
      </c>
      <c r="C537" s="7">
        <v>2.565</v>
      </c>
      <c r="D537" s="7">
        <v>2.791</v>
      </c>
      <c r="E537" s="7">
        <v>2.529</v>
      </c>
      <c r="F537" s="7" t="s">
        <v>2128</v>
      </c>
      <c r="G537" s="8">
        <v>0.0381</v>
      </c>
    </row>
    <row r="538" spans="1:7">
      <c r="A538" s="6">
        <v>45301</v>
      </c>
      <c r="B538" s="7">
        <v>2.562</v>
      </c>
      <c r="C538" s="7">
        <v>2.697</v>
      </c>
      <c r="D538" s="7">
        <v>2.71</v>
      </c>
      <c r="E538" s="7">
        <v>2.535</v>
      </c>
      <c r="F538" s="7" t="s">
        <v>2129</v>
      </c>
      <c r="G538" s="8">
        <v>-0.0501</v>
      </c>
    </row>
    <row r="539" spans="1:7">
      <c r="A539" s="6">
        <v>45302</v>
      </c>
      <c r="B539" s="7">
        <v>2.54</v>
      </c>
      <c r="C539" s="7">
        <v>2.551</v>
      </c>
      <c r="D539" s="7">
        <v>2.644</v>
      </c>
      <c r="E539" s="7">
        <v>2.494</v>
      </c>
      <c r="F539" s="7" t="s">
        <v>2130</v>
      </c>
      <c r="G539" s="8">
        <v>-0.0086</v>
      </c>
    </row>
    <row r="540" spans="1:7">
      <c r="A540" s="6">
        <v>45303</v>
      </c>
      <c r="B540" s="7">
        <v>2.617</v>
      </c>
      <c r="C540" s="7">
        <v>2.557</v>
      </c>
      <c r="D540" s="7">
        <v>2.647</v>
      </c>
      <c r="E540" s="7">
        <v>2.543</v>
      </c>
      <c r="F540" s="7" t="s">
        <v>370</v>
      </c>
      <c r="G540" s="8">
        <v>0.0303</v>
      </c>
    </row>
    <row r="541" spans="1:7">
      <c r="A541" s="6">
        <v>45305</v>
      </c>
      <c r="B541" s="7">
        <v>3.111</v>
      </c>
      <c r="C541" s="7">
        <v>3.104</v>
      </c>
      <c r="D541" s="7">
        <v>3.137</v>
      </c>
      <c r="E541" s="7">
        <v>3.077</v>
      </c>
      <c r="G541" s="8">
        <v>0.1888</v>
      </c>
    </row>
    <row r="542" spans="1:7">
      <c r="A542" s="6">
        <v>45306</v>
      </c>
      <c r="B542" s="7">
        <v>3.066</v>
      </c>
      <c r="C542" s="7">
        <v>3.112</v>
      </c>
      <c r="D542" s="7">
        <v>3.188</v>
      </c>
      <c r="E542" s="7">
        <v>3.055</v>
      </c>
      <c r="G542" s="8">
        <v>-0.0145</v>
      </c>
    </row>
    <row r="543" spans="1:7">
      <c r="A543" s="6">
        <v>45307</v>
      </c>
      <c r="B543" s="7">
        <v>2.477</v>
      </c>
      <c r="C543" s="7">
        <v>2.545</v>
      </c>
      <c r="D543" s="7">
        <v>2.545</v>
      </c>
      <c r="E543" s="7">
        <v>2.409</v>
      </c>
      <c r="F543" s="7" t="s">
        <v>2131</v>
      </c>
      <c r="G543" s="8">
        <v>-0.1921</v>
      </c>
    </row>
    <row r="544" spans="1:7">
      <c r="A544" s="6">
        <v>45308</v>
      </c>
      <c r="B544" s="7">
        <v>2.496</v>
      </c>
      <c r="C544" s="7">
        <v>2.438</v>
      </c>
      <c r="D544" s="7">
        <v>2.516</v>
      </c>
      <c r="E544" s="7">
        <v>2.402</v>
      </c>
      <c r="F544" s="7" t="s">
        <v>2132</v>
      </c>
      <c r="G544" s="8">
        <v>0.0077</v>
      </c>
    </row>
    <row r="545" spans="1:7">
      <c r="A545" s="6">
        <v>45309</v>
      </c>
      <c r="B545" s="7">
        <v>2.413</v>
      </c>
      <c r="C545" s="7">
        <v>2.496</v>
      </c>
      <c r="D545" s="7">
        <v>2.496</v>
      </c>
      <c r="E545" s="7">
        <v>2.364</v>
      </c>
      <c r="F545" s="7" t="s">
        <v>2133</v>
      </c>
      <c r="G545" s="8">
        <v>-0.0333</v>
      </c>
    </row>
    <row r="546" spans="1:7">
      <c r="A546" s="6">
        <v>45310</v>
      </c>
      <c r="B546" s="7">
        <v>2.252</v>
      </c>
      <c r="C546" s="7">
        <v>2.42</v>
      </c>
      <c r="D546" s="7">
        <v>2.421</v>
      </c>
      <c r="E546" s="7">
        <v>2.237</v>
      </c>
      <c r="F546" s="7" t="s">
        <v>2134</v>
      </c>
      <c r="G546" s="8">
        <v>-0.0667</v>
      </c>
    </row>
    <row r="547" spans="1:7">
      <c r="A547" s="6">
        <v>45313</v>
      </c>
      <c r="B547" s="7">
        <v>2.125</v>
      </c>
      <c r="C547" s="7">
        <v>2.165</v>
      </c>
      <c r="D547" s="7">
        <v>2.187</v>
      </c>
      <c r="E547" s="7">
        <v>2.114</v>
      </c>
      <c r="F547" s="7" t="s">
        <v>2135</v>
      </c>
      <c r="G547" s="8">
        <v>-0.0564</v>
      </c>
    </row>
    <row r="548" spans="1:7">
      <c r="A548" s="6">
        <v>45314</v>
      </c>
      <c r="B548" s="7">
        <v>2.167</v>
      </c>
      <c r="C548" s="7">
        <v>2.133</v>
      </c>
      <c r="D548" s="7">
        <v>2.194</v>
      </c>
      <c r="E548" s="7">
        <v>2.079</v>
      </c>
      <c r="F548" s="7" t="s">
        <v>2136</v>
      </c>
      <c r="G548" s="8">
        <v>0.0198</v>
      </c>
    </row>
    <row r="549" spans="1:7">
      <c r="A549" s="6">
        <v>45315</v>
      </c>
      <c r="B549" s="7">
        <v>2.262</v>
      </c>
      <c r="C549" s="7">
        <v>2.213</v>
      </c>
      <c r="D549" s="7">
        <v>2.29</v>
      </c>
      <c r="E549" s="7">
        <v>2.19</v>
      </c>
      <c r="F549" s="7" t="s">
        <v>2137</v>
      </c>
      <c r="G549" s="8">
        <v>0.0438</v>
      </c>
    </row>
    <row r="550" spans="1:7">
      <c r="A550" s="6">
        <v>45316</v>
      </c>
      <c r="B550" s="7">
        <v>2.18</v>
      </c>
      <c r="C550" s="7">
        <v>2.288</v>
      </c>
      <c r="D550" s="7">
        <v>2.334</v>
      </c>
      <c r="E550" s="7">
        <v>2.158</v>
      </c>
      <c r="F550" s="7" t="s">
        <v>1523</v>
      </c>
      <c r="G550" s="8">
        <v>-0.0363</v>
      </c>
    </row>
    <row r="551" spans="1:7">
      <c r="A551" s="6">
        <v>45317</v>
      </c>
      <c r="B551" s="7">
        <v>2.175</v>
      </c>
      <c r="C551" s="7">
        <v>2.19</v>
      </c>
      <c r="D551" s="7">
        <v>2.235</v>
      </c>
      <c r="E551" s="7">
        <v>2.093</v>
      </c>
      <c r="F551" s="7" t="s">
        <v>2138</v>
      </c>
      <c r="G551" s="8">
        <v>-0.0023</v>
      </c>
    </row>
    <row r="552" spans="1:7">
      <c r="A552" s="6">
        <v>45320</v>
      </c>
      <c r="B552" s="7">
        <v>2.054</v>
      </c>
      <c r="C552" s="7">
        <v>2.159</v>
      </c>
      <c r="D552" s="7">
        <v>2.166</v>
      </c>
      <c r="E552" s="7">
        <v>2.047</v>
      </c>
      <c r="F552" s="7" t="s">
        <v>2139</v>
      </c>
      <c r="G552" s="8">
        <v>-0.0556</v>
      </c>
    </row>
    <row r="553" spans="1:7">
      <c r="A553" s="6">
        <v>45321</v>
      </c>
      <c r="B553" s="7">
        <v>2.104</v>
      </c>
      <c r="C553" s="7">
        <v>2.095</v>
      </c>
      <c r="D553" s="7">
        <v>2.143</v>
      </c>
      <c r="E553" s="7">
        <v>2.082</v>
      </c>
      <c r="F553" s="7" t="s">
        <v>2140</v>
      </c>
      <c r="G553" s="8">
        <v>0.0243</v>
      </c>
    </row>
    <row r="554" spans="1:7">
      <c r="A554" s="6">
        <v>45322</v>
      </c>
      <c r="B554" s="7">
        <v>2.121</v>
      </c>
      <c r="C554" s="7">
        <v>2.112</v>
      </c>
      <c r="D554" s="7">
        <v>2.175</v>
      </c>
      <c r="E554" s="7">
        <v>2.063</v>
      </c>
      <c r="F554" s="7" t="s">
        <v>2141</v>
      </c>
      <c r="G554" s="8">
        <v>0.0081</v>
      </c>
    </row>
    <row r="555" spans="1:7">
      <c r="A555" s="6">
        <v>45323</v>
      </c>
      <c r="B555" s="7">
        <v>2.064</v>
      </c>
      <c r="C555" s="7">
        <v>2.151</v>
      </c>
      <c r="D555" s="7">
        <v>2.177</v>
      </c>
      <c r="E555" s="7">
        <v>2.047</v>
      </c>
      <c r="F555" s="7" t="s">
        <v>2142</v>
      </c>
      <c r="G555" s="8">
        <v>-0.0269</v>
      </c>
    </row>
    <row r="556" spans="1:7">
      <c r="A556" s="6">
        <v>45324</v>
      </c>
      <c r="B556" s="7">
        <v>2.086</v>
      </c>
      <c r="C556" s="7">
        <v>2.067</v>
      </c>
      <c r="D556" s="7">
        <v>2.106</v>
      </c>
      <c r="E556" s="7">
        <v>2.034</v>
      </c>
      <c r="F556" s="7" t="s">
        <v>2143</v>
      </c>
      <c r="G556" s="8">
        <v>0.0107</v>
      </c>
    </row>
    <row r="557" spans="1:7">
      <c r="A557" s="6">
        <v>45327</v>
      </c>
      <c r="B557" s="7">
        <v>2.074</v>
      </c>
      <c r="C557" s="7">
        <v>2.114</v>
      </c>
      <c r="D557" s="7">
        <v>2.13</v>
      </c>
      <c r="E557" s="7">
        <v>2.045</v>
      </c>
      <c r="F557" s="7" t="s">
        <v>2144</v>
      </c>
      <c r="G557" s="8">
        <v>-0.0058</v>
      </c>
    </row>
    <row r="558" spans="1:7">
      <c r="A558" s="6">
        <v>45328</v>
      </c>
      <c r="B558" s="7">
        <v>2.007</v>
      </c>
      <c r="C558" s="7">
        <v>2.054</v>
      </c>
      <c r="D558" s="7">
        <v>2.072</v>
      </c>
      <c r="E558" s="7">
        <v>1.996</v>
      </c>
      <c r="F558" s="7" t="s">
        <v>2145</v>
      </c>
      <c r="G558" s="8">
        <v>-0.0323</v>
      </c>
    </row>
    <row r="559" spans="1:7">
      <c r="A559" s="6">
        <v>45329</v>
      </c>
      <c r="B559" s="7">
        <v>1.98</v>
      </c>
      <c r="C559" s="7">
        <v>2</v>
      </c>
      <c r="D559" s="7">
        <v>2.035</v>
      </c>
      <c r="E559" s="7">
        <v>1.967</v>
      </c>
      <c r="F559" s="7" t="s">
        <v>2146</v>
      </c>
      <c r="G559" s="8">
        <v>-0.0135</v>
      </c>
    </row>
    <row r="560" spans="1:7">
      <c r="A560" s="6">
        <v>45330</v>
      </c>
      <c r="B560" s="7">
        <v>1.948</v>
      </c>
      <c r="C560" s="7">
        <v>1.981</v>
      </c>
      <c r="D560" s="7">
        <v>1.994</v>
      </c>
      <c r="E560" s="7">
        <v>1.9</v>
      </c>
      <c r="F560" s="7" t="s">
        <v>2147</v>
      </c>
      <c r="G560" s="8">
        <v>-0.0162</v>
      </c>
    </row>
    <row r="561" spans="1:7">
      <c r="A561" s="6">
        <v>45331</v>
      </c>
      <c r="B561" s="7">
        <v>1.885</v>
      </c>
      <c r="C561" s="7">
        <v>1.915</v>
      </c>
      <c r="D561" s="7">
        <v>1.921</v>
      </c>
      <c r="E561" s="7">
        <v>1.852</v>
      </c>
      <c r="F561" s="7" t="s">
        <v>147</v>
      </c>
      <c r="G561" s="8">
        <v>-0.0323</v>
      </c>
    </row>
    <row r="562" spans="1:7">
      <c r="A562" s="6">
        <v>45334</v>
      </c>
      <c r="B562" s="7">
        <v>1.8</v>
      </c>
      <c r="C562" s="7">
        <v>1.841</v>
      </c>
      <c r="D562" s="7">
        <v>1.89</v>
      </c>
      <c r="E562" s="7">
        <v>1.77</v>
      </c>
      <c r="F562" s="7" t="s">
        <v>2148</v>
      </c>
      <c r="G562" s="8">
        <v>-0.0451</v>
      </c>
    </row>
    <row r="563" spans="1:7">
      <c r="A563" s="6">
        <v>45335</v>
      </c>
      <c r="B563" s="7">
        <v>1.742</v>
      </c>
      <c r="C563" s="7">
        <v>1.793</v>
      </c>
      <c r="D563" s="7">
        <v>1.826</v>
      </c>
      <c r="E563" s="7">
        <v>1.707</v>
      </c>
      <c r="F563" s="7" t="s">
        <v>2149</v>
      </c>
      <c r="G563" s="8">
        <v>-0.0322</v>
      </c>
    </row>
    <row r="564" spans="1:7">
      <c r="A564" s="6">
        <v>45336</v>
      </c>
      <c r="B564" s="7">
        <v>1.665</v>
      </c>
      <c r="C564" s="7">
        <v>1.725</v>
      </c>
      <c r="D564" s="7">
        <v>1.744</v>
      </c>
      <c r="E564" s="7">
        <v>1.64</v>
      </c>
      <c r="F564" s="7" t="s">
        <v>2150</v>
      </c>
      <c r="G564" s="8">
        <v>-0.0442</v>
      </c>
    </row>
    <row r="565" spans="1:7">
      <c r="A565" s="6">
        <v>45337</v>
      </c>
      <c r="B565" s="7">
        <v>1.647</v>
      </c>
      <c r="C565" s="7">
        <v>1.672</v>
      </c>
      <c r="D565" s="7">
        <v>1.718</v>
      </c>
      <c r="E565" s="7">
        <v>1.633</v>
      </c>
      <c r="F565" s="7" t="s">
        <v>2151</v>
      </c>
      <c r="G565" s="8">
        <v>-0.0108</v>
      </c>
    </row>
    <row r="566" spans="1:7">
      <c r="A566" s="6">
        <v>45338</v>
      </c>
      <c r="B566" s="7">
        <v>1.68</v>
      </c>
      <c r="C566" s="7">
        <v>1.654</v>
      </c>
      <c r="D566" s="7">
        <v>1.704</v>
      </c>
      <c r="E566" s="7">
        <v>1.638</v>
      </c>
      <c r="F566" s="7" t="s">
        <v>2152</v>
      </c>
      <c r="G566" s="8">
        <v>0.02</v>
      </c>
    </row>
    <row r="567" spans="1:7">
      <c r="A567" s="6">
        <v>45340</v>
      </c>
      <c r="B567" s="7">
        <v>1.551</v>
      </c>
      <c r="C567" s="7">
        <v>1.527</v>
      </c>
      <c r="D567" s="7">
        <v>1.565</v>
      </c>
      <c r="E567" s="7">
        <v>1.527</v>
      </c>
      <c r="G567" s="8">
        <v>-0.0768</v>
      </c>
    </row>
    <row r="568" spans="1:7">
      <c r="A568" s="6">
        <v>45341</v>
      </c>
      <c r="B568" s="7">
        <v>1.558</v>
      </c>
      <c r="C568" s="7">
        <v>1.552</v>
      </c>
      <c r="D568" s="7">
        <v>1.583</v>
      </c>
      <c r="E568" s="7">
        <v>1.54</v>
      </c>
      <c r="G568" s="8">
        <v>0.0045</v>
      </c>
    </row>
    <row r="569" spans="1:7">
      <c r="A569" s="6">
        <v>45342</v>
      </c>
      <c r="B569" s="7">
        <v>1.646</v>
      </c>
      <c r="C569" s="7">
        <v>1.62</v>
      </c>
      <c r="D569" s="7">
        <v>1.783</v>
      </c>
      <c r="E569" s="7">
        <v>1.6</v>
      </c>
      <c r="F569" s="7" t="s">
        <v>2153</v>
      </c>
      <c r="G569" s="8">
        <v>0.0565</v>
      </c>
    </row>
    <row r="570" spans="1:7">
      <c r="A570" s="6">
        <v>45343</v>
      </c>
      <c r="B570" s="7">
        <v>1.863</v>
      </c>
      <c r="C570" s="7">
        <v>1.792</v>
      </c>
      <c r="D570" s="7">
        <v>1.877</v>
      </c>
      <c r="E570" s="7">
        <v>1.749</v>
      </c>
      <c r="F570" s="7" t="s">
        <v>896</v>
      </c>
      <c r="G570" s="8">
        <v>0.1318</v>
      </c>
    </row>
    <row r="571" spans="1:7">
      <c r="A571" s="6">
        <v>45344</v>
      </c>
      <c r="B571" s="7">
        <v>1.832</v>
      </c>
      <c r="C571" s="7">
        <v>1.863</v>
      </c>
      <c r="D571" s="7">
        <v>1.868</v>
      </c>
      <c r="E571" s="7">
        <v>1.752</v>
      </c>
      <c r="F571" s="7" t="s">
        <v>2154</v>
      </c>
      <c r="G571" s="8">
        <v>-0.0166</v>
      </c>
    </row>
    <row r="572" spans="1:7">
      <c r="A572" s="6">
        <v>45345</v>
      </c>
      <c r="B572" s="7">
        <v>1.699</v>
      </c>
      <c r="C572" s="7">
        <v>1.817</v>
      </c>
      <c r="D572" s="7">
        <v>1.819</v>
      </c>
      <c r="E572" s="7">
        <v>1.683</v>
      </c>
      <c r="F572" s="7" t="s">
        <v>2155</v>
      </c>
      <c r="G572" s="8">
        <v>-0.0726</v>
      </c>
    </row>
    <row r="573" spans="1:7">
      <c r="A573" s="6">
        <v>45348</v>
      </c>
      <c r="B573" s="7">
        <v>1.744</v>
      </c>
      <c r="C573" s="7">
        <v>1.75</v>
      </c>
      <c r="D573" s="7">
        <v>1.834</v>
      </c>
      <c r="E573" s="7">
        <v>1.716</v>
      </c>
      <c r="F573" s="7" t="s">
        <v>2156</v>
      </c>
      <c r="G573" s="8">
        <v>0.0265</v>
      </c>
    </row>
    <row r="574" spans="1:7">
      <c r="A574" s="6">
        <v>45349</v>
      </c>
      <c r="B574" s="7">
        <v>1.808</v>
      </c>
      <c r="C574" s="7">
        <v>1.751</v>
      </c>
      <c r="D574" s="7">
        <v>1.838</v>
      </c>
      <c r="E574" s="7">
        <v>1.71</v>
      </c>
      <c r="F574" s="7" t="s">
        <v>2157</v>
      </c>
      <c r="G574" s="8">
        <v>0.0367</v>
      </c>
    </row>
    <row r="575" spans="1:7">
      <c r="A575" s="6">
        <v>45350</v>
      </c>
      <c r="B575" s="7">
        <v>2.052</v>
      </c>
      <c r="C575" s="7">
        <v>1.965</v>
      </c>
      <c r="D575" s="7">
        <v>2.071</v>
      </c>
      <c r="E575" s="7">
        <v>1.94</v>
      </c>
      <c r="F575" s="7" t="s">
        <v>2158</v>
      </c>
      <c r="G575" s="8">
        <v>0.135</v>
      </c>
    </row>
    <row r="576" spans="1:7">
      <c r="A576" s="6">
        <v>45351</v>
      </c>
      <c r="B576" s="7">
        <v>2.008</v>
      </c>
      <c r="C576" s="7">
        <v>2.044</v>
      </c>
      <c r="D576" s="7">
        <v>2.064</v>
      </c>
      <c r="E576" s="7">
        <v>1.988</v>
      </c>
      <c r="F576" s="7" t="s">
        <v>1931</v>
      </c>
      <c r="G576" s="8">
        <v>-0.0214</v>
      </c>
    </row>
    <row r="577" spans="1:7">
      <c r="A577" s="6">
        <v>45352</v>
      </c>
      <c r="B577" s="7">
        <v>1.975</v>
      </c>
      <c r="C577" s="7">
        <v>1.993</v>
      </c>
      <c r="D577" s="7">
        <v>2.021</v>
      </c>
      <c r="E577" s="7">
        <v>1.948</v>
      </c>
      <c r="F577" s="7" t="s">
        <v>2159</v>
      </c>
      <c r="G577" s="8">
        <v>-0.0164</v>
      </c>
    </row>
    <row r="578" spans="1:7">
      <c r="A578" s="6">
        <v>45355</v>
      </c>
      <c r="B578" s="7">
        <v>2.073</v>
      </c>
      <c r="C578" s="7">
        <v>2.012</v>
      </c>
      <c r="D578" s="7">
        <v>2.132</v>
      </c>
      <c r="E578" s="7">
        <v>2.011</v>
      </c>
      <c r="F578" s="7" t="s">
        <v>2160</v>
      </c>
      <c r="G578" s="8">
        <v>0.0496</v>
      </c>
    </row>
    <row r="579" spans="1:7">
      <c r="A579" s="6">
        <v>45356</v>
      </c>
      <c r="B579" s="7">
        <v>2.095</v>
      </c>
      <c r="C579" s="7">
        <v>2.076</v>
      </c>
      <c r="D579" s="7">
        <v>2.152</v>
      </c>
      <c r="E579" s="7">
        <v>2.039</v>
      </c>
      <c r="F579" s="7" t="s">
        <v>2161</v>
      </c>
      <c r="G579" s="8">
        <v>0.0106</v>
      </c>
    </row>
    <row r="580" spans="1:7">
      <c r="A580" s="6">
        <v>45357</v>
      </c>
      <c r="B580" s="7">
        <v>2.072</v>
      </c>
      <c r="C580" s="7">
        <v>2.088</v>
      </c>
      <c r="D580" s="7">
        <v>2.115</v>
      </c>
      <c r="E580" s="7">
        <v>2.061</v>
      </c>
      <c r="F580" s="7" t="s">
        <v>2162</v>
      </c>
      <c r="G580" s="8">
        <v>-0.011</v>
      </c>
    </row>
    <row r="581" spans="1:7">
      <c r="A581" s="6">
        <v>45358</v>
      </c>
      <c r="B581" s="7">
        <v>1.952</v>
      </c>
      <c r="C581" s="7">
        <v>2.075</v>
      </c>
      <c r="D581" s="7">
        <v>2.087</v>
      </c>
      <c r="E581" s="7">
        <v>1.926</v>
      </c>
      <c r="F581" s="7" t="s">
        <v>2163</v>
      </c>
      <c r="G581" s="8">
        <v>-0.0579</v>
      </c>
    </row>
    <row r="582" spans="1:7">
      <c r="A582" s="6">
        <v>45359</v>
      </c>
      <c r="B582" s="7">
        <v>1.923</v>
      </c>
      <c r="C582" s="7">
        <v>1.942</v>
      </c>
      <c r="D582" s="7">
        <v>1.955</v>
      </c>
      <c r="E582" s="7">
        <v>1.896</v>
      </c>
      <c r="F582" s="7" t="s">
        <v>2164</v>
      </c>
      <c r="G582" s="8">
        <v>-0.0149</v>
      </c>
    </row>
    <row r="583" spans="1:7">
      <c r="A583" s="6">
        <v>45362</v>
      </c>
      <c r="B583" s="7">
        <v>1.862</v>
      </c>
      <c r="C583" s="7">
        <v>1.92</v>
      </c>
      <c r="D583" s="7">
        <v>1.961</v>
      </c>
      <c r="E583" s="7">
        <v>1.852</v>
      </c>
      <c r="F583" s="7" t="s">
        <v>2165</v>
      </c>
      <c r="G583" s="8">
        <v>-0.0317</v>
      </c>
    </row>
    <row r="584" spans="1:7">
      <c r="A584" s="6">
        <v>45363</v>
      </c>
      <c r="B584" s="7">
        <v>1.823</v>
      </c>
      <c r="C584" s="7">
        <v>1.855</v>
      </c>
      <c r="D584" s="7">
        <v>1.921</v>
      </c>
      <c r="E584" s="7">
        <v>1.8</v>
      </c>
      <c r="F584" s="7" t="s">
        <v>2166</v>
      </c>
      <c r="G584" s="8">
        <v>-0.0209</v>
      </c>
    </row>
    <row r="585" spans="1:7">
      <c r="A585" s="6">
        <v>45364</v>
      </c>
      <c r="B585" s="7">
        <v>1.784</v>
      </c>
      <c r="C585" s="7">
        <v>1.822</v>
      </c>
      <c r="D585" s="7">
        <v>1.833</v>
      </c>
      <c r="E585" s="7">
        <v>1.766</v>
      </c>
      <c r="F585" s="7" t="s">
        <v>1078</v>
      </c>
      <c r="G585" s="8">
        <v>-0.0214</v>
      </c>
    </row>
    <row r="586" spans="1:7">
      <c r="A586" s="6">
        <v>45365</v>
      </c>
      <c r="B586" s="7">
        <v>1.862</v>
      </c>
      <c r="C586" s="7">
        <v>1.791</v>
      </c>
      <c r="D586" s="7">
        <v>1.884</v>
      </c>
      <c r="E586" s="7">
        <v>1.761</v>
      </c>
      <c r="F586" s="7" t="s">
        <v>2167</v>
      </c>
      <c r="G586" s="8">
        <v>0.0437</v>
      </c>
    </row>
    <row r="587" spans="1:7">
      <c r="A587" s="6">
        <v>45366</v>
      </c>
      <c r="B587" s="7">
        <v>1.789</v>
      </c>
      <c r="C587" s="7">
        <v>1.875</v>
      </c>
      <c r="D587" s="7">
        <v>1.893</v>
      </c>
      <c r="E587" s="7">
        <v>1.781</v>
      </c>
      <c r="F587" s="7" t="s">
        <v>2168</v>
      </c>
      <c r="G587" s="8">
        <v>-0.0392</v>
      </c>
    </row>
    <row r="588" spans="1:7">
      <c r="A588" s="6">
        <v>45369</v>
      </c>
      <c r="B588" s="7">
        <v>1.833</v>
      </c>
      <c r="C588" s="7">
        <v>1.824</v>
      </c>
      <c r="D588" s="7">
        <v>1.884</v>
      </c>
      <c r="E588" s="7">
        <v>1.801</v>
      </c>
      <c r="F588" s="7" t="s">
        <v>2169</v>
      </c>
      <c r="G588" s="8">
        <v>0.0246</v>
      </c>
    </row>
    <row r="589" spans="1:7">
      <c r="A589" s="6">
        <v>45370</v>
      </c>
      <c r="B589" s="7">
        <v>1.876</v>
      </c>
      <c r="C589" s="7">
        <v>1.844</v>
      </c>
      <c r="D589" s="7">
        <v>1.89</v>
      </c>
      <c r="E589" s="7">
        <v>1.832</v>
      </c>
      <c r="F589" s="7" t="s">
        <v>2170</v>
      </c>
      <c r="G589" s="8">
        <v>0.0235</v>
      </c>
    </row>
    <row r="590" spans="1:7">
      <c r="A590" s="6">
        <v>45371</v>
      </c>
      <c r="B590" s="7">
        <v>1.845</v>
      </c>
      <c r="C590" s="7">
        <v>1.882</v>
      </c>
      <c r="D590" s="7">
        <v>1.9</v>
      </c>
      <c r="E590" s="7">
        <v>1.824</v>
      </c>
      <c r="F590" s="7" t="s">
        <v>2171</v>
      </c>
      <c r="G590" s="8">
        <v>-0.0165</v>
      </c>
    </row>
    <row r="591" spans="1:7">
      <c r="A591" s="6">
        <v>45372</v>
      </c>
      <c r="B591" s="7">
        <v>1.831</v>
      </c>
      <c r="C591" s="7">
        <v>1.839</v>
      </c>
      <c r="D591" s="7">
        <v>1.855</v>
      </c>
      <c r="E591" s="7">
        <v>1.797</v>
      </c>
      <c r="F591" s="7" t="s">
        <v>678</v>
      </c>
      <c r="G591" s="8">
        <v>-0.0076</v>
      </c>
    </row>
    <row r="592" spans="1:7">
      <c r="A592" s="6">
        <v>45373</v>
      </c>
      <c r="B592" s="7">
        <v>1.812</v>
      </c>
      <c r="C592" s="7">
        <v>1.838</v>
      </c>
      <c r="D592" s="7">
        <v>1.859</v>
      </c>
      <c r="E592" s="7">
        <v>1.791</v>
      </c>
      <c r="F592" s="7" t="s">
        <v>2172</v>
      </c>
      <c r="G592" s="8">
        <v>-0.0104</v>
      </c>
    </row>
    <row r="593" spans="1:7">
      <c r="A593" s="6">
        <v>45376</v>
      </c>
      <c r="B593" s="7">
        <v>1.789</v>
      </c>
      <c r="C593" s="7">
        <v>1.817</v>
      </c>
      <c r="D593" s="7">
        <v>1.825</v>
      </c>
      <c r="E593" s="7">
        <v>1.758</v>
      </c>
      <c r="F593" s="7" t="s">
        <v>2173</v>
      </c>
      <c r="G593" s="8">
        <v>-0.0127</v>
      </c>
    </row>
    <row r="594" spans="1:7">
      <c r="A594" s="6">
        <v>45377</v>
      </c>
      <c r="B594" s="7">
        <v>1.788</v>
      </c>
      <c r="C594" s="7">
        <v>1.805</v>
      </c>
      <c r="D594" s="7">
        <v>1.83</v>
      </c>
      <c r="E594" s="7">
        <v>1.775</v>
      </c>
      <c r="F594" s="7" t="s">
        <v>2174</v>
      </c>
      <c r="G594" s="8">
        <v>-0.0006</v>
      </c>
    </row>
    <row r="595" spans="1:7">
      <c r="A595" s="6">
        <v>45378</v>
      </c>
      <c r="B595" s="7">
        <v>1.953</v>
      </c>
      <c r="C595" s="7">
        <v>2.012</v>
      </c>
      <c r="D595" s="7">
        <v>2.014</v>
      </c>
      <c r="E595" s="7">
        <v>1.943</v>
      </c>
      <c r="F595" s="7" t="s">
        <v>2175</v>
      </c>
      <c r="G595" s="8">
        <v>0.0923</v>
      </c>
    </row>
    <row r="596" spans="1:7">
      <c r="A596" s="6">
        <v>45379</v>
      </c>
      <c r="B596" s="7">
        <v>1.997</v>
      </c>
      <c r="C596" s="7">
        <v>1.954</v>
      </c>
      <c r="D596" s="7">
        <v>2.017</v>
      </c>
      <c r="E596" s="7">
        <v>1.928</v>
      </c>
      <c r="F596" s="7" t="s">
        <v>2176</v>
      </c>
      <c r="G596" s="8">
        <v>0.0225</v>
      </c>
    </row>
    <row r="597" spans="1:7">
      <c r="A597" s="6">
        <v>45383</v>
      </c>
      <c r="B597" s="7">
        <v>2.074</v>
      </c>
      <c r="C597" s="7">
        <v>1.999</v>
      </c>
      <c r="D597" s="7">
        <v>2.088</v>
      </c>
      <c r="E597" s="7">
        <v>1.958</v>
      </c>
      <c r="F597" s="7" t="s">
        <v>1662</v>
      </c>
      <c r="G597" s="8">
        <v>0.0386</v>
      </c>
    </row>
    <row r="598" spans="1:7">
      <c r="A598" s="6">
        <v>45384</v>
      </c>
      <c r="B598" s="7">
        <v>2.105</v>
      </c>
      <c r="C598" s="7">
        <v>2.075</v>
      </c>
      <c r="D598" s="7">
        <v>2.115</v>
      </c>
      <c r="E598" s="7">
        <v>2.018</v>
      </c>
      <c r="F598" s="7" t="s">
        <v>2177</v>
      </c>
      <c r="G598" s="8">
        <v>0.0149</v>
      </c>
    </row>
    <row r="599" spans="1:7">
      <c r="A599" s="6">
        <v>45385</v>
      </c>
      <c r="B599" s="7">
        <v>2.067</v>
      </c>
      <c r="C599" s="7">
        <v>2.093</v>
      </c>
      <c r="D599" s="7">
        <v>2.136</v>
      </c>
      <c r="E599" s="7">
        <v>2.06</v>
      </c>
      <c r="F599" s="7" t="s">
        <v>2178</v>
      </c>
      <c r="G599" s="8">
        <v>-0.0181</v>
      </c>
    </row>
    <row r="600" spans="1:7">
      <c r="A600" s="6">
        <v>45386</v>
      </c>
      <c r="B600" s="7">
        <v>1.997</v>
      </c>
      <c r="C600" s="7">
        <v>2.068</v>
      </c>
      <c r="D600" s="7">
        <v>2.074</v>
      </c>
      <c r="E600" s="7">
        <v>1.992</v>
      </c>
      <c r="F600" s="7" t="s">
        <v>2179</v>
      </c>
      <c r="G600" s="8">
        <v>-0.0339</v>
      </c>
    </row>
    <row r="601" spans="1:7">
      <c r="A601" s="6">
        <v>45387</v>
      </c>
      <c r="B601" s="7">
        <v>2.01</v>
      </c>
      <c r="C601" s="7">
        <v>2.001</v>
      </c>
      <c r="D601" s="7">
        <v>2.036</v>
      </c>
      <c r="E601" s="7">
        <v>1.972</v>
      </c>
      <c r="F601" s="7" t="s">
        <v>2180</v>
      </c>
      <c r="G601" s="8">
        <v>0.0065</v>
      </c>
    </row>
    <row r="602" spans="1:7">
      <c r="A602" s="6">
        <v>45390</v>
      </c>
      <c r="B602" s="7">
        <v>2.051</v>
      </c>
      <c r="C602" s="7">
        <v>1.996</v>
      </c>
      <c r="D602" s="7">
        <v>2.057</v>
      </c>
      <c r="E602" s="7">
        <v>1.975</v>
      </c>
      <c r="F602" s="7" t="s">
        <v>2181</v>
      </c>
      <c r="G602" s="8">
        <v>0.0204</v>
      </c>
    </row>
    <row r="603" spans="1:7">
      <c r="A603" s="6">
        <v>45391</v>
      </c>
      <c r="B603" s="7">
        <v>2.064</v>
      </c>
      <c r="C603" s="7">
        <v>2.046</v>
      </c>
      <c r="D603" s="7">
        <v>2.11</v>
      </c>
      <c r="E603" s="7">
        <v>2.037</v>
      </c>
      <c r="F603" s="7" t="s">
        <v>2182</v>
      </c>
      <c r="G603" s="8">
        <v>0.0063</v>
      </c>
    </row>
    <row r="604" spans="1:7">
      <c r="A604" s="6">
        <v>45392</v>
      </c>
      <c r="B604" s="7">
        <v>2.074</v>
      </c>
      <c r="C604" s="7">
        <v>2.085</v>
      </c>
      <c r="D604" s="7">
        <v>2.118</v>
      </c>
      <c r="E604" s="7">
        <v>2.054</v>
      </c>
      <c r="F604" s="7" t="s">
        <v>2183</v>
      </c>
      <c r="G604" s="8">
        <v>0.0048</v>
      </c>
    </row>
    <row r="605" spans="1:7">
      <c r="A605" s="6">
        <v>45393</v>
      </c>
      <c r="B605" s="7">
        <v>2</v>
      </c>
      <c r="C605" s="7">
        <v>2.061</v>
      </c>
      <c r="D605" s="7">
        <v>2.074</v>
      </c>
      <c r="E605" s="7">
        <v>1.992</v>
      </c>
      <c r="F605" s="7" t="s">
        <v>2184</v>
      </c>
      <c r="G605" s="8">
        <v>-0.0357</v>
      </c>
    </row>
    <row r="606" spans="1:7">
      <c r="A606" s="6">
        <v>45394</v>
      </c>
      <c r="B606" s="7">
        <v>2.029</v>
      </c>
      <c r="C606" s="7">
        <v>2.005</v>
      </c>
      <c r="D606" s="7">
        <v>2.043</v>
      </c>
      <c r="E606" s="7">
        <v>1.973</v>
      </c>
      <c r="F606" s="7" t="s">
        <v>2185</v>
      </c>
      <c r="G606" s="8">
        <v>0.0145</v>
      </c>
    </row>
    <row r="607" spans="1:7">
      <c r="A607" s="6">
        <v>45397</v>
      </c>
      <c r="B607" s="7">
        <v>1.946</v>
      </c>
      <c r="C607" s="7">
        <v>2.035</v>
      </c>
      <c r="D607" s="7">
        <v>2.052</v>
      </c>
      <c r="E607" s="7">
        <v>1.931</v>
      </c>
      <c r="F607" s="7" t="s">
        <v>2186</v>
      </c>
      <c r="G607" s="8">
        <v>-0.0409</v>
      </c>
    </row>
    <row r="608" spans="1:7">
      <c r="A608" s="6">
        <v>45398</v>
      </c>
      <c r="B608" s="7">
        <v>1.988</v>
      </c>
      <c r="C608" s="7">
        <v>1.946</v>
      </c>
      <c r="D608" s="7">
        <v>2.046</v>
      </c>
      <c r="E608" s="7">
        <v>1.907</v>
      </c>
      <c r="F608" s="7" t="s">
        <v>2187</v>
      </c>
      <c r="G608" s="8">
        <v>0.0216</v>
      </c>
    </row>
    <row r="609" spans="1:7">
      <c r="A609" s="6">
        <v>45399</v>
      </c>
      <c r="B609" s="7">
        <v>1.962</v>
      </c>
      <c r="C609" s="7">
        <v>1.94</v>
      </c>
      <c r="D609" s="7">
        <v>1.976</v>
      </c>
      <c r="E609" s="7">
        <v>1.914</v>
      </c>
      <c r="F609" s="7" t="s">
        <v>2188</v>
      </c>
      <c r="G609" s="8">
        <v>-0.0131</v>
      </c>
    </row>
    <row r="610" spans="1:7">
      <c r="A610" s="6">
        <v>45400</v>
      </c>
      <c r="B610" s="7">
        <v>1.986</v>
      </c>
      <c r="C610" s="7">
        <v>1.971</v>
      </c>
      <c r="D610" s="7">
        <v>2.004</v>
      </c>
      <c r="E610" s="7">
        <v>1.964</v>
      </c>
      <c r="F610" s="7" t="s">
        <v>2189</v>
      </c>
      <c r="G610" s="8">
        <v>0.0122</v>
      </c>
    </row>
    <row r="611" spans="1:7">
      <c r="A611" s="6">
        <v>45401</v>
      </c>
      <c r="B611" s="7">
        <v>1.988</v>
      </c>
      <c r="C611" s="7">
        <v>1.974</v>
      </c>
      <c r="D611" s="7">
        <v>2.029</v>
      </c>
      <c r="E611" s="7">
        <v>1.951</v>
      </c>
      <c r="F611" s="7" t="s">
        <v>2190</v>
      </c>
      <c r="G611" s="8">
        <v>0.001</v>
      </c>
    </row>
    <row r="612" spans="1:7">
      <c r="A612" s="6">
        <v>45404</v>
      </c>
      <c r="B612" s="7">
        <v>2.065</v>
      </c>
      <c r="C612" s="7">
        <v>1.988</v>
      </c>
      <c r="D612" s="7">
        <v>2.072</v>
      </c>
      <c r="E612" s="7">
        <v>1.961</v>
      </c>
      <c r="F612" s="7" t="s">
        <v>2191</v>
      </c>
      <c r="G612" s="8">
        <v>0.0387</v>
      </c>
    </row>
    <row r="613" spans="1:7">
      <c r="A613" s="6">
        <v>45405</v>
      </c>
      <c r="B613" s="7">
        <v>2.094</v>
      </c>
      <c r="C613" s="7">
        <v>2.07</v>
      </c>
      <c r="D613" s="7">
        <v>2.14</v>
      </c>
      <c r="E613" s="7">
        <v>2.018</v>
      </c>
      <c r="F613" s="7" t="s">
        <v>2192</v>
      </c>
      <c r="G613" s="8">
        <v>0.014</v>
      </c>
    </row>
    <row r="614" spans="1:7">
      <c r="A614" s="6">
        <v>45406</v>
      </c>
      <c r="B614" s="7">
        <v>1.979</v>
      </c>
      <c r="C614" s="7">
        <v>2.128</v>
      </c>
      <c r="D614" s="7">
        <v>2.133</v>
      </c>
      <c r="E614" s="7">
        <v>1.96</v>
      </c>
      <c r="F614" s="7" t="s">
        <v>2193</v>
      </c>
      <c r="G614" s="8">
        <v>-0.0549</v>
      </c>
    </row>
    <row r="615" spans="1:7">
      <c r="A615" s="6">
        <v>45407</v>
      </c>
      <c r="B615" s="7">
        <v>1.986</v>
      </c>
      <c r="C615" s="7">
        <v>1.969</v>
      </c>
      <c r="D615" s="7">
        <v>1.993</v>
      </c>
      <c r="E615" s="7">
        <v>1.926</v>
      </c>
      <c r="F615" s="7" t="s">
        <v>2194</v>
      </c>
      <c r="G615" s="8">
        <v>0.0035</v>
      </c>
    </row>
    <row r="616" spans="1:7">
      <c r="A616" s="6">
        <v>45408</v>
      </c>
      <c r="B616" s="7">
        <v>1.923</v>
      </c>
      <c r="C616" s="7">
        <v>1.977</v>
      </c>
      <c r="D616" s="7">
        <v>2.002</v>
      </c>
      <c r="E616" s="7">
        <v>1.909</v>
      </c>
      <c r="F616" s="7" t="s">
        <v>2195</v>
      </c>
      <c r="G616" s="8">
        <v>-0.0317</v>
      </c>
    </row>
    <row r="617" spans="1:7">
      <c r="A617" s="6">
        <v>45411</v>
      </c>
      <c r="B617" s="7">
        <v>2.373</v>
      </c>
      <c r="C617" s="7">
        <v>2.282</v>
      </c>
      <c r="D617" s="7">
        <v>2.391</v>
      </c>
      <c r="E617" s="7">
        <v>2.279</v>
      </c>
      <c r="F617" s="7" t="s">
        <v>2196</v>
      </c>
      <c r="G617" s="8">
        <v>0.234</v>
      </c>
    </row>
    <row r="618" spans="1:7">
      <c r="A618" s="6">
        <v>45412</v>
      </c>
      <c r="B618" s="7">
        <v>2.319</v>
      </c>
      <c r="C618" s="7">
        <v>2.394</v>
      </c>
      <c r="D618" s="7">
        <v>2.42</v>
      </c>
      <c r="E618" s="7">
        <v>2.287</v>
      </c>
      <c r="F618" s="7" t="s">
        <v>235</v>
      </c>
      <c r="G618" s="8">
        <v>-0.0228</v>
      </c>
    </row>
    <row r="619" spans="1:7">
      <c r="A619" s="6">
        <v>45413</v>
      </c>
      <c r="B619" s="7">
        <v>2.266</v>
      </c>
      <c r="C619" s="7">
        <v>2.285</v>
      </c>
      <c r="D619" s="7">
        <v>2.3</v>
      </c>
      <c r="E619" s="7">
        <v>2.255</v>
      </c>
      <c r="F619" s="7" t="s">
        <v>2197</v>
      </c>
      <c r="G619" s="8">
        <v>-0.0229</v>
      </c>
    </row>
    <row r="620" spans="1:7">
      <c r="A620" s="6">
        <v>45414</v>
      </c>
      <c r="B620" s="7">
        <v>2.331</v>
      </c>
      <c r="C620" s="7">
        <v>2.263</v>
      </c>
      <c r="D620" s="7">
        <v>2.344</v>
      </c>
      <c r="E620" s="7">
        <v>2.261</v>
      </c>
      <c r="F620" s="7" t="s">
        <v>2198</v>
      </c>
      <c r="G620" s="8">
        <v>0.0287</v>
      </c>
    </row>
    <row r="621" spans="1:7">
      <c r="A621" s="6">
        <v>45415</v>
      </c>
      <c r="B621" s="7">
        <v>2.416</v>
      </c>
      <c r="C621" s="7">
        <v>2.333</v>
      </c>
      <c r="D621" s="7">
        <v>2.43</v>
      </c>
      <c r="E621" s="7">
        <v>2.305</v>
      </c>
      <c r="F621" s="7" t="s">
        <v>2199</v>
      </c>
      <c r="G621" s="8">
        <v>0.0365</v>
      </c>
    </row>
    <row r="622" spans="1:7">
      <c r="A622" s="6">
        <v>45418</v>
      </c>
      <c r="B622" s="7">
        <v>2.463</v>
      </c>
      <c r="C622" s="7">
        <v>2.439</v>
      </c>
      <c r="D622" s="7">
        <v>2.521</v>
      </c>
      <c r="E622" s="7">
        <v>2.396</v>
      </c>
      <c r="F622" s="7" t="s">
        <v>2200</v>
      </c>
      <c r="G622" s="8">
        <v>0.0195</v>
      </c>
    </row>
    <row r="623" spans="1:7">
      <c r="A623" s="6">
        <v>45419</v>
      </c>
      <c r="B623" s="7">
        <v>2.471</v>
      </c>
      <c r="C623" s="7">
        <v>2.476</v>
      </c>
      <c r="D623" s="7">
        <v>2.493</v>
      </c>
      <c r="E623" s="7">
        <v>2.423</v>
      </c>
      <c r="F623" s="7" t="s">
        <v>2201</v>
      </c>
      <c r="G623" s="8">
        <v>0.0032</v>
      </c>
    </row>
    <row r="624" spans="1:7">
      <c r="A624" s="6">
        <v>45420</v>
      </c>
      <c r="B624" s="7">
        <v>2.474</v>
      </c>
      <c r="C624" s="7">
        <v>2.479</v>
      </c>
      <c r="D624" s="7">
        <v>2.533</v>
      </c>
      <c r="E624" s="7">
        <v>2.45</v>
      </c>
      <c r="F624" s="7" t="s">
        <v>2202</v>
      </c>
      <c r="G624" s="8">
        <v>0.0012</v>
      </c>
    </row>
    <row r="625" spans="1:7">
      <c r="A625" s="6">
        <v>45421</v>
      </c>
      <c r="B625" s="7">
        <v>2.537</v>
      </c>
      <c r="C625" s="7">
        <v>2.47</v>
      </c>
      <c r="D625" s="7">
        <v>2.561</v>
      </c>
      <c r="E625" s="7">
        <v>2.438</v>
      </c>
      <c r="F625" s="7" t="s">
        <v>2203</v>
      </c>
      <c r="G625" s="8">
        <v>0.0255</v>
      </c>
    </row>
    <row r="626" spans="1:7">
      <c r="A626" s="6">
        <v>45422</v>
      </c>
      <c r="B626" s="7">
        <v>2.484</v>
      </c>
      <c r="C626" s="7">
        <v>2.539</v>
      </c>
      <c r="D626" s="7">
        <v>2.567</v>
      </c>
      <c r="E626" s="7">
        <v>2.473</v>
      </c>
      <c r="F626" s="7" t="s">
        <v>2204</v>
      </c>
      <c r="G626" s="8">
        <v>-0.0209</v>
      </c>
    </row>
    <row r="627" spans="1:7">
      <c r="A627" s="6">
        <v>45425</v>
      </c>
      <c r="B627" s="7">
        <v>2.587</v>
      </c>
      <c r="C627" s="7">
        <v>2.477</v>
      </c>
      <c r="D627" s="7">
        <v>2.59</v>
      </c>
      <c r="E627" s="7">
        <v>2.447</v>
      </c>
      <c r="F627" s="7" t="s">
        <v>2205</v>
      </c>
      <c r="G627" s="8">
        <v>0.0415</v>
      </c>
    </row>
    <row r="628" spans="1:7">
      <c r="A628" s="6">
        <v>45426</v>
      </c>
      <c r="B628" s="7">
        <v>2.559</v>
      </c>
      <c r="C628" s="7">
        <v>2.576</v>
      </c>
      <c r="D628" s="7">
        <v>2.61</v>
      </c>
      <c r="E628" s="7">
        <v>2.52</v>
      </c>
      <c r="F628" s="7" t="s">
        <v>2206</v>
      </c>
      <c r="G628" s="8">
        <v>-0.0108</v>
      </c>
    </row>
    <row r="629" spans="1:7">
      <c r="A629" s="6">
        <v>45427</v>
      </c>
      <c r="B629" s="7">
        <v>2.631</v>
      </c>
      <c r="C629" s="7">
        <v>2.559</v>
      </c>
      <c r="D629" s="7">
        <v>2.637</v>
      </c>
      <c r="E629" s="7">
        <v>2.542</v>
      </c>
      <c r="F629" s="7" t="s">
        <v>2207</v>
      </c>
      <c r="G629" s="8">
        <v>0.0281</v>
      </c>
    </row>
    <row r="630" spans="1:7">
      <c r="A630" s="6">
        <v>45428</v>
      </c>
      <c r="B630" s="7">
        <v>2.687</v>
      </c>
      <c r="C630" s="7">
        <v>2.622</v>
      </c>
      <c r="D630" s="7">
        <v>2.753</v>
      </c>
      <c r="E630" s="7">
        <v>2.609</v>
      </c>
      <c r="F630" s="7" t="s">
        <v>2208</v>
      </c>
      <c r="G630" s="8">
        <v>0.0213</v>
      </c>
    </row>
    <row r="631" spans="1:7">
      <c r="A631" s="6">
        <v>45429</v>
      </c>
      <c r="B631" s="7">
        <v>2.789</v>
      </c>
      <c r="C631" s="7">
        <v>2.681</v>
      </c>
      <c r="D631" s="7">
        <v>2.809</v>
      </c>
      <c r="E631" s="7">
        <v>2.673</v>
      </c>
      <c r="F631" s="7" t="s">
        <v>2209</v>
      </c>
      <c r="G631" s="8">
        <v>0.038</v>
      </c>
    </row>
    <row r="632" spans="1:7">
      <c r="A632" s="6">
        <v>45432</v>
      </c>
      <c r="B632" s="7">
        <v>2.901</v>
      </c>
      <c r="C632" s="7">
        <v>2.815</v>
      </c>
      <c r="D632" s="7">
        <v>2.905</v>
      </c>
      <c r="E632" s="7">
        <v>2.785</v>
      </c>
      <c r="F632" s="7" t="s">
        <v>2210</v>
      </c>
      <c r="G632" s="8">
        <v>0.0402</v>
      </c>
    </row>
    <row r="633" spans="1:7">
      <c r="A633" s="6">
        <v>45433</v>
      </c>
      <c r="B633" s="7">
        <v>2.839</v>
      </c>
      <c r="C633" s="7">
        <v>2.891</v>
      </c>
      <c r="D633" s="7">
        <v>2.945</v>
      </c>
      <c r="E633" s="7">
        <v>2.802</v>
      </c>
      <c r="F633" s="7" t="s">
        <v>2211</v>
      </c>
      <c r="G633" s="8">
        <v>-0.0214</v>
      </c>
    </row>
    <row r="634" spans="1:7">
      <c r="A634" s="6">
        <v>45434</v>
      </c>
      <c r="B634" s="7">
        <v>3.052</v>
      </c>
      <c r="C634" s="7">
        <v>2.834</v>
      </c>
      <c r="D634" s="7">
        <v>3.06</v>
      </c>
      <c r="E634" s="7">
        <v>2.786</v>
      </c>
      <c r="F634" s="7" t="s">
        <v>2212</v>
      </c>
      <c r="G634" s="8">
        <v>0.075</v>
      </c>
    </row>
    <row r="635" spans="1:7">
      <c r="A635" s="6">
        <v>45435</v>
      </c>
      <c r="B635" s="7">
        <v>2.923</v>
      </c>
      <c r="C635" s="7">
        <v>3.004</v>
      </c>
      <c r="D635" s="7">
        <v>3.161</v>
      </c>
      <c r="E635" s="7">
        <v>2.896</v>
      </c>
      <c r="F635" s="7" t="s">
        <v>2213</v>
      </c>
      <c r="G635" s="8">
        <v>-0.0423</v>
      </c>
    </row>
    <row r="636" spans="1:7">
      <c r="A636" s="6">
        <v>45436</v>
      </c>
      <c r="B636" s="7">
        <v>2.773</v>
      </c>
      <c r="C636" s="7">
        <v>2.938</v>
      </c>
      <c r="D636" s="7">
        <v>2.965</v>
      </c>
      <c r="E636" s="7">
        <v>2.759</v>
      </c>
      <c r="F636" s="7" t="s">
        <v>2214</v>
      </c>
      <c r="G636" s="8">
        <v>-0.0513</v>
      </c>
    </row>
    <row r="637" spans="1:7">
      <c r="A637" s="6">
        <v>45438</v>
      </c>
      <c r="B637" s="7">
        <v>2.748</v>
      </c>
      <c r="C637" s="7">
        <v>2.747</v>
      </c>
      <c r="D637" s="7">
        <v>2.76</v>
      </c>
      <c r="E637" s="7">
        <v>2.732</v>
      </c>
      <c r="G637" s="8">
        <v>-0.009</v>
      </c>
    </row>
    <row r="638" spans="1:7">
      <c r="A638" s="6">
        <v>45439</v>
      </c>
      <c r="B638" s="7">
        <v>2.78</v>
      </c>
      <c r="C638" s="7">
        <v>2.747</v>
      </c>
      <c r="D638" s="7">
        <v>2.853</v>
      </c>
      <c r="E638" s="7">
        <v>2.742</v>
      </c>
      <c r="G638" s="8">
        <v>0.0116</v>
      </c>
    </row>
    <row r="639" spans="1:7">
      <c r="A639" s="6">
        <v>45440</v>
      </c>
      <c r="B639" s="7">
        <v>2.825</v>
      </c>
      <c r="C639" s="7">
        <v>2.761</v>
      </c>
      <c r="D639" s="7">
        <v>2.853</v>
      </c>
      <c r="E639" s="7">
        <v>2.732</v>
      </c>
      <c r="F639" s="7" t="s">
        <v>2215</v>
      </c>
      <c r="G639" s="8">
        <v>0.0162</v>
      </c>
    </row>
    <row r="640" spans="1:7">
      <c r="A640" s="6">
        <v>45441</v>
      </c>
      <c r="B640" s="7">
        <v>2.666</v>
      </c>
      <c r="C640" s="7">
        <v>2.836</v>
      </c>
      <c r="D640" s="7">
        <v>2.848</v>
      </c>
      <c r="E640" s="7">
        <v>2.655</v>
      </c>
      <c r="F640" s="7" t="s">
        <v>2216</v>
      </c>
      <c r="G640" s="8">
        <v>-0.0563</v>
      </c>
    </row>
    <row r="641" spans="1:7">
      <c r="A641" s="6">
        <v>45442</v>
      </c>
      <c r="B641" s="7">
        <v>2.647</v>
      </c>
      <c r="C641" s="7">
        <v>2.715</v>
      </c>
      <c r="D641" s="7">
        <v>2.731</v>
      </c>
      <c r="E641" s="7">
        <v>2.637</v>
      </c>
      <c r="F641" s="7" t="s">
        <v>2217</v>
      </c>
      <c r="G641" s="8">
        <v>-0.0071</v>
      </c>
    </row>
    <row r="642" spans="1:7">
      <c r="A642" s="6">
        <v>45443</v>
      </c>
      <c r="B642" s="7">
        <v>2.662</v>
      </c>
      <c r="C642" s="7">
        <v>2.647</v>
      </c>
      <c r="D642" s="7">
        <v>2.701</v>
      </c>
      <c r="E642" s="7">
        <v>2.605</v>
      </c>
      <c r="F642" s="7" t="s">
        <v>2218</v>
      </c>
      <c r="G642" s="8">
        <v>0.0057</v>
      </c>
    </row>
    <row r="643" spans="1:7">
      <c r="A643" s="6">
        <v>45446</v>
      </c>
      <c r="B643" s="7">
        <v>2.804</v>
      </c>
      <c r="C643" s="7">
        <v>2.716</v>
      </c>
      <c r="D643" s="7">
        <v>2.85</v>
      </c>
      <c r="E643" s="7">
        <v>2.688</v>
      </c>
      <c r="F643" s="7" t="s">
        <v>2219</v>
      </c>
      <c r="G643" s="8">
        <v>0.0533</v>
      </c>
    </row>
    <row r="644" spans="1:7">
      <c r="A644" s="6">
        <v>45447</v>
      </c>
      <c r="B644" s="7">
        <v>2.67</v>
      </c>
      <c r="C644" s="7">
        <v>2.814</v>
      </c>
      <c r="D644" s="7">
        <v>2.874</v>
      </c>
      <c r="E644" s="7">
        <v>2.656</v>
      </c>
      <c r="F644" s="7" t="s">
        <v>2220</v>
      </c>
      <c r="G644" s="8">
        <v>-0.0478</v>
      </c>
    </row>
    <row r="645" spans="1:7">
      <c r="A645" s="6">
        <v>45448</v>
      </c>
      <c r="B645" s="7">
        <v>2.828</v>
      </c>
      <c r="C645" s="7">
        <v>2.694</v>
      </c>
      <c r="D645" s="7">
        <v>2.854</v>
      </c>
      <c r="E645" s="7">
        <v>2.681</v>
      </c>
      <c r="F645" s="7" t="s">
        <v>2221</v>
      </c>
      <c r="G645" s="8">
        <v>0.0592</v>
      </c>
    </row>
    <row r="646" spans="1:7">
      <c r="A646" s="6">
        <v>45449</v>
      </c>
      <c r="B646" s="7">
        <v>2.892</v>
      </c>
      <c r="C646" s="7">
        <v>2.829</v>
      </c>
      <c r="D646" s="7">
        <v>2.946</v>
      </c>
      <c r="E646" s="7">
        <v>2.796</v>
      </c>
      <c r="F646" s="7" t="s">
        <v>2222</v>
      </c>
      <c r="G646" s="8">
        <v>0.0226</v>
      </c>
    </row>
    <row r="647" spans="1:7">
      <c r="A647" s="6">
        <v>45450</v>
      </c>
      <c r="B647" s="7">
        <v>2.996</v>
      </c>
      <c r="C647" s="7">
        <v>2.883</v>
      </c>
      <c r="D647" s="7">
        <v>3.037</v>
      </c>
      <c r="E647" s="7">
        <v>2.871</v>
      </c>
      <c r="F647" s="7" t="s">
        <v>2003</v>
      </c>
      <c r="G647" s="8">
        <v>0.036</v>
      </c>
    </row>
    <row r="648" spans="1:7">
      <c r="A648" s="6">
        <v>45453</v>
      </c>
      <c r="B648" s="7">
        <v>2.977</v>
      </c>
      <c r="C648" s="7">
        <v>3.055</v>
      </c>
      <c r="D648" s="7">
        <v>3.163</v>
      </c>
      <c r="E648" s="7">
        <v>2.945</v>
      </c>
      <c r="F648" s="7" t="s">
        <v>2223</v>
      </c>
      <c r="G648" s="8">
        <v>-0.0063</v>
      </c>
    </row>
    <row r="649" spans="1:7">
      <c r="A649" s="6">
        <v>45454</v>
      </c>
      <c r="B649" s="7">
        <v>3.193</v>
      </c>
      <c r="C649" s="7">
        <v>3.046</v>
      </c>
      <c r="D649" s="7">
        <v>3.221</v>
      </c>
      <c r="E649" s="7">
        <v>3.031</v>
      </c>
      <c r="F649" s="7" t="s">
        <v>2224</v>
      </c>
      <c r="G649" s="8">
        <v>0.0726</v>
      </c>
    </row>
    <row r="650" spans="1:7">
      <c r="A650" s="6">
        <v>45455</v>
      </c>
      <c r="B650" s="7">
        <v>3.122</v>
      </c>
      <c r="C650" s="7">
        <v>3.194</v>
      </c>
      <c r="D650" s="7">
        <v>3.194</v>
      </c>
      <c r="E650" s="7">
        <v>3.073</v>
      </c>
      <c r="F650" s="7" t="s">
        <v>2225</v>
      </c>
      <c r="G650" s="8">
        <v>-0.0222</v>
      </c>
    </row>
    <row r="651" spans="1:7">
      <c r="A651" s="6">
        <v>45456</v>
      </c>
      <c r="B651" s="7">
        <v>3.037</v>
      </c>
      <c r="C651" s="7">
        <v>3.104</v>
      </c>
      <c r="D651" s="7">
        <v>3.167</v>
      </c>
      <c r="E651" s="7">
        <v>2.978</v>
      </c>
      <c r="F651" s="7" t="s">
        <v>2226</v>
      </c>
      <c r="G651" s="8">
        <v>-0.0272</v>
      </c>
    </row>
    <row r="652" spans="1:7">
      <c r="A652" s="6">
        <v>45457</v>
      </c>
      <c r="B652" s="7">
        <v>2.963</v>
      </c>
      <c r="C652" s="7">
        <v>3</v>
      </c>
      <c r="D652" s="7">
        <v>3.068</v>
      </c>
      <c r="E652" s="7">
        <v>2.95</v>
      </c>
      <c r="F652" s="7" t="s">
        <v>444</v>
      </c>
      <c r="G652" s="8">
        <v>-0.0244</v>
      </c>
    </row>
    <row r="653" spans="1:7">
      <c r="A653" s="6">
        <v>45460</v>
      </c>
      <c r="B653" s="7">
        <v>2.867</v>
      </c>
      <c r="C653" s="7">
        <v>2.93</v>
      </c>
      <c r="D653" s="7">
        <v>2.93</v>
      </c>
      <c r="E653" s="7">
        <v>2.837</v>
      </c>
      <c r="F653" s="7" t="s">
        <v>2227</v>
      </c>
      <c r="G653" s="8">
        <v>-0.0324</v>
      </c>
    </row>
    <row r="654" spans="1:7">
      <c r="A654" s="6">
        <v>45461</v>
      </c>
      <c r="B654" s="7">
        <v>2.99</v>
      </c>
      <c r="C654" s="7">
        <v>2.87</v>
      </c>
      <c r="D654" s="7">
        <v>2.997</v>
      </c>
      <c r="E654" s="7">
        <v>2.858</v>
      </c>
      <c r="F654" s="7" t="s">
        <v>2228</v>
      </c>
      <c r="G654" s="8">
        <v>0.0429</v>
      </c>
    </row>
    <row r="655" spans="1:7">
      <c r="A655" s="6">
        <v>45462</v>
      </c>
      <c r="B655" s="7">
        <v>2.916</v>
      </c>
      <c r="C655" s="7">
        <v>2.904</v>
      </c>
      <c r="D655" s="7">
        <v>2.928</v>
      </c>
      <c r="E655" s="7">
        <v>2.859</v>
      </c>
      <c r="G655" s="8">
        <v>-0.0247</v>
      </c>
    </row>
    <row r="656" spans="1:7">
      <c r="A656" s="6">
        <v>45463</v>
      </c>
      <c r="B656" s="7">
        <v>2.854</v>
      </c>
      <c r="C656" s="7">
        <v>2.995</v>
      </c>
      <c r="D656" s="7">
        <v>3.027</v>
      </c>
      <c r="E656" s="7">
        <v>2.833</v>
      </c>
      <c r="F656" s="7" t="s">
        <v>2229</v>
      </c>
      <c r="G656" s="8">
        <v>-0.0213</v>
      </c>
    </row>
    <row r="657" spans="1:7">
      <c r="A657" s="6">
        <v>45464</v>
      </c>
      <c r="B657" s="7">
        <v>2.836</v>
      </c>
      <c r="C657" s="7">
        <v>2.838</v>
      </c>
      <c r="D657" s="7">
        <v>2.888</v>
      </c>
      <c r="E657" s="7">
        <v>2.793</v>
      </c>
      <c r="F657" s="7" t="s">
        <v>2230</v>
      </c>
      <c r="G657" s="8">
        <v>-0.0063</v>
      </c>
    </row>
    <row r="658" spans="1:7">
      <c r="A658" s="6">
        <v>45467</v>
      </c>
      <c r="B658" s="7">
        <v>2.948</v>
      </c>
      <c r="C658" s="7">
        <v>2.813</v>
      </c>
      <c r="D658" s="7">
        <v>2.953</v>
      </c>
      <c r="E658" s="7">
        <v>2.78</v>
      </c>
      <c r="F658" s="7" t="s">
        <v>2231</v>
      </c>
      <c r="G658" s="8">
        <v>0.0395</v>
      </c>
    </row>
    <row r="659" spans="1:7">
      <c r="A659" s="6">
        <v>45468</v>
      </c>
      <c r="B659" s="7">
        <v>2.863</v>
      </c>
      <c r="C659" s="7">
        <v>2.943</v>
      </c>
      <c r="D659" s="7">
        <v>2.951</v>
      </c>
      <c r="E659" s="7">
        <v>2.831</v>
      </c>
      <c r="F659" s="7" t="s">
        <v>509</v>
      </c>
      <c r="G659" s="8">
        <v>-0.0288</v>
      </c>
    </row>
    <row r="660" spans="1:7">
      <c r="A660" s="6">
        <v>45469</v>
      </c>
      <c r="B660" s="7">
        <v>2.745</v>
      </c>
      <c r="C660" s="7">
        <v>2.85</v>
      </c>
      <c r="D660" s="7">
        <v>2.863</v>
      </c>
      <c r="E660" s="7">
        <v>2.731</v>
      </c>
      <c r="F660" s="7" t="s">
        <v>2232</v>
      </c>
      <c r="G660" s="8">
        <v>-0.0412</v>
      </c>
    </row>
    <row r="661" spans="1:7">
      <c r="A661" s="6">
        <v>45470</v>
      </c>
      <c r="B661" s="7">
        <v>2.675</v>
      </c>
      <c r="C661" s="7">
        <v>2.725</v>
      </c>
      <c r="D661" s="7">
        <v>2.773</v>
      </c>
      <c r="E661" s="7">
        <v>2.665</v>
      </c>
      <c r="F661" s="7" t="s">
        <v>2233</v>
      </c>
      <c r="G661" s="8">
        <v>-0.0255</v>
      </c>
    </row>
    <row r="662" spans="1:7">
      <c r="A662" s="6">
        <v>45471</v>
      </c>
      <c r="B662" s="7">
        <v>2.598</v>
      </c>
      <c r="C662" s="7">
        <v>2.694</v>
      </c>
      <c r="D662" s="7">
        <v>2.749</v>
      </c>
      <c r="E662" s="7">
        <v>2.591</v>
      </c>
      <c r="F662" s="7" t="s">
        <v>2234</v>
      </c>
      <c r="G662" s="8">
        <v>-0.0288</v>
      </c>
    </row>
    <row r="663" spans="1:7">
      <c r="A663" s="6">
        <v>45474</v>
      </c>
      <c r="B663" s="7">
        <v>2.492</v>
      </c>
      <c r="C663" s="7">
        <v>2.581</v>
      </c>
      <c r="D663" s="7">
        <v>2.599</v>
      </c>
      <c r="E663" s="7">
        <v>2.474</v>
      </c>
      <c r="F663" s="7" t="s">
        <v>2235</v>
      </c>
      <c r="G663" s="8">
        <v>-0.0408</v>
      </c>
    </row>
    <row r="664" spans="1:7">
      <c r="A664" s="6">
        <v>45475</v>
      </c>
      <c r="B664" s="7">
        <v>2.454</v>
      </c>
      <c r="C664" s="7">
        <v>2.482</v>
      </c>
      <c r="D664" s="7">
        <v>2.497</v>
      </c>
      <c r="E664" s="7">
        <v>2.436</v>
      </c>
      <c r="F664" s="7" t="s">
        <v>2236</v>
      </c>
      <c r="G664" s="8">
        <v>-0.0152</v>
      </c>
    </row>
    <row r="665" spans="1:7">
      <c r="A665" s="6">
        <v>45476</v>
      </c>
      <c r="B665" s="7">
        <v>2.447</v>
      </c>
      <c r="C665" s="7">
        <v>2.485</v>
      </c>
      <c r="D665" s="7">
        <v>2.503</v>
      </c>
      <c r="E665" s="7">
        <v>2.434</v>
      </c>
      <c r="F665" s="7" t="s">
        <v>2237</v>
      </c>
      <c r="G665" s="8">
        <v>-0.0029</v>
      </c>
    </row>
    <row r="666" spans="1:7">
      <c r="A666" s="6">
        <v>45477</v>
      </c>
      <c r="B666" s="7">
        <v>2.371</v>
      </c>
      <c r="C666" s="7">
        <v>2.431</v>
      </c>
      <c r="D666" s="7">
        <v>2.439</v>
      </c>
      <c r="E666" s="7">
        <v>2.335</v>
      </c>
      <c r="G666" s="8">
        <v>-0.0311</v>
      </c>
    </row>
    <row r="667" spans="1:7">
      <c r="A667" s="6">
        <v>45478</v>
      </c>
      <c r="B667" s="7">
        <v>2.35</v>
      </c>
      <c r="C667" s="7">
        <v>2.459</v>
      </c>
      <c r="D667" s="7">
        <v>2.466</v>
      </c>
      <c r="E667" s="7">
        <v>2.347</v>
      </c>
      <c r="F667" s="7" t="s">
        <v>2238</v>
      </c>
      <c r="G667" s="8">
        <v>-0.0089</v>
      </c>
    </row>
    <row r="668" spans="1:7">
      <c r="A668" s="6">
        <v>45481</v>
      </c>
      <c r="B668" s="7">
        <v>2.382</v>
      </c>
      <c r="C668" s="7">
        <v>2.3</v>
      </c>
      <c r="D668" s="7">
        <v>2.417</v>
      </c>
      <c r="E668" s="7">
        <v>2.3</v>
      </c>
      <c r="F668" s="7" t="s">
        <v>2239</v>
      </c>
      <c r="G668" s="8">
        <v>0.0136</v>
      </c>
    </row>
    <row r="669" spans="1:7">
      <c r="A669" s="6">
        <v>45482</v>
      </c>
      <c r="B669" s="7">
        <v>2.36</v>
      </c>
      <c r="C669" s="7">
        <v>2.384</v>
      </c>
      <c r="D669" s="7">
        <v>2.454</v>
      </c>
      <c r="E669" s="7">
        <v>2.351</v>
      </c>
      <c r="F669" s="7" t="s">
        <v>2240</v>
      </c>
      <c r="G669" s="8">
        <v>-0.0092</v>
      </c>
    </row>
    <row r="670" spans="1:7">
      <c r="A670" s="6">
        <v>45483</v>
      </c>
      <c r="B670" s="7">
        <v>2.345</v>
      </c>
      <c r="C670" s="7">
        <v>2.366</v>
      </c>
      <c r="D670" s="7">
        <v>2.396</v>
      </c>
      <c r="E670" s="7">
        <v>2.313</v>
      </c>
      <c r="F670" s="7" t="s">
        <v>2241</v>
      </c>
      <c r="G670" s="8">
        <v>-0.0064</v>
      </c>
    </row>
    <row r="671" spans="1:7">
      <c r="A671" s="6">
        <v>45484</v>
      </c>
      <c r="B671" s="7">
        <v>2.282</v>
      </c>
      <c r="C671" s="7">
        <v>2.339</v>
      </c>
      <c r="D671" s="7">
        <v>2.353</v>
      </c>
      <c r="E671" s="7">
        <v>2.277</v>
      </c>
      <c r="F671" s="7" t="s">
        <v>2242</v>
      </c>
      <c r="G671" s="8">
        <v>-0.0269</v>
      </c>
    </row>
    <row r="672" spans="1:7">
      <c r="A672" s="6">
        <v>45485</v>
      </c>
      <c r="B672" s="7">
        <v>2.331</v>
      </c>
      <c r="C672" s="7">
        <v>2.287</v>
      </c>
      <c r="D672" s="7">
        <v>2.357</v>
      </c>
      <c r="E672" s="7">
        <v>2.252</v>
      </c>
      <c r="F672" s="7" t="s">
        <v>296</v>
      </c>
      <c r="G672" s="8">
        <v>0.0215</v>
      </c>
    </row>
    <row r="673" spans="1:7">
      <c r="A673" s="6">
        <v>45488</v>
      </c>
      <c r="B673" s="7">
        <v>2.178</v>
      </c>
      <c r="C673" s="7">
        <v>2.283</v>
      </c>
      <c r="D673" s="7">
        <v>2.284</v>
      </c>
      <c r="E673" s="7">
        <v>2.167</v>
      </c>
      <c r="F673" s="7" t="s">
        <v>2243</v>
      </c>
      <c r="G673" s="8">
        <v>-0.0656</v>
      </c>
    </row>
    <row r="674" spans="1:7">
      <c r="A674" s="6">
        <v>45489</v>
      </c>
      <c r="B674" s="7">
        <v>2.206</v>
      </c>
      <c r="C674" s="7">
        <v>2.189</v>
      </c>
      <c r="D674" s="7">
        <v>2.235</v>
      </c>
      <c r="E674" s="7">
        <v>2.171</v>
      </c>
      <c r="F674" s="7" t="s">
        <v>2244</v>
      </c>
      <c r="G674" s="8">
        <v>0.0129</v>
      </c>
    </row>
    <row r="675" spans="1:7">
      <c r="A675" s="6">
        <v>45490</v>
      </c>
      <c r="B675" s="7">
        <v>2.071</v>
      </c>
      <c r="C675" s="7">
        <v>2.203</v>
      </c>
      <c r="D675" s="7">
        <v>2.224</v>
      </c>
      <c r="E675" s="7">
        <v>2.055</v>
      </c>
      <c r="F675" s="7" t="s">
        <v>2245</v>
      </c>
      <c r="G675" s="8">
        <v>-0.0612</v>
      </c>
    </row>
    <row r="676" spans="1:7">
      <c r="A676" s="6">
        <v>45491</v>
      </c>
      <c r="B676" s="7">
        <v>2.168</v>
      </c>
      <c r="C676" s="7">
        <v>2.088</v>
      </c>
      <c r="D676" s="7">
        <v>2.172</v>
      </c>
      <c r="E676" s="7">
        <v>2.063</v>
      </c>
      <c r="F676" s="7" t="s">
        <v>2246</v>
      </c>
      <c r="G676" s="8">
        <v>0.0468</v>
      </c>
    </row>
    <row r="677" spans="1:7">
      <c r="A677" s="6">
        <v>45492</v>
      </c>
      <c r="B677" s="7">
        <v>2.165</v>
      </c>
      <c r="C677" s="7">
        <v>2.128</v>
      </c>
      <c r="D677" s="7">
        <v>2.179</v>
      </c>
      <c r="E677" s="7">
        <v>2.095</v>
      </c>
      <c r="F677" s="7" t="s">
        <v>2247</v>
      </c>
      <c r="G677" s="8">
        <v>-0.0014</v>
      </c>
    </row>
    <row r="678" spans="1:7">
      <c r="A678" s="6">
        <v>45495</v>
      </c>
      <c r="B678" s="7">
        <v>2.286</v>
      </c>
      <c r="C678" s="7">
        <v>2.145</v>
      </c>
      <c r="D678" s="7">
        <v>2.302</v>
      </c>
      <c r="E678" s="7">
        <v>2.131</v>
      </c>
      <c r="F678" s="7" t="s">
        <v>2248</v>
      </c>
      <c r="G678" s="8">
        <v>0.0559</v>
      </c>
    </row>
    <row r="679" spans="1:7">
      <c r="A679" s="6">
        <v>45496</v>
      </c>
      <c r="B679" s="7">
        <v>2.224</v>
      </c>
      <c r="C679" s="7">
        <v>2.279</v>
      </c>
      <c r="D679" s="7">
        <v>2.29</v>
      </c>
      <c r="E679" s="7">
        <v>2.16</v>
      </c>
      <c r="F679" s="7" t="s">
        <v>2249</v>
      </c>
      <c r="G679" s="8">
        <v>-0.0271</v>
      </c>
    </row>
    <row r="680" spans="1:7">
      <c r="A680" s="6">
        <v>45497</v>
      </c>
      <c r="B680" s="7">
        <v>2.158</v>
      </c>
      <c r="C680" s="7">
        <v>2.19</v>
      </c>
      <c r="D680" s="7">
        <v>2.208</v>
      </c>
      <c r="E680" s="7">
        <v>2.139</v>
      </c>
      <c r="F680" s="7" t="s">
        <v>1324</v>
      </c>
      <c r="G680" s="8">
        <v>-0.0297</v>
      </c>
    </row>
    <row r="681" spans="1:7">
      <c r="A681" s="6">
        <v>45498</v>
      </c>
      <c r="B681" s="7">
        <v>2.072</v>
      </c>
      <c r="C681" s="7">
        <v>2.161</v>
      </c>
      <c r="D681" s="7">
        <v>2.193</v>
      </c>
      <c r="E681" s="7">
        <v>2.064</v>
      </c>
      <c r="F681" s="7" t="s">
        <v>2250</v>
      </c>
      <c r="G681" s="8">
        <v>-0.0399</v>
      </c>
    </row>
    <row r="682" spans="1:7">
      <c r="A682" s="6">
        <v>45499</v>
      </c>
      <c r="B682" s="7">
        <v>2.051</v>
      </c>
      <c r="C682" s="7">
        <v>2.082</v>
      </c>
      <c r="D682" s="7">
        <v>2.096</v>
      </c>
      <c r="E682" s="7">
        <v>2.039</v>
      </c>
      <c r="F682" s="7" t="s">
        <v>2251</v>
      </c>
      <c r="G682" s="8">
        <v>-0.0101</v>
      </c>
    </row>
    <row r="683" spans="1:7">
      <c r="A683" s="6">
        <v>45502</v>
      </c>
      <c r="B683" s="7">
        <v>2.036</v>
      </c>
      <c r="C683" s="7">
        <v>2.053</v>
      </c>
      <c r="D683" s="7">
        <v>2.102</v>
      </c>
      <c r="E683" s="7">
        <v>1.999</v>
      </c>
      <c r="F683" s="7" t="s">
        <v>2252</v>
      </c>
      <c r="G683" s="8">
        <v>-0.0073</v>
      </c>
    </row>
    <row r="684" spans="1:7">
      <c r="A684" s="6">
        <v>45503</v>
      </c>
      <c r="B684" s="7">
        <v>2.244</v>
      </c>
      <c r="C684" s="7">
        <v>2.189</v>
      </c>
      <c r="D684" s="7">
        <v>2.252</v>
      </c>
      <c r="E684" s="7">
        <v>2.113</v>
      </c>
      <c r="F684" s="7" t="s">
        <v>2253</v>
      </c>
      <c r="G684" s="8">
        <v>0.1022</v>
      </c>
    </row>
    <row r="685" spans="1:7">
      <c r="A685" s="6">
        <v>45504</v>
      </c>
      <c r="B685" s="7">
        <v>2.162</v>
      </c>
      <c r="C685" s="7">
        <v>2.241</v>
      </c>
      <c r="D685" s="7">
        <v>2.261</v>
      </c>
      <c r="E685" s="7">
        <v>2.149</v>
      </c>
      <c r="F685" s="7" t="s">
        <v>2254</v>
      </c>
      <c r="G685" s="8">
        <v>-0.0365</v>
      </c>
    </row>
    <row r="686" spans="1:7">
      <c r="A686" s="6">
        <v>45505</v>
      </c>
      <c r="B686" s="7">
        <v>2.096</v>
      </c>
      <c r="C686" s="7">
        <v>2.158</v>
      </c>
      <c r="D686" s="7">
        <v>2.243</v>
      </c>
      <c r="E686" s="7">
        <v>2.093</v>
      </c>
      <c r="F686" s="7" t="s">
        <v>115</v>
      </c>
      <c r="G686" s="8">
        <v>-0.0305</v>
      </c>
    </row>
    <row r="687" spans="1:7">
      <c r="A687" s="6">
        <v>45506</v>
      </c>
      <c r="B687" s="7">
        <v>2.078</v>
      </c>
      <c r="C687" s="7">
        <v>2.114</v>
      </c>
      <c r="D687" s="7">
        <v>2.147</v>
      </c>
      <c r="E687" s="7">
        <v>2.041</v>
      </c>
      <c r="F687" s="7" t="s">
        <v>2255</v>
      </c>
      <c r="G687" s="8">
        <v>-0.0086</v>
      </c>
    </row>
    <row r="688" spans="1:7">
      <c r="A688" s="6">
        <v>45509</v>
      </c>
      <c r="B688" s="7">
        <v>2.045</v>
      </c>
      <c r="C688" s="7">
        <v>2.069</v>
      </c>
      <c r="D688" s="7">
        <v>2.083</v>
      </c>
      <c r="E688" s="7">
        <v>1.991</v>
      </c>
      <c r="F688" s="7" t="s">
        <v>2256</v>
      </c>
      <c r="G688" s="8">
        <v>-0.0159</v>
      </c>
    </row>
    <row r="689" spans="1:7">
      <c r="A689" s="6">
        <v>45510</v>
      </c>
      <c r="B689" s="7">
        <v>2.121</v>
      </c>
      <c r="C689" s="7">
        <v>2.058</v>
      </c>
      <c r="D689" s="7">
        <v>2.14</v>
      </c>
      <c r="E689" s="7">
        <v>2.015</v>
      </c>
      <c r="F689" s="7" t="s">
        <v>2257</v>
      </c>
      <c r="G689" s="8">
        <v>0.0372</v>
      </c>
    </row>
    <row r="690" spans="1:7">
      <c r="A690" s="6">
        <v>45511</v>
      </c>
      <c r="B690" s="7">
        <v>2.239</v>
      </c>
      <c r="C690" s="7">
        <v>2.133</v>
      </c>
      <c r="D690" s="7">
        <v>2.247</v>
      </c>
      <c r="E690" s="7">
        <v>2.125</v>
      </c>
      <c r="F690" s="7" t="s">
        <v>2258</v>
      </c>
      <c r="G690" s="8">
        <v>0.0556</v>
      </c>
    </row>
    <row r="691" spans="1:7">
      <c r="A691" s="6">
        <v>45512</v>
      </c>
      <c r="B691" s="7">
        <v>2.27</v>
      </c>
      <c r="C691" s="7">
        <v>2.228</v>
      </c>
      <c r="D691" s="7">
        <v>2.321</v>
      </c>
      <c r="E691" s="7">
        <v>2.161</v>
      </c>
      <c r="F691" s="7" t="s">
        <v>2259</v>
      </c>
      <c r="G691" s="8">
        <v>0.0138</v>
      </c>
    </row>
    <row r="692" spans="1:7">
      <c r="A692" s="6">
        <v>45513</v>
      </c>
      <c r="B692" s="7">
        <v>2.292</v>
      </c>
      <c r="C692" s="7">
        <v>2.29</v>
      </c>
      <c r="D692" s="7">
        <v>2.333</v>
      </c>
      <c r="E692" s="7">
        <v>2.247</v>
      </c>
      <c r="F692" s="7" t="s">
        <v>2260</v>
      </c>
      <c r="G692" s="8">
        <v>0.0097</v>
      </c>
    </row>
    <row r="693" spans="1:7">
      <c r="A693" s="6">
        <v>45516</v>
      </c>
      <c r="B693" s="7">
        <v>2.342</v>
      </c>
      <c r="C693" s="7">
        <v>2.311</v>
      </c>
      <c r="D693" s="7">
        <v>2.394</v>
      </c>
      <c r="E693" s="7">
        <v>2.301</v>
      </c>
      <c r="F693" s="7" t="s">
        <v>2261</v>
      </c>
      <c r="G693" s="8">
        <v>0.0218</v>
      </c>
    </row>
    <row r="694" spans="1:7">
      <c r="A694" s="6">
        <v>45517</v>
      </c>
      <c r="B694" s="7">
        <v>2.28</v>
      </c>
      <c r="C694" s="7">
        <v>2.324</v>
      </c>
      <c r="D694" s="7">
        <v>2.373</v>
      </c>
      <c r="E694" s="7">
        <v>2.267</v>
      </c>
      <c r="F694" s="7" t="s">
        <v>2262</v>
      </c>
      <c r="G694" s="8">
        <v>-0.0265</v>
      </c>
    </row>
    <row r="695" spans="1:7">
      <c r="A695" s="6">
        <v>45518</v>
      </c>
      <c r="B695" s="7">
        <v>2.343</v>
      </c>
      <c r="C695" s="7">
        <v>2.288</v>
      </c>
      <c r="D695" s="7">
        <v>2.395</v>
      </c>
      <c r="E695" s="7">
        <v>2.272</v>
      </c>
      <c r="F695" s="7" t="s">
        <v>2263</v>
      </c>
      <c r="G695" s="8">
        <v>0.0276</v>
      </c>
    </row>
    <row r="696" spans="1:7">
      <c r="A696" s="6">
        <v>45519</v>
      </c>
      <c r="B696" s="7">
        <v>2.332</v>
      </c>
      <c r="C696" s="7">
        <v>2.345</v>
      </c>
      <c r="D696" s="7">
        <v>2.421</v>
      </c>
      <c r="E696" s="7">
        <v>2.317</v>
      </c>
      <c r="F696" s="7" t="s">
        <v>2264</v>
      </c>
      <c r="G696" s="8">
        <v>-0.0047</v>
      </c>
    </row>
    <row r="697" spans="1:7">
      <c r="A697" s="6">
        <v>45520</v>
      </c>
      <c r="B697" s="7">
        <v>2.247</v>
      </c>
      <c r="C697" s="7">
        <v>2.341</v>
      </c>
      <c r="D697" s="7">
        <v>2.343</v>
      </c>
      <c r="E697" s="7">
        <v>2.237</v>
      </c>
      <c r="F697" s="7" t="s">
        <v>404</v>
      </c>
      <c r="G697" s="8">
        <v>-0.0364</v>
      </c>
    </row>
    <row r="698" spans="1:7">
      <c r="A698" s="6">
        <v>45523</v>
      </c>
      <c r="B698" s="7">
        <v>2.357</v>
      </c>
      <c r="C698" s="7">
        <v>2.25</v>
      </c>
      <c r="D698" s="7">
        <v>2.374</v>
      </c>
      <c r="E698" s="7">
        <v>2.225</v>
      </c>
      <c r="F698" s="7" t="s">
        <v>2265</v>
      </c>
      <c r="G698" s="8">
        <v>0.049</v>
      </c>
    </row>
    <row r="699" spans="1:7">
      <c r="A699" s="6">
        <v>45524</v>
      </c>
      <c r="B699" s="7">
        <v>2.33</v>
      </c>
      <c r="C699" s="7">
        <v>2.367</v>
      </c>
      <c r="D699" s="7">
        <v>2.401</v>
      </c>
      <c r="E699" s="7">
        <v>2.301</v>
      </c>
      <c r="F699" s="7" t="s">
        <v>2266</v>
      </c>
      <c r="G699" s="8">
        <v>-0.0115</v>
      </c>
    </row>
    <row r="700" spans="1:7">
      <c r="A700" s="6">
        <v>45525</v>
      </c>
      <c r="B700" s="7">
        <v>2.314</v>
      </c>
      <c r="C700" s="7">
        <v>2.333</v>
      </c>
      <c r="D700" s="7">
        <v>2.364</v>
      </c>
      <c r="E700" s="7">
        <v>2.271</v>
      </c>
      <c r="F700" s="7" t="s">
        <v>1336</v>
      </c>
      <c r="G700" s="8">
        <v>-0.0069</v>
      </c>
    </row>
    <row r="701" spans="1:7">
      <c r="A701" s="6">
        <v>45526</v>
      </c>
      <c r="B701" s="7">
        <v>2.194</v>
      </c>
      <c r="C701" s="7">
        <v>2.328</v>
      </c>
      <c r="D701" s="7">
        <v>2.337</v>
      </c>
      <c r="E701" s="7">
        <v>2.167</v>
      </c>
      <c r="F701" s="7" t="s">
        <v>2267</v>
      </c>
      <c r="G701" s="8">
        <v>-0.0519</v>
      </c>
    </row>
    <row r="702" spans="1:7">
      <c r="A702" s="6">
        <v>45527</v>
      </c>
      <c r="B702" s="7">
        <v>2.18</v>
      </c>
      <c r="C702" s="7">
        <v>2.201</v>
      </c>
      <c r="D702" s="7">
        <v>2.211</v>
      </c>
      <c r="E702" s="7">
        <v>2.154</v>
      </c>
      <c r="F702" s="7" t="s">
        <v>2268</v>
      </c>
      <c r="G702" s="8">
        <v>-0.0064</v>
      </c>
    </row>
    <row r="703" spans="1:7">
      <c r="A703" s="6">
        <v>45530</v>
      </c>
      <c r="B703" s="7">
        <v>2.13</v>
      </c>
      <c r="C703" s="7">
        <v>2.16</v>
      </c>
      <c r="D703" s="7">
        <v>2.186</v>
      </c>
      <c r="E703" s="7">
        <v>2.114</v>
      </c>
      <c r="F703" s="7" t="s">
        <v>2244</v>
      </c>
      <c r="G703" s="8">
        <v>-0.0229</v>
      </c>
    </row>
    <row r="704" spans="1:7">
      <c r="A704" s="6">
        <v>45531</v>
      </c>
      <c r="B704" s="7">
        <v>2.085</v>
      </c>
      <c r="C704" s="7">
        <v>2.123</v>
      </c>
      <c r="D704" s="7">
        <v>2.126</v>
      </c>
      <c r="E704" s="7">
        <v>2.045</v>
      </c>
      <c r="F704" s="7" t="s">
        <v>2269</v>
      </c>
      <c r="G704" s="8">
        <v>-0.0211</v>
      </c>
    </row>
    <row r="705" spans="1:7">
      <c r="A705" s="6">
        <v>45532</v>
      </c>
      <c r="B705" s="7">
        <v>2.097</v>
      </c>
      <c r="C705" s="7">
        <v>2.085</v>
      </c>
      <c r="D705" s="7">
        <v>2.14</v>
      </c>
      <c r="E705" s="7">
        <v>2.021</v>
      </c>
      <c r="F705" s="7" t="s">
        <v>441</v>
      </c>
      <c r="G705" s="8">
        <v>0.0058</v>
      </c>
    </row>
    <row r="706" spans="1:7">
      <c r="A706" s="6">
        <v>45533</v>
      </c>
      <c r="B706" s="7">
        <v>2.529</v>
      </c>
      <c r="C706" s="7">
        <v>2.524</v>
      </c>
      <c r="D706" s="7">
        <v>2.552</v>
      </c>
      <c r="E706" s="7">
        <v>2.454</v>
      </c>
      <c r="F706" s="7" t="s">
        <v>278</v>
      </c>
      <c r="G706" s="8">
        <v>0.206</v>
      </c>
    </row>
    <row r="707" spans="1:7">
      <c r="A707" s="6">
        <v>45534</v>
      </c>
      <c r="B707" s="7">
        <v>2.498</v>
      </c>
      <c r="C707" s="7">
        <v>2.535</v>
      </c>
      <c r="D707" s="7">
        <v>2.553</v>
      </c>
      <c r="E707" s="7">
        <v>2.479</v>
      </c>
      <c r="F707" s="7" t="s">
        <v>2270</v>
      </c>
      <c r="G707" s="8">
        <v>-0.0123</v>
      </c>
    </row>
    <row r="708" spans="1:7">
      <c r="A708" s="6">
        <v>45538</v>
      </c>
      <c r="B708" s="7">
        <v>2.55</v>
      </c>
      <c r="C708" s="7">
        <v>2.512</v>
      </c>
      <c r="D708" s="7">
        <v>2.571</v>
      </c>
      <c r="E708" s="7">
        <v>2.439</v>
      </c>
      <c r="F708" s="7" t="s">
        <v>2271</v>
      </c>
      <c r="G708" s="8">
        <v>0.0208</v>
      </c>
    </row>
    <row r="709" spans="1:7">
      <c r="A709" s="6">
        <v>45539</v>
      </c>
      <c r="B709" s="7">
        <v>2.506</v>
      </c>
      <c r="C709" s="7">
        <v>2.541</v>
      </c>
      <c r="D709" s="7">
        <v>2.612</v>
      </c>
      <c r="E709" s="7">
        <v>2.499</v>
      </c>
      <c r="F709" s="7" t="s">
        <v>2272</v>
      </c>
      <c r="G709" s="8">
        <v>-0.0173</v>
      </c>
    </row>
    <row r="710" spans="1:7">
      <c r="A710" s="6">
        <v>45540</v>
      </c>
      <c r="B710" s="7">
        <v>2.579</v>
      </c>
      <c r="C710" s="7">
        <v>2.503</v>
      </c>
      <c r="D710" s="7">
        <v>2.614</v>
      </c>
      <c r="E710" s="7">
        <v>2.482</v>
      </c>
      <c r="F710" s="7" t="s">
        <v>2273</v>
      </c>
      <c r="G710" s="8">
        <v>0.0291</v>
      </c>
    </row>
    <row r="711" spans="1:7">
      <c r="A711" s="6">
        <v>45541</v>
      </c>
      <c r="B711" s="7">
        <v>2.597</v>
      </c>
      <c r="C711" s="7">
        <v>2.58</v>
      </c>
      <c r="D711" s="7">
        <v>2.615</v>
      </c>
      <c r="E711" s="7">
        <v>2.561</v>
      </c>
      <c r="F711" s="7" t="s">
        <v>2274</v>
      </c>
      <c r="G711" s="8">
        <v>0.007</v>
      </c>
    </row>
    <row r="712" spans="1:7">
      <c r="A712" s="6">
        <v>45544</v>
      </c>
      <c r="B712" s="7">
        <v>2.527</v>
      </c>
      <c r="C712" s="7">
        <v>2.557</v>
      </c>
      <c r="D712" s="7">
        <v>2.581</v>
      </c>
      <c r="E712" s="7">
        <v>2.506</v>
      </c>
      <c r="F712" s="7" t="s">
        <v>2275</v>
      </c>
      <c r="G712" s="8">
        <v>-0.027</v>
      </c>
    </row>
    <row r="713" spans="1:7">
      <c r="A713" s="6">
        <v>45545</v>
      </c>
      <c r="B713" s="7">
        <v>2.545</v>
      </c>
      <c r="C713" s="7">
        <v>2.516</v>
      </c>
      <c r="D713" s="7">
        <v>2.58</v>
      </c>
      <c r="E713" s="7">
        <v>2.497</v>
      </c>
      <c r="F713" s="7" t="s">
        <v>2276</v>
      </c>
      <c r="G713" s="8">
        <v>0.0071</v>
      </c>
    </row>
    <row r="714" spans="1:7">
      <c r="A714" s="6">
        <v>45546</v>
      </c>
      <c r="B714" s="7">
        <v>2.577</v>
      </c>
      <c r="C714" s="7">
        <v>2.538</v>
      </c>
      <c r="D714" s="7">
        <v>2.597</v>
      </c>
      <c r="E714" s="7">
        <v>2.513</v>
      </c>
      <c r="F714" s="7" t="s">
        <v>2277</v>
      </c>
      <c r="G714" s="8">
        <v>0.0126</v>
      </c>
    </row>
    <row r="715" spans="1:7">
      <c r="A715" s="6">
        <v>45547</v>
      </c>
      <c r="B715" s="7">
        <v>2.633</v>
      </c>
      <c r="C715" s="7">
        <v>2.583</v>
      </c>
      <c r="D715" s="7">
        <v>2.666</v>
      </c>
      <c r="E715" s="7">
        <v>2.533</v>
      </c>
      <c r="F715" s="7" t="s">
        <v>2278</v>
      </c>
      <c r="G715" s="8">
        <v>0.0217</v>
      </c>
    </row>
    <row r="716" spans="1:7">
      <c r="A716" s="6">
        <v>45548</v>
      </c>
      <c r="B716" s="7">
        <v>2.589</v>
      </c>
      <c r="C716" s="7">
        <v>2.638</v>
      </c>
      <c r="D716" s="7">
        <v>2.666</v>
      </c>
      <c r="E716" s="7">
        <v>2.575</v>
      </c>
      <c r="F716" s="7" t="s">
        <v>2279</v>
      </c>
      <c r="G716" s="8">
        <v>-0.0167</v>
      </c>
    </row>
    <row r="717" spans="1:7">
      <c r="A717" s="6">
        <v>45551</v>
      </c>
      <c r="B717" s="7">
        <v>2.639</v>
      </c>
      <c r="C717" s="7">
        <v>2.58</v>
      </c>
      <c r="D717" s="7">
        <v>2.656</v>
      </c>
      <c r="E717" s="7">
        <v>2.547</v>
      </c>
      <c r="F717" s="7" t="s">
        <v>2280</v>
      </c>
      <c r="G717" s="8">
        <v>0.0193</v>
      </c>
    </row>
    <row r="718" spans="1:7">
      <c r="A718" s="6">
        <v>45552</v>
      </c>
      <c r="B718" s="7">
        <v>2.613</v>
      </c>
      <c r="C718" s="7">
        <v>2.645</v>
      </c>
      <c r="D718" s="7">
        <v>2.691</v>
      </c>
      <c r="E718" s="7">
        <v>2.603</v>
      </c>
      <c r="F718" s="7" t="s">
        <v>2281</v>
      </c>
      <c r="G718" s="8">
        <v>-0.0099</v>
      </c>
    </row>
    <row r="719" spans="1:7">
      <c r="A719" s="6">
        <v>45553</v>
      </c>
      <c r="B719" s="7">
        <v>2.565</v>
      </c>
      <c r="C719" s="7">
        <v>2.606</v>
      </c>
      <c r="D719" s="7">
        <v>2.656</v>
      </c>
      <c r="E719" s="7">
        <v>2.56</v>
      </c>
      <c r="F719" s="7" t="s">
        <v>2282</v>
      </c>
      <c r="G719" s="8">
        <v>-0.0184</v>
      </c>
    </row>
    <row r="720" spans="1:7">
      <c r="A720" s="6">
        <v>45554</v>
      </c>
      <c r="B720" s="7">
        <v>2.595</v>
      </c>
      <c r="C720" s="7">
        <v>2.568</v>
      </c>
      <c r="D720" s="7">
        <v>2.604</v>
      </c>
      <c r="E720" s="7">
        <v>2.505</v>
      </c>
      <c r="F720" s="7" t="s">
        <v>2283</v>
      </c>
      <c r="G720" s="8">
        <v>0.0117</v>
      </c>
    </row>
    <row r="721" spans="1:7">
      <c r="A721" s="6">
        <v>45555</v>
      </c>
      <c r="B721" s="7">
        <v>2.719</v>
      </c>
      <c r="C721" s="7">
        <v>2.603</v>
      </c>
      <c r="D721" s="7">
        <v>2.743</v>
      </c>
      <c r="E721" s="7">
        <v>2.582</v>
      </c>
      <c r="F721" s="7" t="s">
        <v>2284</v>
      </c>
      <c r="G721" s="8">
        <v>0.0478</v>
      </c>
    </row>
    <row r="722" spans="1:7">
      <c r="A722" s="6">
        <v>45558</v>
      </c>
      <c r="B722" s="7">
        <v>2.854</v>
      </c>
      <c r="C722" s="7">
        <v>2.735</v>
      </c>
      <c r="D722" s="7">
        <v>2.874</v>
      </c>
      <c r="E722" s="7">
        <v>2.728</v>
      </c>
      <c r="F722" s="7" t="s">
        <v>2285</v>
      </c>
      <c r="G722" s="8">
        <v>0.0497</v>
      </c>
    </row>
    <row r="723" spans="1:7">
      <c r="A723" s="6">
        <v>45559</v>
      </c>
      <c r="B723" s="7">
        <v>2.791</v>
      </c>
      <c r="C723" s="7">
        <v>2.861</v>
      </c>
      <c r="D723" s="7">
        <v>2.895</v>
      </c>
      <c r="E723" s="7">
        <v>2.776</v>
      </c>
      <c r="F723" s="7" t="s">
        <v>2286</v>
      </c>
      <c r="G723" s="8">
        <v>-0.0221</v>
      </c>
    </row>
    <row r="724" spans="1:7">
      <c r="A724" s="6">
        <v>45560</v>
      </c>
      <c r="B724" s="7">
        <v>2.817</v>
      </c>
      <c r="C724" s="7">
        <v>2.814</v>
      </c>
      <c r="D724" s="7">
        <v>2.887</v>
      </c>
      <c r="E724" s="7">
        <v>2.795</v>
      </c>
      <c r="F724" s="7" t="s">
        <v>940</v>
      </c>
      <c r="G724" s="8">
        <v>0.0093</v>
      </c>
    </row>
    <row r="725" spans="1:7">
      <c r="A725" s="6">
        <v>45561</v>
      </c>
      <c r="B725" s="7">
        <v>2.753</v>
      </c>
      <c r="C725" s="7">
        <v>2.829</v>
      </c>
      <c r="D725" s="7">
        <v>2.883</v>
      </c>
      <c r="E725" s="7">
        <v>2.731</v>
      </c>
      <c r="F725" s="7" t="s">
        <v>2287</v>
      </c>
      <c r="G725" s="8">
        <v>-0.0227</v>
      </c>
    </row>
    <row r="726" spans="1:7">
      <c r="A726" s="6">
        <v>45562</v>
      </c>
      <c r="B726" s="7">
        <v>3.304</v>
      </c>
      <c r="C726" s="7">
        <v>3.173</v>
      </c>
      <c r="D726" s="7">
        <v>3.332</v>
      </c>
      <c r="E726" s="7">
        <v>3.145</v>
      </c>
      <c r="F726" s="7" t="s">
        <v>2288</v>
      </c>
      <c r="G726" s="8">
        <v>0.2001</v>
      </c>
    </row>
    <row r="727" spans="1:7">
      <c r="A727" s="6">
        <v>45565</v>
      </c>
      <c r="B727" s="7">
        <v>3.345</v>
      </c>
      <c r="C727" s="7">
        <v>3.302</v>
      </c>
      <c r="D727" s="7">
        <v>3.368</v>
      </c>
      <c r="E727" s="7">
        <v>3.274</v>
      </c>
      <c r="F727" s="7" t="s">
        <v>2289</v>
      </c>
      <c r="G727" s="8">
        <v>0.0124</v>
      </c>
    </row>
    <row r="728" spans="1:7">
      <c r="A728" s="6">
        <v>45566</v>
      </c>
      <c r="B728" s="7">
        <v>3.288</v>
      </c>
      <c r="C728" s="7">
        <v>3.33</v>
      </c>
      <c r="D728" s="7">
        <v>3.338</v>
      </c>
      <c r="E728" s="7">
        <v>3.253</v>
      </c>
      <c r="F728" s="7" t="s">
        <v>2290</v>
      </c>
      <c r="G728" s="8">
        <v>-0.017</v>
      </c>
    </row>
    <row r="729" spans="1:7">
      <c r="A729" s="6">
        <v>45567</v>
      </c>
      <c r="B729" s="7">
        <v>3.297</v>
      </c>
      <c r="C729" s="7">
        <v>3.288</v>
      </c>
      <c r="D729" s="7">
        <v>3.378</v>
      </c>
      <c r="E729" s="7">
        <v>3.272</v>
      </c>
      <c r="F729" s="7" t="s">
        <v>2291</v>
      </c>
      <c r="G729" s="8">
        <v>0.0027</v>
      </c>
    </row>
    <row r="730" spans="1:7">
      <c r="A730" s="6">
        <v>45568</v>
      </c>
      <c r="B730" s="7">
        <v>3.369</v>
      </c>
      <c r="C730" s="7">
        <v>3.329</v>
      </c>
      <c r="D730" s="7">
        <v>3.387</v>
      </c>
      <c r="E730" s="7">
        <v>3.303</v>
      </c>
      <c r="F730" s="7" t="s">
        <v>2292</v>
      </c>
      <c r="G730" s="8">
        <v>0.0218</v>
      </c>
    </row>
    <row r="731" spans="1:7">
      <c r="A731" s="6">
        <v>45569</v>
      </c>
      <c r="B731" s="7">
        <v>3.305</v>
      </c>
      <c r="C731" s="7">
        <v>3.37</v>
      </c>
      <c r="D731" s="7">
        <v>3.406</v>
      </c>
      <c r="E731" s="7">
        <v>3.288</v>
      </c>
      <c r="F731" s="7" t="s">
        <v>2293</v>
      </c>
      <c r="G731" s="8">
        <v>-0.019</v>
      </c>
    </row>
    <row r="732" spans="1:7">
      <c r="A732" s="6">
        <v>45572</v>
      </c>
      <c r="B732" s="7">
        <v>3.218</v>
      </c>
      <c r="C732" s="7">
        <v>3.282</v>
      </c>
      <c r="D732" s="7">
        <v>3.316</v>
      </c>
      <c r="E732" s="7">
        <v>3.197</v>
      </c>
      <c r="F732" s="7" t="s">
        <v>2294</v>
      </c>
      <c r="G732" s="8">
        <v>-0.0263</v>
      </c>
    </row>
    <row r="733" spans="1:7">
      <c r="A733" s="6">
        <v>45573</v>
      </c>
      <c r="B733" s="7">
        <v>3.199</v>
      </c>
      <c r="C733" s="7">
        <v>3.202</v>
      </c>
      <c r="D733" s="7">
        <v>3.23</v>
      </c>
      <c r="E733" s="7">
        <v>3.162</v>
      </c>
      <c r="F733" s="7" t="s">
        <v>2295</v>
      </c>
      <c r="G733" s="8">
        <v>-0.0059</v>
      </c>
    </row>
    <row r="734" spans="1:7">
      <c r="A734" s="6">
        <v>45574</v>
      </c>
      <c r="B734" s="7">
        <v>3.116</v>
      </c>
      <c r="C734" s="7">
        <v>3.176</v>
      </c>
      <c r="D734" s="7">
        <v>3.185</v>
      </c>
      <c r="E734" s="7">
        <v>3.084</v>
      </c>
      <c r="F734" s="7" t="s">
        <v>2296</v>
      </c>
      <c r="G734" s="8">
        <v>-0.0259</v>
      </c>
    </row>
    <row r="735" spans="1:7">
      <c r="A735" s="6">
        <v>45575</v>
      </c>
      <c r="B735" s="7">
        <v>3.102</v>
      </c>
      <c r="C735" s="7">
        <v>3.099</v>
      </c>
      <c r="D735" s="7">
        <v>3.128</v>
      </c>
      <c r="E735" s="7">
        <v>3.048</v>
      </c>
      <c r="F735" s="7" t="s">
        <v>2297</v>
      </c>
      <c r="G735" s="8">
        <v>-0.0045</v>
      </c>
    </row>
    <row r="736" spans="1:7">
      <c r="A736" s="6">
        <v>45576</v>
      </c>
      <c r="B736" s="7">
        <v>3.047</v>
      </c>
      <c r="C736" s="7">
        <v>3.115</v>
      </c>
      <c r="D736" s="7">
        <v>3.146</v>
      </c>
      <c r="E736" s="7">
        <v>3.03</v>
      </c>
      <c r="F736" s="7" t="s">
        <v>2298</v>
      </c>
      <c r="G736" s="8">
        <v>-0.0177</v>
      </c>
    </row>
    <row r="737" spans="1:7">
      <c r="A737" s="6">
        <v>45579</v>
      </c>
      <c r="B737" s="7">
        <v>2.93</v>
      </c>
      <c r="C737" s="7">
        <v>3.03</v>
      </c>
      <c r="D737" s="7">
        <v>3.039</v>
      </c>
      <c r="E737" s="7">
        <v>2.915</v>
      </c>
      <c r="F737" s="7" t="s">
        <v>2299</v>
      </c>
      <c r="G737" s="8">
        <v>-0.0384</v>
      </c>
    </row>
    <row r="738" spans="1:7">
      <c r="A738" s="6">
        <v>45580</v>
      </c>
      <c r="B738" s="7">
        <v>2.944</v>
      </c>
      <c r="C738" s="7">
        <v>2.922</v>
      </c>
      <c r="D738" s="7">
        <v>3.001</v>
      </c>
      <c r="E738" s="7">
        <v>2.882</v>
      </c>
      <c r="F738" s="7" t="s">
        <v>2300</v>
      </c>
      <c r="G738" s="8">
        <v>0.0048</v>
      </c>
    </row>
    <row r="739" spans="1:7">
      <c r="A739" s="6">
        <v>45581</v>
      </c>
      <c r="B739" s="7">
        <v>2.841</v>
      </c>
      <c r="C739" s="7">
        <v>2.937</v>
      </c>
      <c r="D739" s="7">
        <v>2.942</v>
      </c>
      <c r="E739" s="7">
        <v>2.83</v>
      </c>
      <c r="F739" s="7" t="s">
        <v>2301</v>
      </c>
      <c r="G739" s="8">
        <v>-0.035</v>
      </c>
    </row>
    <row r="740" spans="1:7">
      <c r="A740" s="6">
        <v>45582</v>
      </c>
      <c r="B740" s="7">
        <v>2.83</v>
      </c>
      <c r="C740" s="7">
        <v>2.851</v>
      </c>
      <c r="D740" s="7">
        <v>2.892</v>
      </c>
      <c r="E740" s="7">
        <v>2.819</v>
      </c>
      <c r="F740" s="7" t="s">
        <v>2302</v>
      </c>
      <c r="G740" s="8">
        <v>-0.0039</v>
      </c>
    </row>
    <row r="741" spans="1:7">
      <c r="A741" s="6">
        <v>45583</v>
      </c>
      <c r="B741" s="7">
        <v>2.765</v>
      </c>
      <c r="C741" s="7">
        <v>2.829</v>
      </c>
      <c r="D741" s="7">
        <v>2.842</v>
      </c>
      <c r="E741" s="7">
        <v>2.762</v>
      </c>
      <c r="F741" s="7" t="s">
        <v>2062</v>
      </c>
      <c r="G741" s="8">
        <v>-0.023</v>
      </c>
    </row>
    <row r="742" spans="1:7">
      <c r="A742" s="6">
        <v>45586</v>
      </c>
      <c r="B742" s="7">
        <v>2.807</v>
      </c>
      <c r="C742" s="7">
        <v>2.74</v>
      </c>
      <c r="D742" s="7">
        <v>2.862</v>
      </c>
      <c r="E742" s="7">
        <v>2.712</v>
      </c>
      <c r="F742" s="7" t="s">
        <v>448</v>
      </c>
      <c r="G742" s="8">
        <v>0.0152</v>
      </c>
    </row>
    <row r="743" spans="1:7">
      <c r="A743" s="6">
        <v>45587</v>
      </c>
      <c r="B743" s="7">
        <v>2.895</v>
      </c>
      <c r="C743" s="7">
        <v>2.85</v>
      </c>
      <c r="D743" s="7">
        <v>2.92</v>
      </c>
      <c r="E743" s="7">
        <v>2.787</v>
      </c>
      <c r="F743" s="7" t="s">
        <v>2303</v>
      </c>
      <c r="G743" s="8">
        <v>0.0314</v>
      </c>
    </row>
    <row r="744" spans="1:7">
      <c r="A744" s="6">
        <v>45588</v>
      </c>
      <c r="B744" s="7">
        <v>2.901</v>
      </c>
      <c r="C744" s="7">
        <v>2.878</v>
      </c>
      <c r="D744" s="7">
        <v>2.98</v>
      </c>
      <c r="E744" s="7">
        <v>2.848</v>
      </c>
      <c r="F744" s="7" t="s">
        <v>2304</v>
      </c>
      <c r="G744" s="8">
        <v>0.0021</v>
      </c>
    </row>
    <row r="745" spans="1:7">
      <c r="A745" s="6">
        <v>45589</v>
      </c>
      <c r="B745" s="7">
        <v>3.018</v>
      </c>
      <c r="C745" s="7">
        <v>2.952</v>
      </c>
      <c r="D745" s="7">
        <v>3.062</v>
      </c>
      <c r="E745" s="7">
        <v>2.903</v>
      </c>
      <c r="F745" s="7" t="s">
        <v>2305</v>
      </c>
      <c r="G745" s="8">
        <v>0.0403</v>
      </c>
    </row>
    <row r="746" spans="1:7">
      <c r="A746" s="6">
        <v>45590</v>
      </c>
      <c r="B746" s="7">
        <v>3.092</v>
      </c>
      <c r="C746" s="7">
        <v>3.017</v>
      </c>
      <c r="D746" s="7">
        <v>3.101</v>
      </c>
      <c r="E746" s="7">
        <v>2.967</v>
      </c>
      <c r="F746" s="7" t="s">
        <v>2306</v>
      </c>
      <c r="G746" s="8">
        <v>0.0245</v>
      </c>
    </row>
    <row r="747" spans="1:7">
      <c r="A747" s="6">
        <v>45593</v>
      </c>
      <c r="B747" s="7">
        <v>2.863</v>
      </c>
      <c r="C747" s="7">
        <v>3.044</v>
      </c>
      <c r="D747" s="7">
        <v>3.044</v>
      </c>
      <c r="E747" s="7">
        <v>2.801</v>
      </c>
      <c r="F747" s="7" t="s">
        <v>2307</v>
      </c>
      <c r="G747" s="8">
        <v>-0.0741</v>
      </c>
    </row>
    <row r="748" spans="1:7">
      <c r="A748" s="6">
        <v>45594</v>
      </c>
      <c r="B748" s="7">
        <v>2.859</v>
      </c>
      <c r="C748" s="7">
        <v>2.841</v>
      </c>
      <c r="D748" s="7">
        <v>2.908</v>
      </c>
      <c r="E748" s="7">
        <v>2.794</v>
      </c>
      <c r="F748" s="7" t="s">
        <v>2308</v>
      </c>
      <c r="G748" s="8">
        <v>-0.0014</v>
      </c>
    </row>
    <row r="749" spans="1:7">
      <c r="A749" s="6">
        <v>45595</v>
      </c>
      <c r="B749" s="7">
        <v>3.101</v>
      </c>
      <c r="C749" s="7">
        <v>3.169</v>
      </c>
      <c r="D749" s="7">
        <v>3.171</v>
      </c>
      <c r="E749" s="7">
        <v>3.032</v>
      </c>
      <c r="F749" s="7" t="s">
        <v>1962</v>
      </c>
      <c r="G749" s="8">
        <v>0.0846</v>
      </c>
    </row>
    <row r="750" spans="1:7">
      <c r="A750" s="6">
        <v>45596</v>
      </c>
      <c r="B750" s="7">
        <v>2.968</v>
      </c>
      <c r="C750" s="7">
        <v>3.073</v>
      </c>
      <c r="D750" s="7">
        <v>3.087</v>
      </c>
      <c r="E750" s="7">
        <v>2.958</v>
      </c>
      <c r="F750" s="7" t="s">
        <v>2309</v>
      </c>
      <c r="G750" s="8">
        <v>-0.0429</v>
      </c>
    </row>
    <row r="751" spans="1:7">
      <c r="A751" s="6">
        <v>45597</v>
      </c>
      <c r="B751" s="7">
        <v>2.936</v>
      </c>
      <c r="C751" s="7">
        <v>2.965</v>
      </c>
      <c r="D751" s="7">
        <v>2.983</v>
      </c>
      <c r="E751" s="7">
        <v>2.908</v>
      </c>
      <c r="F751" s="7" t="s">
        <v>2310</v>
      </c>
      <c r="G751" s="8">
        <v>-0.0108</v>
      </c>
    </row>
    <row r="752" spans="1:7">
      <c r="A752" s="6">
        <v>45600</v>
      </c>
      <c r="B752" s="7">
        <v>3.036</v>
      </c>
      <c r="C752" s="7">
        <v>2.849</v>
      </c>
      <c r="D752" s="7">
        <v>3.053</v>
      </c>
      <c r="E752" s="7">
        <v>2.8</v>
      </c>
      <c r="F752" s="7" t="s">
        <v>2311</v>
      </c>
      <c r="G752" s="8">
        <v>0.0341</v>
      </c>
    </row>
    <row r="753" spans="1:7">
      <c r="A753" s="6">
        <v>45601</v>
      </c>
      <c r="B753" s="7">
        <v>2.936</v>
      </c>
      <c r="C753" s="7">
        <v>3.042</v>
      </c>
      <c r="D753" s="7">
        <v>3.07</v>
      </c>
      <c r="E753" s="7">
        <v>2.915</v>
      </c>
      <c r="F753" s="7" t="s">
        <v>2312</v>
      </c>
      <c r="G753" s="8">
        <v>-0.0329</v>
      </c>
    </row>
    <row r="754" spans="1:7">
      <c r="A754" s="6">
        <v>45602</v>
      </c>
      <c r="B754" s="7">
        <v>3.007</v>
      </c>
      <c r="C754" s="7">
        <v>2.948</v>
      </c>
      <c r="D754" s="7">
        <v>3.05</v>
      </c>
      <c r="E754" s="7">
        <v>2.921</v>
      </c>
      <c r="F754" s="7" t="s">
        <v>2313</v>
      </c>
      <c r="G754" s="8">
        <v>0.0242</v>
      </c>
    </row>
    <row r="755" spans="1:7">
      <c r="A755" s="6">
        <v>45603</v>
      </c>
      <c r="B755" s="7">
        <v>2.948</v>
      </c>
      <c r="C755" s="7">
        <v>2.966</v>
      </c>
      <c r="D755" s="7">
        <v>3.029</v>
      </c>
      <c r="E755" s="7">
        <v>2.915</v>
      </c>
      <c r="F755" s="7" t="s">
        <v>2314</v>
      </c>
      <c r="G755" s="8">
        <v>-0.0196</v>
      </c>
    </row>
    <row r="756" spans="1:7">
      <c r="A756" s="6">
        <v>45604</v>
      </c>
      <c r="B756" s="7">
        <v>2.922</v>
      </c>
      <c r="C756" s="7">
        <v>2.952</v>
      </c>
      <c r="D756" s="7">
        <v>3.002</v>
      </c>
      <c r="E756" s="7">
        <v>2.905</v>
      </c>
      <c r="F756" s="7" t="s">
        <v>2315</v>
      </c>
      <c r="G756" s="8">
        <v>-0.0088</v>
      </c>
    </row>
    <row r="757" spans="1:7">
      <c r="A757" s="6">
        <v>45607</v>
      </c>
      <c r="B757" s="7">
        <v>3.126</v>
      </c>
      <c r="C757" s="7">
        <v>3.013</v>
      </c>
      <c r="D757" s="7">
        <v>3.169</v>
      </c>
      <c r="E757" s="7">
        <v>3.009</v>
      </c>
      <c r="F757" s="7" t="s">
        <v>2316</v>
      </c>
      <c r="G757" s="8">
        <v>0.0698</v>
      </c>
    </row>
    <row r="758" spans="1:7">
      <c r="A758" s="6">
        <v>45608</v>
      </c>
      <c r="B758" s="7">
        <v>3.133</v>
      </c>
      <c r="C758" s="7">
        <v>3.155</v>
      </c>
      <c r="D758" s="7">
        <v>3.216</v>
      </c>
      <c r="E758" s="7">
        <v>3.081</v>
      </c>
      <c r="F758" s="7" t="s">
        <v>1063</v>
      </c>
      <c r="G758" s="8">
        <v>0.0022</v>
      </c>
    </row>
    <row r="759" spans="1:7">
      <c r="A759" s="6">
        <v>45609</v>
      </c>
      <c r="B759" s="7">
        <v>3.202</v>
      </c>
      <c r="C759" s="7">
        <v>3.137</v>
      </c>
      <c r="D759" s="7">
        <v>3.234</v>
      </c>
      <c r="E759" s="7">
        <v>3.057</v>
      </c>
      <c r="F759" s="7" t="s">
        <v>2317</v>
      </c>
      <c r="G759" s="8">
        <v>0.022</v>
      </c>
    </row>
    <row r="760" spans="1:7">
      <c r="A760" s="6">
        <v>45610</v>
      </c>
      <c r="B760" s="7">
        <v>3.054</v>
      </c>
      <c r="C760" s="7">
        <v>3.201</v>
      </c>
      <c r="D760" s="7">
        <v>3.201</v>
      </c>
      <c r="E760" s="7">
        <v>3.036</v>
      </c>
      <c r="F760" s="7" t="s">
        <v>2318</v>
      </c>
      <c r="G760" s="8">
        <v>-0.0462</v>
      </c>
    </row>
    <row r="761" spans="1:7">
      <c r="A761" s="6">
        <v>45611</v>
      </c>
      <c r="B761" s="7">
        <v>3.096</v>
      </c>
      <c r="C761" s="7">
        <v>3.037</v>
      </c>
      <c r="D761" s="7">
        <v>3.113</v>
      </c>
      <c r="E761" s="7">
        <v>2.975</v>
      </c>
      <c r="F761" s="7" t="s">
        <v>2319</v>
      </c>
      <c r="G761" s="8">
        <v>0.0138</v>
      </c>
    </row>
    <row r="762" spans="1:7">
      <c r="A762" s="6">
        <v>45614</v>
      </c>
      <c r="B762" s="7">
        <v>3.186</v>
      </c>
      <c r="C762" s="7">
        <v>3.198</v>
      </c>
      <c r="D762" s="7">
        <v>3.22</v>
      </c>
      <c r="E762" s="7">
        <v>3.088</v>
      </c>
      <c r="F762" s="7" t="s">
        <v>2320</v>
      </c>
      <c r="G762" s="8">
        <v>0.0291</v>
      </c>
    </row>
    <row r="763" spans="1:7">
      <c r="A763" s="6">
        <v>45615</v>
      </c>
      <c r="B763" s="7">
        <v>3.228</v>
      </c>
      <c r="C763" s="7">
        <v>3.166</v>
      </c>
      <c r="D763" s="7">
        <v>3.28</v>
      </c>
      <c r="E763" s="7">
        <v>3.132</v>
      </c>
      <c r="F763" s="7" t="s">
        <v>2321</v>
      </c>
      <c r="G763" s="8">
        <v>0.0132</v>
      </c>
    </row>
    <row r="764" spans="1:7">
      <c r="A764" s="6">
        <v>45616</v>
      </c>
      <c r="B764" s="7">
        <v>3.193</v>
      </c>
      <c r="C764" s="7">
        <v>2.962</v>
      </c>
      <c r="D764" s="7">
        <v>3.237</v>
      </c>
      <c r="E764" s="7">
        <v>2.942</v>
      </c>
      <c r="F764" s="7" t="s">
        <v>2322</v>
      </c>
      <c r="G764" s="8">
        <v>-0.0108</v>
      </c>
    </row>
    <row r="765" spans="1:7">
      <c r="A765" s="6">
        <v>45617</v>
      </c>
      <c r="B765" s="7">
        <v>3.339</v>
      </c>
      <c r="C765" s="7">
        <v>3.216</v>
      </c>
      <c r="D765" s="7">
        <v>3.451</v>
      </c>
      <c r="E765" s="7">
        <v>3.195</v>
      </c>
      <c r="F765" s="7" t="s">
        <v>2323</v>
      </c>
      <c r="G765" s="8">
        <v>0.0457</v>
      </c>
    </row>
    <row r="766" spans="1:7">
      <c r="A766" s="6">
        <v>45618</v>
      </c>
      <c r="B766" s="7">
        <v>3.129</v>
      </c>
      <c r="C766" s="7">
        <v>3.39</v>
      </c>
      <c r="D766" s="7">
        <v>3.563</v>
      </c>
      <c r="E766" s="7">
        <v>3.071</v>
      </c>
      <c r="F766" s="7" t="s">
        <v>2324</v>
      </c>
      <c r="G766" s="8">
        <v>-0.0629</v>
      </c>
    </row>
    <row r="767" spans="1:7">
      <c r="A767" s="6">
        <v>45621</v>
      </c>
      <c r="B767" s="7">
        <v>3.369</v>
      </c>
      <c r="C767" s="7">
        <v>3.356</v>
      </c>
      <c r="D767" s="7">
        <v>3.461</v>
      </c>
      <c r="E767" s="7">
        <v>3.264</v>
      </c>
      <c r="F767" s="7" t="s">
        <v>221</v>
      </c>
      <c r="G767" s="8">
        <v>0.0767</v>
      </c>
    </row>
    <row r="768" spans="1:7">
      <c r="A768" s="6">
        <v>45622</v>
      </c>
      <c r="B768" s="7">
        <v>3.431</v>
      </c>
      <c r="C768" s="7">
        <v>3.33</v>
      </c>
      <c r="D768" s="7">
        <v>3.5</v>
      </c>
      <c r="E768" s="7">
        <v>3.255</v>
      </c>
      <c r="F768" s="7" t="s">
        <v>1279</v>
      </c>
      <c r="G768" s="8">
        <v>0.0184</v>
      </c>
    </row>
    <row r="769" spans="1:7">
      <c r="A769" s="6">
        <v>45623</v>
      </c>
      <c r="B769" s="7">
        <v>3.204</v>
      </c>
      <c r="C769" s="7">
        <v>3.468</v>
      </c>
      <c r="D769" s="7">
        <v>3.47</v>
      </c>
      <c r="E769" s="7">
        <v>3.189</v>
      </c>
      <c r="F769" s="7" t="s">
        <v>2325</v>
      </c>
      <c r="G769" s="8">
        <v>-0.0662</v>
      </c>
    </row>
    <row r="770" spans="1:7">
      <c r="A770" s="6">
        <v>45625</v>
      </c>
      <c r="B770" s="7">
        <v>3.363</v>
      </c>
      <c r="C770" s="7">
        <v>3.195</v>
      </c>
      <c r="D770" s="7">
        <v>3.384</v>
      </c>
      <c r="E770" s="7">
        <v>3.175</v>
      </c>
      <c r="F770" s="7" t="s">
        <v>2326</v>
      </c>
      <c r="G770" s="8">
        <v>0.0496</v>
      </c>
    </row>
    <row r="771" spans="1:7">
      <c r="A771" s="6">
        <v>45628</v>
      </c>
      <c r="B771" s="7">
        <v>3.213</v>
      </c>
      <c r="C771" s="7">
        <v>3.22</v>
      </c>
      <c r="D771" s="7">
        <v>3.279</v>
      </c>
      <c r="E771" s="7">
        <v>3.148</v>
      </c>
      <c r="F771" s="7" t="s">
        <v>2327</v>
      </c>
      <c r="G771" s="8">
        <v>-0.0446</v>
      </c>
    </row>
    <row r="772" spans="1:7">
      <c r="A772" s="6">
        <v>45629</v>
      </c>
      <c r="B772" s="7">
        <v>3.042</v>
      </c>
      <c r="C772" s="7">
        <v>3.207</v>
      </c>
      <c r="D772" s="7">
        <v>3.217</v>
      </c>
      <c r="E772" s="7">
        <v>3.03</v>
      </c>
      <c r="F772" s="7" t="s">
        <v>2328</v>
      </c>
      <c r="G772" s="8">
        <v>-0.0532</v>
      </c>
    </row>
    <row r="773" spans="1:7">
      <c r="A773" s="6">
        <v>45630</v>
      </c>
      <c r="B773" s="7">
        <v>3.043</v>
      </c>
      <c r="C773" s="7">
        <v>3.048</v>
      </c>
      <c r="D773" s="7">
        <v>3.088</v>
      </c>
      <c r="E773" s="7">
        <v>2.977</v>
      </c>
      <c r="F773" s="7" t="s">
        <v>2329</v>
      </c>
      <c r="G773" s="8">
        <v>0.0003</v>
      </c>
    </row>
    <row r="774" spans="1:7">
      <c r="A774" s="6">
        <v>45631</v>
      </c>
      <c r="B774" s="7">
        <v>3.079</v>
      </c>
      <c r="C774" s="7">
        <v>3.071</v>
      </c>
      <c r="D774" s="7">
        <v>3.155</v>
      </c>
      <c r="E774" s="7">
        <v>3.035</v>
      </c>
      <c r="F774" s="7" t="s">
        <v>2330</v>
      </c>
      <c r="G774" s="8">
        <v>0.0118</v>
      </c>
    </row>
    <row r="775" spans="1:7">
      <c r="A775" s="6">
        <v>45632</v>
      </c>
      <c r="B775" s="7">
        <v>3.076</v>
      </c>
      <c r="C775" s="7">
        <v>3.087</v>
      </c>
      <c r="D775" s="7">
        <v>3.108</v>
      </c>
      <c r="E775" s="7">
        <v>3.004</v>
      </c>
      <c r="F775" s="7" t="s">
        <v>2331</v>
      </c>
      <c r="G775" s="8">
        <v>-0.001</v>
      </c>
    </row>
    <row r="776" spans="1:7">
      <c r="A776" s="6">
        <v>45635</v>
      </c>
      <c r="B776" s="7">
        <v>3.182</v>
      </c>
      <c r="C776" s="7">
        <v>3.26</v>
      </c>
      <c r="D776" s="7">
        <v>3.324</v>
      </c>
      <c r="E776" s="7">
        <v>3.137</v>
      </c>
      <c r="F776" s="7" t="s">
        <v>2332</v>
      </c>
      <c r="G776" s="8">
        <v>0.0345</v>
      </c>
    </row>
    <row r="777" spans="1:7">
      <c r="A777" s="6">
        <v>45636</v>
      </c>
      <c r="B777" s="7">
        <v>3.163</v>
      </c>
      <c r="C777" s="7">
        <v>3.189</v>
      </c>
      <c r="D777" s="7">
        <v>3.193</v>
      </c>
      <c r="E777" s="7">
        <v>3.069</v>
      </c>
      <c r="F777" s="7" t="s">
        <v>2333</v>
      </c>
      <c r="G777" s="8">
        <v>-0.006</v>
      </c>
    </row>
    <row r="778" spans="1:7">
      <c r="A778" s="6">
        <v>45637</v>
      </c>
      <c r="B778" s="7">
        <v>3.378</v>
      </c>
      <c r="C778" s="7">
        <v>3.193</v>
      </c>
      <c r="D778" s="7">
        <v>3.404</v>
      </c>
      <c r="E778" s="7">
        <v>3.181</v>
      </c>
      <c r="F778" s="7" t="s">
        <v>2334</v>
      </c>
      <c r="G778" s="8">
        <v>0.068</v>
      </c>
    </row>
    <row r="779" spans="1:7">
      <c r="A779" s="6">
        <v>45638</v>
      </c>
      <c r="B779" s="7">
        <v>3.455</v>
      </c>
      <c r="C779" s="7">
        <v>3.364</v>
      </c>
      <c r="D779" s="7">
        <v>3.559</v>
      </c>
      <c r="E779" s="7">
        <v>3.282</v>
      </c>
      <c r="F779" s="7" t="s">
        <v>2335</v>
      </c>
      <c r="G779" s="8">
        <v>0.0228</v>
      </c>
    </row>
    <row r="780" spans="1:7">
      <c r="A780" s="6">
        <v>45639</v>
      </c>
      <c r="B780" s="7">
        <v>3.28</v>
      </c>
      <c r="C780" s="7">
        <v>3.458</v>
      </c>
      <c r="D780" s="7">
        <v>3.489</v>
      </c>
      <c r="E780" s="7">
        <v>3.264</v>
      </c>
      <c r="F780" s="7" t="s">
        <v>2336</v>
      </c>
      <c r="G780" s="8">
        <v>-0.0507</v>
      </c>
    </row>
    <row r="781" spans="1:7">
      <c r="A781" s="6">
        <v>45642</v>
      </c>
      <c r="B781" s="7">
        <v>2.702</v>
      </c>
      <c r="C781" s="7">
        <v>2.71</v>
      </c>
      <c r="D781" s="7">
        <v>2.727</v>
      </c>
      <c r="E781" s="7">
        <v>2.672</v>
      </c>
      <c r="F781" s="7" t="s">
        <v>2337</v>
      </c>
      <c r="G781" s="8">
        <v>-0.1762</v>
      </c>
    </row>
    <row r="782" spans="1:7">
      <c r="A782" s="6">
        <v>45643</v>
      </c>
      <c r="B782" s="7">
        <v>3.08</v>
      </c>
      <c r="C782" s="7">
        <v>3.03</v>
      </c>
      <c r="D782" s="7">
        <v>3.147</v>
      </c>
      <c r="E782" s="7">
        <v>2.919</v>
      </c>
      <c r="F782" s="7" t="s">
        <v>2338</v>
      </c>
      <c r="G782" s="8">
        <v>0.1399</v>
      </c>
    </row>
    <row r="783" spans="1:7">
      <c r="A783" s="6">
        <v>45644</v>
      </c>
      <c r="B783" s="7">
        <v>3.115</v>
      </c>
      <c r="C783" s="7">
        <v>3.123</v>
      </c>
      <c r="D783" s="7">
        <v>3.175</v>
      </c>
      <c r="E783" s="7">
        <v>3.084</v>
      </c>
      <c r="F783" s="7" t="s">
        <v>2339</v>
      </c>
      <c r="G783" s="8">
        <v>0.0114</v>
      </c>
    </row>
    <row r="784" spans="1:7">
      <c r="A784" s="6">
        <v>45645</v>
      </c>
      <c r="B784" s="7">
        <v>3.296</v>
      </c>
      <c r="C784" s="7">
        <v>3.135</v>
      </c>
      <c r="D784" s="7">
        <v>3.338</v>
      </c>
      <c r="E784" s="7">
        <v>3.126</v>
      </c>
      <c r="F784" s="7" t="s">
        <v>2340</v>
      </c>
      <c r="G784" s="8">
        <v>0.0581</v>
      </c>
    </row>
    <row r="785" spans="1:7">
      <c r="A785" s="6">
        <v>45646</v>
      </c>
      <c r="B785" s="7">
        <v>3.412</v>
      </c>
      <c r="C785" s="7">
        <v>3.327</v>
      </c>
      <c r="D785" s="7">
        <v>3.457</v>
      </c>
      <c r="E785" s="7">
        <v>3.264</v>
      </c>
      <c r="F785" s="7" t="s">
        <v>2341</v>
      </c>
      <c r="G785" s="8">
        <v>0.0352</v>
      </c>
    </row>
    <row r="786" spans="1:7">
      <c r="A786" s="6">
        <v>45649</v>
      </c>
      <c r="B786" s="7">
        <v>3.656</v>
      </c>
      <c r="C786" s="7">
        <v>3.869</v>
      </c>
      <c r="D786" s="7">
        <v>3.944</v>
      </c>
      <c r="E786" s="7">
        <v>3.581</v>
      </c>
      <c r="F786" s="7" t="s">
        <v>449</v>
      </c>
      <c r="G786" s="8">
        <v>0.0715</v>
      </c>
    </row>
    <row r="787" spans="1:7">
      <c r="A787" s="6">
        <v>45650</v>
      </c>
      <c r="B787" s="7">
        <v>3.946</v>
      </c>
      <c r="C787" s="7">
        <v>3.695</v>
      </c>
      <c r="D787" s="7">
        <v>3.958</v>
      </c>
      <c r="E787" s="7">
        <v>3.666</v>
      </c>
      <c r="F787" s="7" t="s">
        <v>2342</v>
      </c>
      <c r="G787" s="8">
        <v>0.0793</v>
      </c>
    </row>
    <row r="788" spans="1:7">
      <c r="A788" s="6">
        <v>45652</v>
      </c>
      <c r="B788" s="7">
        <v>3.715</v>
      </c>
      <c r="C788" s="7">
        <v>3.97</v>
      </c>
      <c r="D788" s="7">
        <v>4.01</v>
      </c>
      <c r="E788" s="7">
        <v>3.652</v>
      </c>
      <c r="F788" s="7" t="s">
        <v>2343</v>
      </c>
      <c r="G788" s="8">
        <v>-0.0585</v>
      </c>
    </row>
    <row r="789" spans="1:7">
      <c r="A789" s="6">
        <v>45653</v>
      </c>
      <c r="B789" s="7">
        <v>3.514</v>
      </c>
      <c r="C789" s="7">
        <v>3.707</v>
      </c>
      <c r="D789" s="7">
        <v>3.887</v>
      </c>
      <c r="E789" s="7">
        <v>3.37</v>
      </c>
      <c r="F789" s="7" t="s">
        <v>2344</v>
      </c>
      <c r="G789" s="8">
        <v>-0.0541</v>
      </c>
    </row>
    <row r="790" spans="1:7">
      <c r="A790" s="6">
        <v>45656</v>
      </c>
      <c r="B790" s="7">
        <v>3.936</v>
      </c>
      <c r="C790" s="7">
        <v>3.657</v>
      </c>
      <c r="D790" s="7">
        <v>4.201</v>
      </c>
      <c r="E790" s="7">
        <v>3.648</v>
      </c>
      <c r="F790" s="7" t="s">
        <v>2345</v>
      </c>
      <c r="G790" s="8">
        <v>0.1201</v>
      </c>
    </row>
    <row r="791" spans="1:7">
      <c r="A791" s="6">
        <v>45657</v>
      </c>
      <c r="B791" s="7">
        <v>3.633</v>
      </c>
      <c r="C791" s="7">
        <v>3.915</v>
      </c>
      <c r="D791" s="7">
        <v>4.012</v>
      </c>
      <c r="E791" s="7">
        <v>3.577</v>
      </c>
      <c r="F791" s="7" t="s">
        <v>2346</v>
      </c>
      <c r="G791" s="8">
        <v>-0.077</v>
      </c>
    </row>
    <row r="792" spans="1:7">
      <c r="A792" s="6">
        <v>45659</v>
      </c>
      <c r="B792" s="7">
        <v>3.66</v>
      </c>
      <c r="C792" s="7">
        <v>3.656</v>
      </c>
      <c r="D792" s="7">
        <v>3.801</v>
      </c>
      <c r="E792" s="7">
        <v>3.541</v>
      </c>
      <c r="F792" s="7" t="s">
        <v>2347</v>
      </c>
      <c r="G792" s="8">
        <v>0.0074</v>
      </c>
    </row>
    <row r="793" spans="1:7">
      <c r="A793" s="6">
        <v>45660</v>
      </c>
      <c r="B793" s="7">
        <v>3.354</v>
      </c>
      <c r="C793" s="7">
        <v>3.669</v>
      </c>
      <c r="D793" s="7">
        <v>3.68</v>
      </c>
      <c r="E793" s="7">
        <v>3.33</v>
      </c>
      <c r="F793" s="7" t="s">
        <v>2348</v>
      </c>
      <c r="G793" s="8">
        <v>-0.0836</v>
      </c>
    </row>
    <row r="794" spans="1:7">
      <c r="A794" s="6">
        <v>45663</v>
      </c>
      <c r="B794" s="7">
        <v>3.672</v>
      </c>
      <c r="C794" s="7">
        <v>3.554</v>
      </c>
      <c r="D794" s="7">
        <v>3.726</v>
      </c>
      <c r="E794" s="7">
        <v>3.502</v>
      </c>
      <c r="F794" s="7" t="s">
        <v>2349</v>
      </c>
      <c r="G794" s="8">
        <v>0.0948</v>
      </c>
    </row>
    <row r="795" spans="1:7">
      <c r="A795" s="6">
        <v>45664</v>
      </c>
      <c r="B795" s="7">
        <v>3.449</v>
      </c>
      <c r="C795" s="7">
        <v>3.705</v>
      </c>
      <c r="D795" s="7">
        <v>3.738</v>
      </c>
      <c r="E795" s="7">
        <v>3.427</v>
      </c>
      <c r="F795" s="7" t="s">
        <v>2350</v>
      </c>
      <c r="G795" s="8">
        <v>-0.0607</v>
      </c>
    </row>
    <row r="796" spans="1:7">
      <c r="A796" s="6">
        <v>45665</v>
      </c>
      <c r="B796" s="7">
        <v>3.651</v>
      </c>
      <c r="C796" s="7">
        <v>3.448</v>
      </c>
      <c r="D796" s="7">
        <v>3.694</v>
      </c>
      <c r="E796" s="7">
        <v>3.427</v>
      </c>
      <c r="F796" s="7" t="s">
        <v>2351</v>
      </c>
      <c r="G796" s="8">
        <v>0.0586</v>
      </c>
    </row>
    <row r="797" spans="1:7">
      <c r="A797" s="6">
        <v>45666</v>
      </c>
      <c r="B797" s="7">
        <v>3.701</v>
      </c>
      <c r="C797" s="7">
        <v>3.682</v>
      </c>
      <c r="D797" s="7">
        <v>3.83</v>
      </c>
      <c r="E797" s="7">
        <v>3.552</v>
      </c>
      <c r="F797" s="7" t="s">
        <v>2352</v>
      </c>
      <c r="G797" s="8">
        <v>0.0137</v>
      </c>
    </row>
    <row r="798" spans="1:7">
      <c r="A798" s="6">
        <v>45667</v>
      </c>
      <c r="B798" s="7">
        <v>3.989</v>
      </c>
      <c r="C798" s="7">
        <v>3.709</v>
      </c>
      <c r="D798" s="7">
        <v>4.018</v>
      </c>
      <c r="E798" s="7">
        <v>3.685</v>
      </c>
      <c r="F798" s="7" t="s">
        <v>2353</v>
      </c>
      <c r="G798" s="8">
        <v>0.0778</v>
      </c>
    </row>
    <row r="799" spans="1:7">
      <c r="A799" s="6">
        <v>45670</v>
      </c>
      <c r="B799" s="7">
        <v>3.934</v>
      </c>
      <c r="C799" s="7">
        <v>4.347</v>
      </c>
      <c r="D799" s="7">
        <v>4.369</v>
      </c>
      <c r="E799" s="7">
        <v>3.845</v>
      </c>
      <c r="F799" s="7" t="s">
        <v>2354</v>
      </c>
      <c r="G799" s="8">
        <v>-0.0138</v>
      </c>
    </row>
    <row r="800" spans="1:7">
      <c r="A800" s="6">
        <v>45671</v>
      </c>
      <c r="B800" s="7">
        <v>3.968</v>
      </c>
      <c r="C800" s="7">
        <v>3.93</v>
      </c>
      <c r="D800" s="7">
        <v>4.059</v>
      </c>
      <c r="E800" s="7">
        <v>3.736</v>
      </c>
      <c r="F800" s="7" t="s">
        <v>2355</v>
      </c>
      <c r="G800" s="8">
        <v>0.0086</v>
      </c>
    </row>
    <row r="801" spans="1:7">
      <c r="A801" s="6">
        <v>45672</v>
      </c>
      <c r="B801" s="7">
        <v>4.083</v>
      </c>
      <c r="C801" s="7">
        <v>3.955</v>
      </c>
      <c r="D801" s="7">
        <v>4.141</v>
      </c>
      <c r="E801" s="7">
        <v>3.859</v>
      </c>
      <c r="F801" s="7" t="s">
        <v>2356</v>
      </c>
      <c r="G801" s="8">
        <v>0.029</v>
      </c>
    </row>
    <row r="802" spans="1:7">
      <c r="A802" s="6">
        <v>45673</v>
      </c>
      <c r="B802" s="7">
        <v>4.258</v>
      </c>
      <c r="C802" s="7">
        <v>4.13</v>
      </c>
      <c r="D802" s="7">
        <v>4.328</v>
      </c>
      <c r="E802" s="7">
        <v>4.018</v>
      </c>
      <c r="F802" s="7" t="s">
        <v>2357</v>
      </c>
      <c r="G802" s="8">
        <v>0.0429</v>
      </c>
    </row>
    <row r="803" spans="1:7">
      <c r="A803" s="6">
        <v>45674</v>
      </c>
      <c r="B803" s="7">
        <v>3.948</v>
      </c>
      <c r="C803" s="7">
        <v>4.28</v>
      </c>
      <c r="D803" s="7">
        <v>4.308</v>
      </c>
      <c r="E803" s="7">
        <v>3.91</v>
      </c>
      <c r="F803" s="7" t="s">
        <v>2358</v>
      </c>
      <c r="G803" s="8">
        <v>-0.0728</v>
      </c>
    </row>
    <row r="804" spans="1:7">
      <c r="A804" s="6">
        <v>45678</v>
      </c>
      <c r="B804" s="7">
        <v>3.343</v>
      </c>
      <c r="C804" s="7">
        <v>3.392</v>
      </c>
      <c r="D804" s="7">
        <v>3.466</v>
      </c>
      <c r="E804" s="7">
        <v>3.334</v>
      </c>
      <c r="F804" s="7" t="s">
        <v>1032</v>
      </c>
      <c r="G804" s="8">
        <v>-0.1532</v>
      </c>
    </row>
    <row r="805" spans="1:7">
      <c r="A805" s="6">
        <v>45679</v>
      </c>
      <c r="B805" s="7">
        <v>3.506</v>
      </c>
      <c r="C805" s="7">
        <v>3.371</v>
      </c>
      <c r="D805" s="7">
        <v>3.532</v>
      </c>
      <c r="E805" s="7">
        <v>3.321</v>
      </c>
      <c r="F805" s="7" t="s">
        <v>2359</v>
      </c>
      <c r="G805" s="8">
        <v>0.0488</v>
      </c>
    </row>
    <row r="806" spans="1:7">
      <c r="A806" s="6">
        <v>45680</v>
      </c>
      <c r="B806" s="7">
        <v>3.945</v>
      </c>
      <c r="C806" s="7">
        <v>4.001</v>
      </c>
      <c r="D806" s="7">
        <v>4.048</v>
      </c>
      <c r="E806" s="7">
        <v>3.861</v>
      </c>
      <c r="F806" s="7" t="s">
        <v>2360</v>
      </c>
      <c r="G806" s="8">
        <v>0.1252</v>
      </c>
    </row>
    <row r="807" spans="1:7">
      <c r="A807" s="6">
        <v>45681</v>
      </c>
      <c r="B807" s="7">
        <v>4.027</v>
      </c>
      <c r="C807" s="7">
        <v>3.933</v>
      </c>
      <c r="D807" s="7">
        <v>4.05</v>
      </c>
      <c r="E807" s="7">
        <v>3.808</v>
      </c>
      <c r="F807" s="7" t="s">
        <v>2361</v>
      </c>
      <c r="G807" s="8">
        <v>0.0208</v>
      </c>
    </row>
    <row r="808" spans="1:7">
      <c r="A808" s="6">
        <v>45684</v>
      </c>
      <c r="B808" s="7">
        <v>3.697</v>
      </c>
      <c r="C808" s="7">
        <v>3.785</v>
      </c>
      <c r="D808" s="7">
        <v>3.827</v>
      </c>
      <c r="E808" s="7">
        <v>3.609</v>
      </c>
      <c r="F808" s="7" t="s">
        <v>2362</v>
      </c>
      <c r="G808" s="8">
        <v>-0.0819</v>
      </c>
    </row>
    <row r="809" spans="1:7">
      <c r="A809" s="6">
        <v>45685</v>
      </c>
      <c r="B809" s="7">
        <v>3.471</v>
      </c>
      <c r="C809" s="7">
        <v>3.699</v>
      </c>
      <c r="D809" s="7">
        <v>3.72</v>
      </c>
      <c r="E809" s="7">
        <v>3.361</v>
      </c>
      <c r="F809" s="7" t="s">
        <v>2363</v>
      </c>
      <c r="G809" s="8">
        <v>-0.0611</v>
      </c>
    </row>
    <row r="810" spans="1:7">
      <c r="A810" s="6">
        <v>45686</v>
      </c>
      <c r="B810" s="7">
        <v>3.535</v>
      </c>
      <c r="C810" s="7">
        <v>3.335</v>
      </c>
      <c r="D810" s="7">
        <v>3.588</v>
      </c>
      <c r="E810" s="7">
        <v>3.313</v>
      </c>
      <c r="F810" s="7" t="s">
        <v>1300</v>
      </c>
      <c r="G810" s="8">
        <v>0.0184</v>
      </c>
    </row>
    <row r="811" spans="1:7">
      <c r="A811" s="6">
        <v>45687</v>
      </c>
      <c r="B811" s="7">
        <v>3.047</v>
      </c>
      <c r="C811" s="7">
        <v>3.175</v>
      </c>
      <c r="D811" s="7">
        <v>3.24</v>
      </c>
      <c r="E811" s="7">
        <v>3.035</v>
      </c>
      <c r="F811" s="7" t="s">
        <v>2364</v>
      </c>
      <c r="G811" s="8">
        <v>-0.138</v>
      </c>
    </row>
    <row r="812" spans="1:7">
      <c r="A812" s="6">
        <v>45688</v>
      </c>
      <c r="B812" s="7">
        <v>3.044</v>
      </c>
      <c r="C812" s="7">
        <v>3.081</v>
      </c>
      <c r="D812" s="7">
        <v>3.118</v>
      </c>
      <c r="E812" s="7">
        <v>2.99</v>
      </c>
      <c r="F812" s="7" t="s">
        <v>2365</v>
      </c>
      <c r="G812" s="8">
        <v>-0.001</v>
      </c>
    </row>
    <row r="813" spans="1:7">
      <c r="A813" s="6">
        <v>45691</v>
      </c>
      <c r="B813" s="7">
        <v>3.352</v>
      </c>
      <c r="C813" s="7">
        <v>3.23</v>
      </c>
      <c r="D813" s="7">
        <v>3.407</v>
      </c>
      <c r="E813" s="7">
        <v>3.23</v>
      </c>
      <c r="F813" s="7" t="s">
        <v>2366</v>
      </c>
      <c r="G813" s="8">
        <v>0.1012</v>
      </c>
    </row>
    <row r="814" spans="1:7">
      <c r="A814" s="6">
        <v>45692</v>
      </c>
      <c r="B814" s="7">
        <v>3.253</v>
      </c>
      <c r="C814" s="7">
        <v>3.327</v>
      </c>
      <c r="D814" s="7">
        <v>3.35</v>
      </c>
      <c r="E814" s="7">
        <v>3.168</v>
      </c>
      <c r="F814" s="7" t="s">
        <v>2367</v>
      </c>
      <c r="G814" s="8">
        <v>-0.0295</v>
      </c>
    </row>
    <row r="815" spans="1:7">
      <c r="A815" s="6">
        <v>45693</v>
      </c>
      <c r="B815" s="7">
        <v>3.36</v>
      </c>
      <c r="C815" s="7">
        <v>3.229</v>
      </c>
      <c r="D815" s="7">
        <v>3.375</v>
      </c>
      <c r="E815" s="7">
        <v>3.161</v>
      </c>
      <c r="F815" s="7" t="s">
        <v>2368</v>
      </c>
      <c r="G815" s="8">
        <v>0.0329</v>
      </c>
    </row>
    <row r="816" spans="1:7">
      <c r="A816" s="6">
        <v>45694</v>
      </c>
      <c r="B816" s="7">
        <v>3.408</v>
      </c>
      <c r="C816" s="7">
        <v>3.355</v>
      </c>
      <c r="D816" s="7">
        <v>3.434</v>
      </c>
      <c r="E816" s="7">
        <v>3.303</v>
      </c>
      <c r="F816" s="7" t="s">
        <v>2369</v>
      </c>
      <c r="G816" s="8">
        <v>0.0143</v>
      </c>
    </row>
    <row r="817" spans="1:7">
      <c r="A817" s="6">
        <v>45695</v>
      </c>
      <c r="B817" s="7">
        <v>3.309</v>
      </c>
      <c r="C817" s="7">
        <v>3.38</v>
      </c>
      <c r="D817" s="7">
        <v>3.435</v>
      </c>
      <c r="E817" s="7">
        <v>3.296</v>
      </c>
      <c r="F817" s="7" t="s">
        <v>2370</v>
      </c>
      <c r="G817" s="8">
        <v>-0.029</v>
      </c>
    </row>
    <row r="818" spans="1:7">
      <c r="A818" s="6">
        <v>45698</v>
      </c>
      <c r="B818" s="7">
        <v>3.444</v>
      </c>
      <c r="C818" s="7">
        <v>3.406</v>
      </c>
      <c r="D818" s="7">
        <v>3.487</v>
      </c>
      <c r="E818" s="7">
        <v>3.352</v>
      </c>
      <c r="F818" s="7" t="s">
        <v>2371</v>
      </c>
      <c r="G818" s="8">
        <v>0.0408</v>
      </c>
    </row>
    <row r="819" spans="1:7">
      <c r="A819" s="6">
        <v>45699</v>
      </c>
      <c r="B819" s="7">
        <v>3.519</v>
      </c>
      <c r="C819" s="7">
        <v>3.442</v>
      </c>
      <c r="D819" s="7">
        <v>3.576</v>
      </c>
      <c r="E819" s="7">
        <v>3.431</v>
      </c>
      <c r="F819" s="7" t="s">
        <v>2372</v>
      </c>
      <c r="G819" s="8">
        <v>0.0218</v>
      </c>
    </row>
    <row r="820" spans="1:7">
      <c r="A820" s="6">
        <v>45700</v>
      </c>
      <c r="B820" s="7">
        <v>3.565</v>
      </c>
      <c r="C820" s="7">
        <v>3.51</v>
      </c>
      <c r="D820" s="7">
        <v>3.583</v>
      </c>
      <c r="E820" s="7">
        <v>3.469</v>
      </c>
      <c r="F820" s="7" t="s">
        <v>2373</v>
      </c>
      <c r="G820" s="8">
        <v>0.0131</v>
      </c>
    </row>
    <row r="821" spans="1:7">
      <c r="A821" s="6">
        <v>45701</v>
      </c>
      <c r="B821" s="7">
        <v>3.628</v>
      </c>
      <c r="C821" s="7">
        <v>3.591</v>
      </c>
      <c r="D821" s="7">
        <v>3.786</v>
      </c>
      <c r="E821" s="7">
        <v>3.583</v>
      </c>
      <c r="F821" s="7" t="s">
        <v>2374</v>
      </c>
      <c r="G821" s="8">
        <v>0.0177</v>
      </c>
    </row>
    <row r="822" spans="1:7">
      <c r="A822" s="6">
        <v>45702</v>
      </c>
      <c r="B822" s="7">
        <v>3.725</v>
      </c>
      <c r="C822" s="7">
        <v>3.65</v>
      </c>
      <c r="D822" s="7">
        <v>3.801</v>
      </c>
      <c r="E822" s="7">
        <v>3.635</v>
      </c>
      <c r="F822" s="7" t="s">
        <v>2375</v>
      </c>
      <c r="G822" s="8">
        <v>0.0267</v>
      </c>
    </row>
    <row r="823" spans="1:7">
      <c r="A823" s="6">
        <v>45706</v>
      </c>
      <c r="B823" s="7">
        <v>3.977</v>
      </c>
      <c r="C823" s="7">
        <v>3.61</v>
      </c>
      <c r="D823" s="7">
        <v>3.981</v>
      </c>
      <c r="E823" s="7">
        <v>3.557</v>
      </c>
      <c r="F823" s="7" t="s">
        <v>1230</v>
      </c>
      <c r="G823" s="8">
        <v>0.0677</v>
      </c>
    </row>
    <row r="824" spans="1:7">
      <c r="A824" s="6">
        <v>45707</v>
      </c>
      <c r="B824" s="7">
        <v>4.205</v>
      </c>
      <c r="C824" s="7">
        <v>3.974</v>
      </c>
      <c r="D824" s="7">
        <v>4.289</v>
      </c>
      <c r="E824" s="7">
        <v>3.911</v>
      </c>
      <c r="F824" s="7" t="s">
        <v>1550</v>
      </c>
      <c r="G824" s="8">
        <v>0.0573</v>
      </c>
    </row>
    <row r="825" spans="1:7">
      <c r="A825" s="6">
        <v>45708</v>
      </c>
      <c r="B825" s="7">
        <v>4.152</v>
      </c>
      <c r="C825" s="7">
        <v>4.381</v>
      </c>
      <c r="D825" s="7">
        <v>4.476</v>
      </c>
      <c r="E825" s="7">
        <v>4.034</v>
      </c>
      <c r="F825" s="7" t="s">
        <v>2215</v>
      </c>
      <c r="G825" s="8">
        <v>-0.0126</v>
      </c>
    </row>
    <row r="826" spans="1:7">
      <c r="A826" s="6">
        <v>45709</v>
      </c>
      <c r="B826" s="7">
        <v>4.234</v>
      </c>
      <c r="C826" s="7">
        <v>4.174</v>
      </c>
      <c r="D826" s="7">
        <v>4.444</v>
      </c>
      <c r="E826" s="7">
        <v>4.148</v>
      </c>
      <c r="F826" s="7" t="s">
        <v>2376</v>
      </c>
      <c r="G826" s="8">
        <v>0.0197</v>
      </c>
    </row>
    <row r="827" spans="1:7">
      <c r="A827" s="6">
        <v>45712</v>
      </c>
      <c r="B827" s="7">
        <v>3.994</v>
      </c>
      <c r="C827" s="7">
        <v>4.065</v>
      </c>
      <c r="D827" s="7">
        <v>4.09</v>
      </c>
      <c r="E827" s="7">
        <v>3.906</v>
      </c>
      <c r="F827" s="7" t="s">
        <v>2377</v>
      </c>
      <c r="G827" s="8">
        <v>-0.0567</v>
      </c>
    </row>
    <row r="828" spans="1:7">
      <c r="A828" s="6">
        <v>45713</v>
      </c>
      <c r="B828" s="7">
        <v>4.174</v>
      </c>
      <c r="C828" s="7">
        <v>3.987</v>
      </c>
      <c r="D828" s="7">
        <v>4.186</v>
      </c>
      <c r="E828" s="7">
        <v>3.935</v>
      </c>
      <c r="F828" s="7" t="s">
        <v>2378</v>
      </c>
      <c r="G828" s="8">
        <v>0.0451</v>
      </c>
    </row>
    <row r="829" spans="1:7">
      <c r="A829" s="6">
        <v>45714</v>
      </c>
      <c r="B829" s="7">
        <v>3.906</v>
      </c>
      <c r="C829" s="7">
        <v>4.13</v>
      </c>
      <c r="D829" s="7">
        <v>4.212</v>
      </c>
      <c r="E829" s="7">
        <v>3.86</v>
      </c>
      <c r="F829" s="7" t="s">
        <v>2379</v>
      </c>
      <c r="G829" s="8">
        <v>-0.0642</v>
      </c>
    </row>
    <row r="830" spans="1:7">
      <c r="A830" s="6">
        <v>45715</v>
      </c>
      <c r="B830" s="7">
        <v>3.934</v>
      </c>
      <c r="C830" s="7">
        <v>3.966</v>
      </c>
      <c r="D830" s="7">
        <v>4.065</v>
      </c>
      <c r="E830" s="7">
        <v>3.878</v>
      </c>
      <c r="F830" s="7" t="s">
        <v>2380</v>
      </c>
      <c r="G830" s="8">
        <v>0.0072</v>
      </c>
    </row>
    <row r="831" spans="1:7">
      <c r="A831" s="6">
        <v>45716</v>
      </c>
      <c r="B831" s="7">
        <v>3.834</v>
      </c>
      <c r="C831" s="7">
        <v>3.939</v>
      </c>
      <c r="D831" s="7">
        <v>3.954</v>
      </c>
      <c r="E831" s="7">
        <v>3.814</v>
      </c>
      <c r="F831" s="7" t="s">
        <v>2381</v>
      </c>
      <c r="G831" s="8">
        <v>-0.0254</v>
      </c>
    </row>
    <row r="832" spans="1:7">
      <c r="A832" s="6">
        <v>45719</v>
      </c>
      <c r="B832" s="7">
        <v>4.122</v>
      </c>
      <c r="C832" s="7">
        <v>3.779</v>
      </c>
      <c r="D832" s="7">
        <v>4.173</v>
      </c>
      <c r="E832" s="7">
        <v>3.742</v>
      </c>
      <c r="F832" s="7" t="s">
        <v>2382</v>
      </c>
      <c r="G832" s="8">
        <v>0.0751</v>
      </c>
    </row>
    <row r="833" spans="1:7">
      <c r="A833" s="6">
        <v>45720</v>
      </c>
      <c r="B833" s="7">
        <v>4.35</v>
      </c>
      <c r="C833" s="7">
        <v>4.168</v>
      </c>
      <c r="D833" s="7">
        <v>4.551</v>
      </c>
      <c r="E833" s="7">
        <v>4.056</v>
      </c>
      <c r="F833" s="7" t="s">
        <v>2383</v>
      </c>
      <c r="G833" s="8">
        <v>0.0553</v>
      </c>
    </row>
    <row r="834" spans="1:7">
      <c r="A834" s="6">
        <v>45721</v>
      </c>
      <c r="B834" s="7">
        <v>4.45</v>
      </c>
      <c r="C834" s="7">
        <v>4.317</v>
      </c>
      <c r="D834" s="7">
        <v>4.518</v>
      </c>
      <c r="E834" s="7">
        <v>4.227</v>
      </c>
      <c r="F834" s="7" t="s">
        <v>2384</v>
      </c>
      <c r="G834" s="8">
        <v>0.023</v>
      </c>
    </row>
    <row r="835" spans="1:7">
      <c r="A835" s="6">
        <v>45722</v>
      </c>
      <c r="B835" s="7">
        <v>4.302</v>
      </c>
      <c r="C835" s="7">
        <v>4.466</v>
      </c>
      <c r="D835" s="7">
        <v>4.471</v>
      </c>
      <c r="E835" s="7">
        <v>4.254</v>
      </c>
      <c r="F835" s="7" t="s">
        <v>2385</v>
      </c>
      <c r="G835" s="8">
        <v>-0.0333</v>
      </c>
    </row>
    <row r="836" spans="1:7">
      <c r="A836" s="6">
        <v>45723</v>
      </c>
      <c r="B836" s="7">
        <v>4.399</v>
      </c>
      <c r="C836" s="7">
        <v>4.286</v>
      </c>
      <c r="D836" s="7">
        <v>4.426</v>
      </c>
      <c r="E836" s="7">
        <v>4.132</v>
      </c>
      <c r="F836" s="7" t="s">
        <v>2386</v>
      </c>
      <c r="G836" s="8">
        <v>0.0225</v>
      </c>
    </row>
    <row r="837" spans="1:7">
      <c r="A837" s="6">
        <v>45726</v>
      </c>
      <c r="B837" s="7">
        <v>4.491</v>
      </c>
      <c r="C837" s="7">
        <v>4.467</v>
      </c>
      <c r="D837" s="7">
        <v>4.901</v>
      </c>
      <c r="E837" s="7">
        <v>4.447</v>
      </c>
      <c r="F837" s="7" t="s">
        <v>2387</v>
      </c>
      <c r="G837" s="8">
        <v>0.0209</v>
      </c>
    </row>
    <row r="838" spans="1:7">
      <c r="A838" s="6">
        <v>45727</v>
      </c>
      <c r="B838" s="7">
        <v>4.453</v>
      </c>
      <c r="C838" s="7">
        <v>4.461</v>
      </c>
      <c r="D838" s="7">
        <v>4.588</v>
      </c>
      <c r="E838" s="7">
        <v>4.334</v>
      </c>
      <c r="F838" s="7" t="s">
        <v>2323</v>
      </c>
      <c r="G838" s="8">
        <v>-0.0085</v>
      </c>
    </row>
    <row r="839" spans="1:7">
      <c r="A839" s="6">
        <v>45728</v>
      </c>
      <c r="B839" s="7">
        <v>4.084</v>
      </c>
      <c r="C839" s="7">
        <v>4.346</v>
      </c>
      <c r="D839" s="7">
        <v>4.379</v>
      </c>
      <c r="E839" s="7">
        <v>4.029</v>
      </c>
      <c r="F839" s="7" t="s">
        <v>2388</v>
      </c>
      <c r="G839" s="8">
        <v>-0.0829</v>
      </c>
    </row>
    <row r="840" spans="1:7">
      <c r="A840" s="6">
        <v>45729</v>
      </c>
      <c r="B840" s="7">
        <v>4.111</v>
      </c>
      <c r="C840" s="7">
        <v>4.032</v>
      </c>
      <c r="D840" s="7">
        <v>4.195</v>
      </c>
      <c r="E840" s="7">
        <v>3.955</v>
      </c>
      <c r="F840" s="7" t="s">
        <v>1364</v>
      </c>
      <c r="G840" s="8">
        <v>0.0066</v>
      </c>
    </row>
    <row r="841" spans="1:7">
      <c r="A841" s="6">
        <v>45730</v>
      </c>
      <c r="B841" s="7">
        <v>4.104</v>
      </c>
      <c r="C841" s="7">
        <v>4.04</v>
      </c>
      <c r="D841" s="7">
        <v>4.141</v>
      </c>
      <c r="E841" s="7">
        <v>3.962</v>
      </c>
      <c r="F841" s="7" t="s">
        <v>2389</v>
      </c>
      <c r="G841" s="8">
        <v>-0.0017</v>
      </c>
    </row>
    <row r="842" spans="1:7">
      <c r="A842" s="6">
        <v>45733</v>
      </c>
      <c r="B842" s="7">
        <v>4.086</v>
      </c>
      <c r="C842" s="7">
        <v>4.187</v>
      </c>
      <c r="D842" s="7">
        <v>4.278</v>
      </c>
      <c r="E842" s="7">
        <v>4.046</v>
      </c>
      <c r="F842" s="7" t="s">
        <v>2390</v>
      </c>
      <c r="G842" s="8">
        <v>-0.0044</v>
      </c>
    </row>
    <row r="843" spans="1:7">
      <c r="A843" s="6">
        <v>45734</v>
      </c>
      <c r="B843" s="7">
        <v>4.109</v>
      </c>
      <c r="C843" s="7">
        <v>4.073</v>
      </c>
      <c r="D843" s="7">
        <v>4.185</v>
      </c>
      <c r="E843" s="7">
        <v>4.041</v>
      </c>
      <c r="F843" s="7" t="s">
        <v>2391</v>
      </c>
      <c r="G843" s="8">
        <v>0.0056</v>
      </c>
    </row>
    <row r="844" spans="1:7">
      <c r="A844" s="6">
        <v>45735</v>
      </c>
      <c r="B844" s="7">
        <v>4.313</v>
      </c>
      <c r="C844" s="7">
        <v>4.11</v>
      </c>
      <c r="D844" s="7">
        <v>4.322</v>
      </c>
      <c r="E844" s="7">
        <v>4.102</v>
      </c>
      <c r="F844" s="7" t="s">
        <v>2392</v>
      </c>
      <c r="G844" s="8">
        <v>0.0496</v>
      </c>
    </row>
    <row r="845" spans="1:7">
      <c r="A845" s="6">
        <v>45736</v>
      </c>
      <c r="B845" s="7">
        <v>4.038</v>
      </c>
      <c r="C845" s="7">
        <v>4.28</v>
      </c>
      <c r="D845" s="7">
        <v>4.312</v>
      </c>
      <c r="E845" s="7">
        <v>4.027</v>
      </c>
      <c r="F845" s="7" t="s">
        <v>2393</v>
      </c>
      <c r="G845" s="8">
        <v>-0.0638</v>
      </c>
    </row>
    <row r="846" spans="1:7">
      <c r="A846" s="6">
        <v>45737</v>
      </c>
      <c r="B846" s="7">
        <v>4.024</v>
      </c>
      <c r="C846" s="7">
        <v>4.035</v>
      </c>
      <c r="D846" s="7">
        <v>4.089</v>
      </c>
      <c r="E846" s="7">
        <v>3.931</v>
      </c>
      <c r="F846" s="7" t="s">
        <v>2394</v>
      </c>
      <c r="G846" s="8">
        <v>-0.0035</v>
      </c>
    </row>
    <row r="847" spans="1:7">
      <c r="A847" s="6">
        <v>45740</v>
      </c>
      <c r="B847" s="7">
        <v>3.914</v>
      </c>
      <c r="C847" s="7">
        <v>3.88</v>
      </c>
      <c r="D847" s="7">
        <v>4.012</v>
      </c>
      <c r="E847" s="7">
        <v>3.862</v>
      </c>
      <c r="F847" s="7" t="s">
        <v>2395</v>
      </c>
      <c r="G847" s="8">
        <v>-0.0273</v>
      </c>
    </row>
    <row r="848" spans="1:7">
      <c r="A848" s="6">
        <v>45741</v>
      </c>
      <c r="B848" s="7">
        <v>3.84</v>
      </c>
      <c r="C848" s="7">
        <v>3.909</v>
      </c>
      <c r="D848" s="7">
        <v>3.99</v>
      </c>
      <c r="E848" s="7">
        <v>3.796</v>
      </c>
      <c r="F848" s="7" t="s">
        <v>2396</v>
      </c>
      <c r="G848" s="8">
        <v>-0.0189</v>
      </c>
    </row>
    <row r="849" spans="1:7">
      <c r="A849" s="6">
        <v>45742</v>
      </c>
      <c r="B849" s="7">
        <v>3.861</v>
      </c>
      <c r="C849" s="7">
        <v>3.866</v>
      </c>
      <c r="D849" s="7">
        <v>3.93</v>
      </c>
      <c r="E849" s="7">
        <v>3.813</v>
      </c>
      <c r="F849" s="7" t="s">
        <v>2397</v>
      </c>
      <c r="G849" s="8">
        <v>0.0055</v>
      </c>
    </row>
    <row r="850" spans="1:7">
      <c r="A850" s="6">
        <v>45743</v>
      </c>
      <c r="B850" s="7">
        <v>3.95</v>
      </c>
      <c r="C850" s="7">
        <v>3.859</v>
      </c>
      <c r="D850" s="7">
        <v>4.016</v>
      </c>
      <c r="E850" s="7">
        <v>3.689</v>
      </c>
      <c r="F850" s="7" t="s">
        <v>1107</v>
      </c>
      <c r="G850" s="8">
        <v>0.0231</v>
      </c>
    </row>
    <row r="851" spans="1:7">
      <c r="A851" s="6">
        <v>45744</v>
      </c>
      <c r="B851" s="7">
        <v>4.065</v>
      </c>
      <c r="C851" s="7">
        <v>3.915</v>
      </c>
      <c r="D851" s="7">
        <v>4.1</v>
      </c>
      <c r="E851" s="7">
        <v>3.836</v>
      </c>
      <c r="F851" s="7" t="s">
        <v>2398</v>
      </c>
      <c r="G851" s="8">
        <v>0.0291</v>
      </c>
    </row>
    <row r="852" spans="1:7">
      <c r="A852" s="6">
        <v>45747</v>
      </c>
      <c r="B852" s="7">
        <v>4.119</v>
      </c>
      <c r="C852" s="7">
        <v>4.176</v>
      </c>
      <c r="D852" s="7">
        <v>4.253</v>
      </c>
      <c r="E852" s="7">
        <v>4.055</v>
      </c>
      <c r="F852" s="7" t="s">
        <v>2399</v>
      </c>
      <c r="G852" s="8">
        <v>0.0133</v>
      </c>
    </row>
    <row r="853" spans="1:7">
      <c r="A853" s="6">
        <v>45748</v>
      </c>
      <c r="B853" s="7">
        <v>3.951</v>
      </c>
      <c r="C853" s="7">
        <v>4.132</v>
      </c>
      <c r="D853" s="7">
        <v>4.148</v>
      </c>
      <c r="E853" s="7">
        <v>3.934</v>
      </c>
      <c r="F853" s="7" t="s">
        <v>2400</v>
      </c>
      <c r="G853" s="8">
        <v>-0.0408</v>
      </c>
    </row>
    <row r="854" spans="1:7">
      <c r="A854" s="6">
        <v>45749</v>
      </c>
      <c r="B854" s="7">
        <v>4.055</v>
      </c>
      <c r="C854" s="7">
        <v>3.95</v>
      </c>
      <c r="D854" s="7">
        <v>4.089</v>
      </c>
      <c r="E854" s="7">
        <v>3.935</v>
      </c>
      <c r="F854" s="7" t="s">
        <v>2401</v>
      </c>
      <c r="G854" s="8">
        <v>0.0263</v>
      </c>
    </row>
    <row r="855" spans="1:7">
      <c r="A855" s="6">
        <v>45750</v>
      </c>
      <c r="B855" s="7">
        <v>4.138</v>
      </c>
      <c r="C855" s="7">
        <v>4.011</v>
      </c>
      <c r="D855" s="7">
        <v>4.203</v>
      </c>
      <c r="E855" s="7">
        <v>3.968</v>
      </c>
      <c r="F855" s="7" t="s">
        <v>2402</v>
      </c>
      <c r="G855" s="8">
        <v>0.0205</v>
      </c>
    </row>
    <row r="856" spans="1:7">
      <c r="A856" s="6">
        <v>45751</v>
      </c>
      <c r="B856" s="7">
        <v>3.837</v>
      </c>
      <c r="C856" s="7">
        <v>4.119</v>
      </c>
      <c r="D856" s="7">
        <v>4.153</v>
      </c>
      <c r="E856" s="7">
        <v>3.811</v>
      </c>
      <c r="F856" s="7" t="s">
        <v>2403</v>
      </c>
      <c r="G856" s="8">
        <v>-0.0727</v>
      </c>
    </row>
    <row r="857" spans="1:7">
      <c r="A857" s="6">
        <v>45754</v>
      </c>
      <c r="B857" s="7">
        <v>3.655</v>
      </c>
      <c r="C857" s="7">
        <v>3.811</v>
      </c>
      <c r="D857" s="7">
        <v>3.939</v>
      </c>
      <c r="E857" s="7">
        <v>3.6</v>
      </c>
      <c r="F857" s="7" t="s">
        <v>2404</v>
      </c>
      <c r="G857" s="8">
        <v>-0.0474</v>
      </c>
    </row>
    <row r="858" spans="1:7">
      <c r="A858" s="6">
        <v>45755</v>
      </c>
      <c r="B858" s="7">
        <v>3.465</v>
      </c>
      <c r="C858" s="7">
        <v>3.63</v>
      </c>
      <c r="D858" s="7">
        <v>3.783</v>
      </c>
      <c r="E858" s="7">
        <v>3.462</v>
      </c>
      <c r="F858" s="7" t="s">
        <v>2405</v>
      </c>
      <c r="G858" s="8">
        <v>-0.052</v>
      </c>
    </row>
    <row r="859" spans="1:7">
      <c r="A859" s="6">
        <v>45756</v>
      </c>
      <c r="B859" s="7">
        <v>3.816</v>
      </c>
      <c r="C859" s="7">
        <v>3.481</v>
      </c>
      <c r="D859" s="7">
        <v>3.829</v>
      </c>
      <c r="E859" s="7">
        <v>3.336</v>
      </c>
      <c r="F859" s="7" t="s">
        <v>2406</v>
      </c>
      <c r="G859" s="8">
        <v>0.1013</v>
      </c>
    </row>
    <row r="860" spans="1:7">
      <c r="A860" s="6">
        <v>45757</v>
      </c>
      <c r="B860" s="7">
        <v>3.557</v>
      </c>
      <c r="C860" s="7">
        <v>3.747</v>
      </c>
      <c r="D860" s="7">
        <v>3.751</v>
      </c>
      <c r="E860" s="7">
        <v>3.466</v>
      </c>
      <c r="F860" s="7" t="s">
        <v>2407</v>
      </c>
      <c r="G860" s="8">
        <v>-0.0679</v>
      </c>
    </row>
    <row r="861" spans="1:7">
      <c r="A861" s="6">
        <v>45758</v>
      </c>
      <c r="B861" s="7">
        <v>3.527</v>
      </c>
      <c r="C861" s="7">
        <v>3.52</v>
      </c>
      <c r="D861" s="7">
        <v>3.576</v>
      </c>
      <c r="E861" s="7">
        <v>3.394</v>
      </c>
      <c r="F861" s="7" t="s">
        <v>2408</v>
      </c>
      <c r="G861" s="8">
        <v>-0.0084</v>
      </c>
    </row>
    <row r="862" spans="1:7">
      <c r="A862" s="6">
        <v>45761</v>
      </c>
      <c r="B862" s="7">
        <v>3.325</v>
      </c>
      <c r="C862" s="7">
        <v>3.5</v>
      </c>
      <c r="D862" s="7">
        <v>3.613</v>
      </c>
      <c r="E862" s="7">
        <v>3.312</v>
      </c>
      <c r="F862" s="7" t="s">
        <v>2409</v>
      </c>
      <c r="G862" s="8">
        <v>-0.0573</v>
      </c>
    </row>
    <row r="863" spans="1:7">
      <c r="A863" s="6">
        <v>45762</v>
      </c>
      <c r="B863" s="7">
        <v>3.329</v>
      </c>
      <c r="C863" s="7">
        <v>3.345</v>
      </c>
      <c r="D863" s="7">
        <v>3.378</v>
      </c>
      <c r="E863" s="7">
        <v>3.216</v>
      </c>
      <c r="F863" s="7" t="s">
        <v>2410</v>
      </c>
      <c r="G863" s="8">
        <v>0.0012</v>
      </c>
    </row>
    <row r="864" spans="1:7">
      <c r="A864" s="6">
        <v>45763</v>
      </c>
      <c r="B864" s="7">
        <v>3.247</v>
      </c>
      <c r="C864" s="7">
        <v>3.318</v>
      </c>
      <c r="D864" s="7">
        <v>3.318</v>
      </c>
      <c r="E864" s="7">
        <v>3.204</v>
      </c>
      <c r="F864" s="7" t="s">
        <v>2411</v>
      </c>
      <c r="G864" s="8">
        <v>-0.0246</v>
      </c>
    </row>
    <row r="865" spans="1:7">
      <c r="A865" s="6">
        <v>45764</v>
      </c>
      <c r="B865" s="7">
        <v>3.245</v>
      </c>
      <c r="C865" s="7">
        <v>3.262</v>
      </c>
      <c r="D865" s="7">
        <v>3.334</v>
      </c>
      <c r="E865" s="7">
        <v>3.191</v>
      </c>
      <c r="F865" s="7" t="s">
        <v>2412</v>
      </c>
      <c r="G865" s="8">
        <v>-0.0006</v>
      </c>
    </row>
    <row r="866" spans="1:7">
      <c r="A866" s="6">
        <v>45768</v>
      </c>
      <c r="B866" s="7">
        <v>3.177</v>
      </c>
      <c r="C866" s="7">
        <v>3.367</v>
      </c>
      <c r="D866" s="7">
        <v>3.391</v>
      </c>
      <c r="E866" s="7">
        <v>3.155</v>
      </c>
      <c r="F866" s="7" t="s">
        <v>2413</v>
      </c>
      <c r="G866" s="8">
        <v>-0.021</v>
      </c>
    </row>
    <row r="867" spans="1:7">
      <c r="A867" s="6">
        <v>45769</v>
      </c>
      <c r="B867" s="7">
        <v>3.007</v>
      </c>
      <c r="C867" s="7">
        <v>3.051</v>
      </c>
      <c r="D867" s="7">
        <v>3.095</v>
      </c>
      <c r="E867" s="7">
        <v>2.955</v>
      </c>
      <c r="F867" s="7" t="s">
        <v>1944</v>
      </c>
      <c r="G867" s="8">
        <v>-0.0535</v>
      </c>
    </row>
    <row r="868" spans="1:7">
      <c r="A868" s="6">
        <v>45770</v>
      </c>
      <c r="B868" s="7">
        <v>3.022</v>
      </c>
      <c r="C868" s="7">
        <v>3.046</v>
      </c>
      <c r="D868" s="7">
        <v>3.074</v>
      </c>
      <c r="E868" s="7">
        <v>2.967</v>
      </c>
      <c r="F868" s="7" t="s">
        <v>2414</v>
      </c>
      <c r="G868" s="8">
        <v>0.005</v>
      </c>
    </row>
    <row r="869" spans="1:7">
      <c r="A869" s="6">
        <v>45771</v>
      </c>
      <c r="B869" s="7">
        <v>2.93</v>
      </c>
      <c r="C869" s="7">
        <v>3.011</v>
      </c>
      <c r="D869" s="7">
        <v>3.016</v>
      </c>
      <c r="E869" s="7">
        <v>2.858</v>
      </c>
      <c r="F869" s="7" t="s">
        <v>2415</v>
      </c>
      <c r="G869" s="8">
        <v>-0.0304</v>
      </c>
    </row>
    <row r="870" spans="1:7">
      <c r="A870" s="6">
        <v>45772</v>
      </c>
      <c r="B870" s="7">
        <v>2.937</v>
      </c>
      <c r="C870" s="7">
        <v>2.939</v>
      </c>
      <c r="D870" s="7">
        <v>2.983</v>
      </c>
      <c r="E870" s="7">
        <v>2.868</v>
      </c>
      <c r="F870" s="7" t="s">
        <v>2416</v>
      </c>
      <c r="G870" s="8">
        <v>0.0024</v>
      </c>
    </row>
    <row r="871" spans="1:7">
      <c r="A871" s="6">
        <v>45775</v>
      </c>
      <c r="B871" s="7">
        <v>3.17</v>
      </c>
      <c r="C871" s="7">
        <v>2.884</v>
      </c>
      <c r="D871" s="7">
        <v>3.187</v>
      </c>
      <c r="E871" s="7">
        <v>2.859</v>
      </c>
      <c r="F871" s="7" t="s">
        <v>2417</v>
      </c>
      <c r="G871" s="8">
        <v>0.0793</v>
      </c>
    </row>
    <row r="872" spans="1:7">
      <c r="A872" s="6">
        <v>45776</v>
      </c>
      <c r="B872" s="7">
        <v>3.386</v>
      </c>
      <c r="C872" s="7">
        <v>3.32</v>
      </c>
      <c r="D872" s="7">
        <v>3.457</v>
      </c>
      <c r="E872" s="7">
        <v>3.307</v>
      </c>
      <c r="F872" s="7" t="s">
        <v>98</v>
      </c>
      <c r="G872" s="8">
        <v>0.0681</v>
      </c>
    </row>
    <row r="873" spans="1:7">
      <c r="A873" s="6">
        <v>45777</v>
      </c>
      <c r="B873" s="7">
        <v>3.326</v>
      </c>
      <c r="C873" s="7">
        <v>3.38</v>
      </c>
      <c r="D873" s="7">
        <v>3.399</v>
      </c>
      <c r="E873" s="7">
        <v>3.26</v>
      </c>
      <c r="F873" s="7" t="s">
        <v>2418</v>
      </c>
      <c r="G873" s="8">
        <v>-0.0177</v>
      </c>
    </row>
    <row r="874" spans="1:7">
      <c r="A874" s="6">
        <v>45778</v>
      </c>
      <c r="B874" s="7">
        <v>3.479</v>
      </c>
      <c r="C874" s="7">
        <v>3.353</v>
      </c>
      <c r="D874" s="7">
        <v>3.54</v>
      </c>
      <c r="E874" s="7">
        <v>3.34</v>
      </c>
      <c r="F874" s="7" t="s">
        <v>2419</v>
      </c>
      <c r="G874" s="8">
        <v>0.046</v>
      </c>
    </row>
    <row r="875" spans="1:7">
      <c r="A875" s="6">
        <v>45779</v>
      </c>
      <c r="B875" s="7">
        <v>3.63</v>
      </c>
      <c r="C875" s="7">
        <v>3.446</v>
      </c>
      <c r="D875" s="7">
        <v>3.673</v>
      </c>
      <c r="E875" s="7">
        <v>3.418</v>
      </c>
      <c r="F875" s="7" t="s">
        <v>2420</v>
      </c>
      <c r="G875" s="8">
        <v>0.0434</v>
      </c>
    </row>
    <row r="876" spans="1:7">
      <c r="A876" s="6">
        <v>45782</v>
      </c>
      <c r="B876" s="7">
        <v>3.55</v>
      </c>
      <c r="C876" s="7">
        <v>3.671</v>
      </c>
      <c r="D876" s="7">
        <v>3.747</v>
      </c>
      <c r="E876" s="7">
        <v>3.531</v>
      </c>
      <c r="F876" s="7" t="s">
        <v>2421</v>
      </c>
      <c r="G876" s="8">
        <v>-0.022</v>
      </c>
    </row>
    <row r="877" spans="1:7">
      <c r="A877" s="6">
        <v>45783</v>
      </c>
      <c r="B877" s="7">
        <v>3.463</v>
      </c>
      <c r="C877" s="7">
        <v>3.568</v>
      </c>
      <c r="D877" s="7">
        <v>3.648</v>
      </c>
      <c r="E877" s="7">
        <v>3.423</v>
      </c>
      <c r="F877" s="7" t="s">
        <v>2422</v>
      </c>
      <c r="G877" s="8">
        <v>-0.0245</v>
      </c>
    </row>
    <row r="878" spans="1:7">
      <c r="A878" s="6">
        <v>45784</v>
      </c>
      <c r="B878" s="7">
        <v>3.621</v>
      </c>
      <c r="C878" s="7">
        <v>3.487</v>
      </c>
      <c r="D878" s="7">
        <v>3.656</v>
      </c>
      <c r="E878" s="7">
        <v>3.487</v>
      </c>
      <c r="F878" s="7" t="s">
        <v>2423</v>
      </c>
      <c r="G878" s="8">
        <v>0.0456</v>
      </c>
    </row>
    <row r="879" spans="1:7">
      <c r="A879" s="6">
        <v>45785</v>
      </c>
      <c r="B879" s="7">
        <v>3.592</v>
      </c>
      <c r="C879" s="7">
        <v>3.632</v>
      </c>
      <c r="D879" s="7">
        <v>3.723</v>
      </c>
      <c r="E879" s="7">
        <v>3.527</v>
      </c>
      <c r="F879" s="7" t="s">
        <v>348</v>
      </c>
      <c r="G879" s="8">
        <v>-0.008</v>
      </c>
    </row>
    <row r="880" spans="1:7">
      <c r="A880" s="6">
        <v>45786</v>
      </c>
      <c r="B880" s="7">
        <v>3.795</v>
      </c>
      <c r="C880" s="7">
        <v>3.621</v>
      </c>
      <c r="D880" s="7">
        <v>3.815</v>
      </c>
      <c r="E880" s="7">
        <v>3.613</v>
      </c>
      <c r="F880" s="7" t="s">
        <v>2424</v>
      </c>
      <c r="G880" s="8">
        <v>0.0565</v>
      </c>
    </row>
    <row r="881" spans="1:7">
      <c r="A881" s="6">
        <v>45789</v>
      </c>
      <c r="B881" s="7">
        <v>3.646</v>
      </c>
      <c r="C881" s="7">
        <v>3.775</v>
      </c>
      <c r="D881" s="7">
        <v>3.84</v>
      </c>
      <c r="E881" s="7">
        <v>3.608</v>
      </c>
      <c r="F881" s="7" t="s">
        <v>2425</v>
      </c>
      <c r="G881" s="8">
        <v>-0.0393</v>
      </c>
    </row>
    <row r="882" spans="1:7">
      <c r="A882" s="6">
        <v>45790</v>
      </c>
      <c r="B882" s="7">
        <v>3.647</v>
      </c>
      <c r="C882" s="7">
        <v>3.677</v>
      </c>
      <c r="D882" s="7">
        <v>3.728</v>
      </c>
      <c r="E882" s="7">
        <v>3.57</v>
      </c>
      <c r="F882" s="7" t="s">
        <v>2426</v>
      </c>
      <c r="G882" s="8">
        <v>0.0003</v>
      </c>
    </row>
    <row r="883" spans="1:7">
      <c r="A883" s="6">
        <v>45791</v>
      </c>
      <c r="B883" s="7">
        <v>3.492</v>
      </c>
      <c r="C883" s="7">
        <v>3.622</v>
      </c>
      <c r="D883" s="7">
        <v>3.635</v>
      </c>
      <c r="E883" s="7">
        <v>3.454</v>
      </c>
      <c r="F883" s="7" t="s">
        <v>2427</v>
      </c>
      <c r="G883" s="8">
        <v>-0.0425</v>
      </c>
    </row>
    <row r="884" spans="1:7">
      <c r="A884" s="6">
        <v>45792</v>
      </c>
      <c r="B884" s="7">
        <v>3.362</v>
      </c>
      <c r="C884" s="7">
        <v>3.467</v>
      </c>
      <c r="D884" s="7">
        <v>3.499</v>
      </c>
      <c r="E884" s="7">
        <v>3.335</v>
      </c>
      <c r="F884" s="7" t="s">
        <v>2428</v>
      </c>
      <c r="G884" s="8">
        <v>-0.0372</v>
      </c>
    </row>
    <row r="885" spans="1:7">
      <c r="A885" s="6">
        <v>45793</v>
      </c>
      <c r="B885" s="7">
        <v>3.334</v>
      </c>
      <c r="C885" s="7">
        <v>3.372</v>
      </c>
      <c r="D885" s="7">
        <v>3.449</v>
      </c>
      <c r="E885" s="7">
        <v>3.305</v>
      </c>
      <c r="F885" s="7" t="s">
        <v>2429</v>
      </c>
      <c r="G885" s="8">
        <v>-0.0083</v>
      </c>
    </row>
    <row r="886" spans="1:7">
      <c r="A886" s="6">
        <v>45796</v>
      </c>
      <c r="B886" s="7">
        <v>3.452</v>
      </c>
      <c r="C886" s="7">
        <v>3.64</v>
      </c>
      <c r="D886" s="7">
        <v>3.64</v>
      </c>
      <c r="E886" s="7">
        <v>3.436</v>
      </c>
      <c r="F886" s="7" t="s">
        <v>2430</v>
      </c>
      <c r="G886" s="8">
        <v>0.0354</v>
      </c>
    </row>
    <row r="887" spans="1:7">
      <c r="A887" s="6">
        <v>45797</v>
      </c>
      <c r="B887" s="7">
        <v>3.767</v>
      </c>
      <c r="C887" s="7">
        <v>3.445</v>
      </c>
      <c r="D887" s="7">
        <v>3.795</v>
      </c>
      <c r="E887" s="7">
        <v>3.444</v>
      </c>
      <c r="F887" s="7" t="s">
        <v>2431</v>
      </c>
      <c r="G887" s="8">
        <v>0.0913</v>
      </c>
    </row>
    <row r="888" spans="1:7">
      <c r="A888" s="6">
        <v>45798</v>
      </c>
      <c r="B888" s="7">
        <v>3.737</v>
      </c>
      <c r="C888" s="7">
        <v>3.759</v>
      </c>
      <c r="D888" s="7">
        <v>3.84</v>
      </c>
      <c r="E888" s="7">
        <v>3.678</v>
      </c>
      <c r="F888" s="7" t="s">
        <v>2432</v>
      </c>
      <c r="G888" s="8">
        <v>-0.008</v>
      </c>
    </row>
    <row r="889" spans="1:7">
      <c r="A889" s="6">
        <v>45799</v>
      </c>
      <c r="B889" s="7">
        <v>3.253</v>
      </c>
      <c r="C889" s="7">
        <v>3.356</v>
      </c>
      <c r="D889" s="7">
        <v>3.381</v>
      </c>
      <c r="E889" s="7">
        <v>3.238</v>
      </c>
      <c r="F889" s="7" t="s">
        <v>2433</v>
      </c>
      <c r="G889" s="8">
        <v>-0.1295</v>
      </c>
    </row>
    <row r="890" spans="1:7">
      <c r="A890" s="6">
        <v>45800</v>
      </c>
      <c r="B890" s="7">
        <v>3.334</v>
      </c>
      <c r="C890" s="7">
        <v>3.283</v>
      </c>
      <c r="D890" s="7">
        <v>3.35</v>
      </c>
      <c r="E890" s="7">
        <v>3.217</v>
      </c>
      <c r="F890" s="7" t="s">
        <v>2434</v>
      </c>
      <c r="G890" s="8">
        <v>0.0249</v>
      </c>
    </row>
    <row r="891" spans="1:7">
      <c r="A891" s="6">
        <v>45802</v>
      </c>
      <c r="B891" s="7">
        <v>3.752</v>
      </c>
      <c r="C891" s="7">
        <v>3.786</v>
      </c>
      <c r="D891" s="7">
        <v>3.803</v>
      </c>
      <c r="E891" s="7">
        <v>3.745</v>
      </c>
      <c r="G891" s="8">
        <v>0.1254</v>
      </c>
    </row>
    <row r="892" spans="1:7">
      <c r="A892" s="6">
        <v>45803</v>
      </c>
      <c r="B892" s="7">
        <v>3.667</v>
      </c>
      <c r="C892" s="7">
        <v>3.672</v>
      </c>
      <c r="D892" s="7">
        <v>3.758</v>
      </c>
      <c r="E892" s="7">
        <v>3.643</v>
      </c>
      <c r="F892" s="7" t="s">
        <v>2435</v>
      </c>
      <c r="G892" s="8">
        <v>-0.0227</v>
      </c>
    </row>
    <row r="893" spans="1:7">
      <c r="A893" s="6">
        <v>45804</v>
      </c>
      <c r="B893" s="7">
        <v>3.398</v>
      </c>
      <c r="C893" s="7">
        <v>3.376</v>
      </c>
      <c r="D893" s="7">
        <v>3.445</v>
      </c>
      <c r="E893" s="7">
        <v>3.214</v>
      </c>
      <c r="F893" s="7" t="s">
        <v>2436</v>
      </c>
      <c r="G893" s="8">
        <v>-0.0734</v>
      </c>
    </row>
    <row r="894" spans="1:7">
      <c r="A894" s="6">
        <v>45805</v>
      </c>
      <c r="B894" s="7">
        <v>3.204</v>
      </c>
      <c r="C894" s="7">
        <v>3.405</v>
      </c>
      <c r="D894" s="7">
        <v>3.511</v>
      </c>
      <c r="E894" s="7">
        <v>3.152</v>
      </c>
      <c r="F894" s="7" t="s">
        <v>971</v>
      </c>
      <c r="G894" s="8">
        <v>-0.0571</v>
      </c>
    </row>
    <row r="895" spans="1:7">
      <c r="A895" s="6">
        <v>45806</v>
      </c>
      <c r="B895" s="7">
        <v>3.522</v>
      </c>
      <c r="C895" s="7">
        <v>3.535</v>
      </c>
      <c r="D895" s="7">
        <v>3.576</v>
      </c>
      <c r="E895" s="7">
        <v>3.437</v>
      </c>
      <c r="F895" s="7" t="s">
        <v>1462</v>
      </c>
      <c r="G895" s="8">
        <v>0.0993</v>
      </c>
    </row>
    <row r="896" spans="1:7">
      <c r="A896" s="6">
        <v>45807</v>
      </c>
      <c r="B896" s="7">
        <v>3.447</v>
      </c>
      <c r="C896" s="7">
        <v>3.535</v>
      </c>
      <c r="D896" s="7">
        <v>3.564</v>
      </c>
      <c r="E896" s="7">
        <v>3.44</v>
      </c>
      <c r="F896" s="7" t="s">
        <v>2437</v>
      </c>
      <c r="G896" s="8">
        <v>-0.0213</v>
      </c>
    </row>
    <row r="897" spans="1:7">
      <c r="A897" s="6">
        <v>45810</v>
      </c>
      <c r="B897" s="7">
        <v>3.694</v>
      </c>
      <c r="C897" s="7">
        <v>3.501</v>
      </c>
      <c r="D897" s="7">
        <v>3.75</v>
      </c>
      <c r="E897" s="7">
        <v>3.501</v>
      </c>
      <c r="F897" s="7" t="s">
        <v>2438</v>
      </c>
      <c r="G897" s="8">
        <v>0.0717</v>
      </c>
    </row>
    <row r="898" spans="1:7">
      <c r="A898" s="6">
        <v>45811</v>
      </c>
      <c r="B898" s="7">
        <v>3.722</v>
      </c>
      <c r="C898" s="7">
        <v>3.748</v>
      </c>
      <c r="D898" s="7">
        <v>3.764</v>
      </c>
      <c r="E898" s="7">
        <v>3.63</v>
      </c>
      <c r="F898" s="7" t="s">
        <v>2439</v>
      </c>
      <c r="G898" s="8">
        <v>0.0076</v>
      </c>
    </row>
    <row r="899" spans="1:7">
      <c r="A899" s="6">
        <v>45812</v>
      </c>
      <c r="B899" s="7">
        <v>3.716</v>
      </c>
      <c r="C899" s="7">
        <v>3.729</v>
      </c>
      <c r="D899" s="7">
        <v>3.74</v>
      </c>
      <c r="E899" s="7">
        <v>3.661</v>
      </c>
      <c r="F899" s="7" t="s">
        <v>2440</v>
      </c>
      <c r="G899" s="8">
        <v>-0.0016</v>
      </c>
    </row>
    <row r="900" spans="1:7">
      <c r="A900" s="6">
        <v>45813</v>
      </c>
      <c r="B900" s="7">
        <v>3.677</v>
      </c>
      <c r="C900" s="7">
        <v>3.703</v>
      </c>
      <c r="D900" s="7">
        <v>3.791</v>
      </c>
      <c r="E900" s="7">
        <v>3.62</v>
      </c>
      <c r="F900" s="7" t="s">
        <v>2441</v>
      </c>
      <c r="G900" s="8">
        <v>-0.0105</v>
      </c>
    </row>
    <row r="901" spans="1:7">
      <c r="A901" s="6">
        <v>45814</v>
      </c>
      <c r="B901" s="7">
        <v>3.784</v>
      </c>
      <c r="C901" s="7">
        <v>3.653</v>
      </c>
      <c r="D901" s="7">
        <v>3.817</v>
      </c>
      <c r="E901" s="7">
        <v>3.649</v>
      </c>
      <c r="F901" s="7" t="s">
        <v>2442</v>
      </c>
      <c r="G901" s="8">
        <v>0.0291</v>
      </c>
    </row>
    <row r="902" spans="1:7">
      <c r="A902" s="6">
        <v>45817</v>
      </c>
      <c r="B902" s="7">
        <v>3.635</v>
      </c>
      <c r="C902" s="7">
        <v>3.719</v>
      </c>
      <c r="D902" s="7">
        <v>3.769</v>
      </c>
      <c r="E902" s="7">
        <v>3.581</v>
      </c>
      <c r="F902" s="7" t="s">
        <v>2443</v>
      </c>
      <c r="G902" s="8">
        <v>-0.0394</v>
      </c>
    </row>
    <row r="903" spans="1:7">
      <c r="A903" s="6">
        <v>45818</v>
      </c>
      <c r="B903" s="7">
        <v>3.533</v>
      </c>
      <c r="C903" s="7">
        <v>3.612</v>
      </c>
      <c r="D903" s="7">
        <v>3.662</v>
      </c>
      <c r="E903" s="7">
        <v>3.515</v>
      </c>
      <c r="F903" s="7" t="s">
        <v>2444</v>
      </c>
      <c r="G903" s="8">
        <v>-0.0281</v>
      </c>
    </row>
    <row r="904" spans="1:7">
      <c r="A904" s="6">
        <v>45819</v>
      </c>
      <c r="B904" s="7">
        <v>3.507</v>
      </c>
      <c r="C904" s="7">
        <v>3.526</v>
      </c>
      <c r="D904" s="7">
        <v>3.626</v>
      </c>
      <c r="E904" s="7">
        <v>3.453</v>
      </c>
      <c r="F904" s="7" t="s">
        <v>742</v>
      </c>
      <c r="G904" s="8">
        <v>-0.0074</v>
      </c>
    </row>
    <row r="905" spans="1:7">
      <c r="A905" s="6">
        <v>45820</v>
      </c>
      <c r="B905" s="7">
        <v>3.492</v>
      </c>
      <c r="C905" s="7">
        <v>3.519</v>
      </c>
      <c r="D905" s="7">
        <v>3.644</v>
      </c>
      <c r="E905" s="7">
        <v>3.466</v>
      </c>
      <c r="F905" s="7" t="s">
        <v>2445</v>
      </c>
      <c r="G905" s="8">
        <v>-0.0043</v>
      </c>
    </row>
    <row r="906" spans="1:7">
      <c r="A906" s="6">
        <v>45821</v>
      </c>
      <c r="B906" s="7">
        <v>3.581</v>
      </c>
      <c r="C906" s="7">
        <v>3.541</v>
      </c>
      <c r="D906" s="7">
        <v>3.623</v>
      </c>
      <c r="E906" s="7">
        <v>3.499</v>
      </c>
      <c r="F906" s="7" t="s">
        <v>2446</v>
      </c>
      <c r="G906" s="8">
        <v>0.0255</v>
      </c>
    </row>
    <row r="907" spans="1:7">
      <c r="A907" s="6">
        <v>45824</v>
      </c>
      <c r="B907" s="7">
        <v>3.844</v>
      </c>
      <c r="C907" s="7">
        <v>3.773</v>
      </c>
      <c r="D907" s="7">
        <v>3.855</v>
      </c>
      <c r="E907" s="7">
        <v>3.732</v>
      </c>
      <c r="F907" s="7" t="s">
        <v>2447</v>
      </c>
      <c r="G907" s="8">
        <v>0.0734</v>
      </c>
    </row>
    <row r="908" spans="1:7">
      <c r="A908" s="6">
        <v>45825</v>
      </c>
      <c r="B908" s="7">
        <v>3.949</v>
      </c>
      <c r="C908" s="7">
        <v>3.836</v>
      </c>
      <c r="D908" s="7">
        <v>3.975</v>
      </c>
      <c r="E908" s="7">
        <v>3.818</v>
      </c>
      <c r="F908" s="7" t="s">
        <v>2448</v>
      </c>
      <c r="G908" s="8">
        <v>0.0273</v>
      </c>
    </row>
    <row r="909" spans="1:7">
      <c r="A909" s="6">
        <v>45826</v>
      </c>
      <c r="B909" s="7">
        <v>4.077</v>
      </c>
      <c r="C909" s="7">
        <v>3.963</v>
      </c>
      <c r="D909" s="7">
        <v>4.092</v>
      </c>
      <c r="E909" s="7">
        <v>3.918</v>
      </c>
      <c r="F909" s="7" t="s">
        <v>1430</v>
      </c>
      <c r="G909" s="8">
        <v>0.0324</v>
      </c>
    </row>
    <row r="910" spans="1:7">
      <c r="A910" s="6">
        <v>45827</v>
      </c>
      <c r="B910" s="7">
        <v>4.086</v>
      </c>
      <c r="C910" s="7">
        <v>4.083</v>
      </c>
      <c r="D910" s="7">
        <v>4.102</v>
      </c>
      <c r="E910" s="7">
        <v>3.966</v>
      </c>
      <c r="F910" s="7" t="s">
        <v>2449</v>
      </c>
      <c r="G910" s="8">
        <v>0.0022</v>
      </c>
    </row>
    <row r="911" spans="1:7">
      <c r="A911" s="6">
        <v>45828</v>
      </c>
      <c r="B911" s="7">
        <v>3.949</v>
      </c>
      <c r="C911" s="7">
        <v>4.077</v>
      </c>
      <c r="D911" s="7">
        <v>4.23</v>
      </c>
      <c r="E911" s="7">
        <v>3.918</v>
      </c>
      <c r="F911" s="7" t="s">
        <v>2450</v>
      </c>
      <c r="G911" s="8">
        <v>-0.0335</v>
      </c>
    </row>
    <row r="912" spans="1:7">
      <c r="A912" s="6">
        <v>45831</v>
      </c>
      <c r="B912" s="7">
        <v>3.698</v>
      </c>
      <c r="C912" s="7">
        <v>3.949</v>
      </c>
      <c r="D912" s="7">
        <v>3.949</v>
      </c>
      <c r="E912" s="7">
        <v>3.666</v>
      </c>
      <c r="F912" s="7" t="s">
        <v>2451</v>
      </c>
      <c r="G912" s="8">
        <v>-0.0636</v>
      </c>
    </row>
    <row r="913" spans="1:7">
      <c r="A913" s="6">
        <v>45832</v>
      </c>
      <c r="B913" s="7">
        <v>3.537</v>
      </c>
      <c r="C913" s="7">
        <v>3.681</v>
      </c>
      <c r="D913" s="7">
        <v>3.684</v>
      </c>
      <c r="E913" s="7">
        <v>3.53</v>
      </c>
      <c r="F913" s="7" t="s">
        <v>2452</v>
      </c>
      <c r="G913" s="8">
        <v>-0.0435</v>
      </c>
    </row>
    <row r="914" spans="1:7">
      <c r="A914" s="6">
        <v>45833</v>
      </c>
      <c r="B914" s="7">
        <v>3.406</v>
      </c>
      <c r="C914" s="7">
        <v>3.549</v>
      </c>
      <c r="D914" s="7">
        <v>3.587</v>
      </c>
      <c r="E914" s="7">
        <v>3.372</v>
      </c>
      <c r="F914" s="7" t="s">
        <v>2453</v>
      </c>
      <c r="G914" s="8">
        <v>-0.037</v>
      </c>
    </row>
    <row r="915" spans="1:7">
      <c r="A915" s="6">
        <v>45834</v>
      </c>
      <c r="B915" s="7">
        <v>3.261</v>
      </c>
      <c r="C915" s="7">
        <v>3.394</v>
      </c>
      <c r="D915" s="7">
        <v>3.425</v>
      </c>
      <c r="E915" s="7">
        <v>3.199</v>
      </c>
      <c r="F915" s="7" t="s">
        <v>2454</v>
      </c>
      <c r="G915" s="8">
        <v>-0.0426</v>
      </c>
    </row>
    <row r="916" spans="1:7">
      <c r="A916" s="6">
        <v>45835</v>
      </c>
      <c r="B916" s="7">
        <v>3.739</v>
      </c>
      <c r="C916" s="7">
        <v>3.53</v>
      </c>
      <c r="D916" s="7">
        <v>3.751</v>
      </c>
      <c r="E916" s="7">
        <v>3.513</v>
      </c>
      <c r="F916" s="7" t="s">
        <v>2455</v>
      </c>
      <c r="G916" s="8">
        <v>0.1466</v>
      </c>
    </row>
    <row r="917" spans="1:7">
      <c r="A917" s="6">
        <v>45838</v>
      </c>
      <c r="B917" s="7">
        <v>3.456</v>
      </c>
      <c r="C917" s="7">
        <v>3.735</v>
      </c>
      <c r="D917" s="7">
        <v>3.738</v>
      </c>
      <c r="E917" s="7">
        <v>3.421</v>
      </c>
      <c r="F917" s="7" t="s">
        <v>2456</v>
      </c>
      <c r="G917" s="8">
        <v>-0.0757</v>
      </c>
    </row>
    <row r="918" spans="1:7">
      <c r="A918" s="6">
        <v>45839</v>
      </c>
      <c r="B918" s="7">
        <v>3.415</v>
      </c>
      <c r="C918" s="7">
        <v>3.453</v>
      </c>
      <c r="D918" s="7">
        <v>3.468</v>
      </c>
      <c r="E918" s="7">
        <v>3.293</v>
      </c>
      <c r="F918" s="7" t="s">
        <v>2457</v>
      </c>
      <c r="G918" s="8">
        <v>-0.0119</v>
      </c>
    </row>
    <row r="919" spans="1:7">
      <c r="A919" s="6">
        <v>45840</v>
      </c>
      <c r="B919" s="7">
        <v>3.488</v>
      </c>
      <c r="C919" s="7">
        <v>3.417</v>
      </c>
      <c r="D919" s="7">
        <v>3.52</v>
      </c>
      <c r="E919" s="7">
        <v>3.366</v>
      </c>
      <c r="F919" s="7" t="s">
        <v>2458</v>
      </c>
      <c r="G919" s="8">
        <v>0.0214</v>
      </c>
    </row>
    <row r="920" spans="1:7">
      <c r="A920" s="6">
        <v>45841</v>
      </c>
      <c r="B920" s="7">
        <v>3.409</v>
      </c>
      <c r="C920" s="7">
        <v>3.5</v>
      </c>
      <c r="D920" s="7">
        <v>3.574</v>
      </c>
      <c r="E920" s="7">
        <v>3.392</v>
      </c>
      <c r="F920" s="7" t="s">
        <v>2459</v>
      </c>
      <c r="G920" s="8">
        <v>-0.0226</v>
      </c>
    </row>
    <row r="921" spans="1:7">
      <c r="A921" s="6">
        <v>45842</v>
      </c>
      <c r="B921" s="7">
        <v>3.39</v>
      </c>
      <c r="C921" s="7">
        <v>3.418</v>
      </c>
      <c r="D921" s="7">
        <v>3.434</v>
      </c>
      <c r="E921" s="7">
        <v>3.368</v>
      </c>
      <c r="F921" s="7" t="s">
        <v>2460</v>
      </c>
      <c r="G921" s="8">
        <v>-0.0056</v>
      </c>
    </row>
    <row r="922" spans="1:7">
      <c r="A922" s="6">
        <v>45845</v>
      </c>
      <c r="B922" s="7">
        <v>3.412</v>
      </c>
      <c r="C922" s="7">
        <v>3.344</v>
      </c>
      <c r="D922" s="7">
        <v>3.472</v>
      </c>
      <c r="E922" s="7">
        <v>3.275</v>
      </c>
      <c r="F922" s="7" t="s">
        <v>2461</v>
      </c>
      <c r="G922" s="8">
        <v>0.0065</v>
      </c>
    </row>
    <row r="923" spans="1:7">
      <c r="A923" s="6">
        <v>45846</v>
      </c>
      <c r="B923" s="7">
        <v>3.34</v>
      </c>
      <c r="C923" s="7">
        <v>3.406</v>
      </c>
      <c r="D923" s="7">
        <v>3.469</v>
      </c>
      <c r="E923" s="7">
        <v>3.325</v>
      </c>
      <c r="F923" s="7" t="s">
        <v>2462</v>
      </c>
      <c r="G923" s="8">
        <v>-0.0211</v>
      </c>
    </row>
    <row r="924" spans="1:7">
      <c r="A924" s="6">
        <v>45847</v>
      </c>
      <c r="B924" s="7">
        <v>3.214</v>
      </c>
      <c r="C924" s="7">
        <v>3.348</v>
      </c>
      <c r="D924" s="7">
        <v>3.359</v>
      </c>
      <c r="E924" s="7">
        <v>3.149</v>
      </c>
      <c r="F924" s="7" t="s">
        <v>2463</v>
      </c>
      <c r="G924" s="8">
        <v>-0.0377</v>
      </c>
    </row>
    <row r="925" spans="1:7">
      <c r="A925" s="6">
        <v>45848</v>
      </c>
      <c r="B925" s="7">
        <v>3.337</v>
      </c>
      <c r="C925" s="7">
        <v>3.208</v>
      </c>
      <c r="D925" s="7">
        <v>3.398</v>
      </c>
      <c r="E925" s="7">
        <v>3.191</v>
      </c>
      <c r="F925" s="7" t="s">
        <v>2464</v>
      </c>
      <c r="G925" s="8">
        <v>0.0383</v>
      </c>
    </row>
    <row r="926" spans="1:7">
      <c r="A926" s="6">
        <v>45849</v>
      </c>
      <c r="B926" s="7">
        <v>3.314</v>
      </c>
      <c r="C926" s="7">
        <v>3.365</v>
      </c>
      <c r="D926" s="7">
        <v>3.418</v>
      </c>
      <c r="E926" s="7">
        <v>3.293</v>
      </c>
      <c r="F926" s="7" t="s">
        <v>2465</v>
      </c>
      <c r="G926" s="8">
        <v>-0.0069</v>
      </c>
    </row>
    <row r="927" spans="1:7">
      <c r="A927" s="6">
        <v>45852</v>
      </c>
      <c r="B927" s="7">
        <v>3.466</v>
      </c>
      <c r="C927" s="7">
        <v>3.404</v>
      </c>
      <c r="D927" s="7">
        <v>3.499</v>
      </c>
      <c r="E927" s="7">
        <v>3.383</v>
      </c>
      <c r="F927" s="7" t="s">
        <v>2466</v>
      </c>
      <c r="G927" s="8">
        <v>0.0459</v>
      </c>
    </row>
    <row r="928" spans="1:7">
      <c r="A928" s="6">
        <v>45853</v>
      </c>
      <c r="B928" s="7">
        <v>3.523</v>
      </c>
      <c r="C928" s="7">
        <v>3.447</v>
      </c>
      <c r="D928" s="7">
        <v>3.542</v>
      </c>
      <c r="E928" s="7">
        <v>3.401</v>
      </c>
      <c r="F928" s="7" t="s">
        <v>2467</v>
      </c>
      <c r="G928" s="8">
        <v>0.0164</v>
      </c>
    </row>
    <row r="929" spans="1:7">
      <c r="A929" s="6">
        <v>45854</v>
      </c>
      <c r="B929" s="7">
        <v>3.551</v>
      </c>
      <c r="C929" s="7">
        <v>3.519</v>
      </c>
      <c r="D929" s="7">
        <v>3.598</v>
      </c>
      <c r="E929" s="7">
        <v>3.491</v>
      </c>
      <c r="F929" s="7" t="s">
        <v>2468</v>
      </c>
      <c r="G929" s="8">
        <v>0.0079</v>
      </c>
    </row>
    <row r="930" spans="1:7">
      <c r="A930" s="6">
        <v>45855</v>
      </c>
      <c r="B930" s="7">
        <v>3.542</v>
      </c>
      <c r="C930" s="7">
        <v>3.557</v>
      </c>
      <c r="D930" s="7">
        <v>3.629</v>
      </c>
      <c r="E930" s="7">
        <v>3.511</v>
      </c>
      <c r="F930" s="7" t="s">
        <v>2469</v>
      </c>
      <c r="G930" s="8">
        <v>-0.0025</v>
      </c>
    </row>
    <row r="931" spans="1:7">
      <c r="A931" s="6">
        <v>45856</v>
      </c>
      <c r="B931" s="7">
        <v>3.565</v>
      </c>
      <c r="C931" s="7">
        <v>3.519</v>
      </c>
      <c r="D931" s="7">
        <v>3.628</v>
      </c>
      <c r="E931" s="7">
        <v>3.494</v>
      </c>
      <c r="F931" s="7" t="s">
        <v>2470</v>
      </c>
      <c r="G931" s="8">
        <v>0.0065</v>
      </c>
    </row>
    <row r="932" spans="1:7">
      <c r="A932" s="6">
        <v>45859</v>
      </c>
      <c r="B932" s="7">
        <v>3.356</v>
      </c>
      <c r="C932" s="7">
        <v>3.506</v>
      </c>
      <c r="D932" s="7">
        <v>3.512</v>
      </c>
      <c r="E932" s="7">
        <v>3.319</v>
      </c>
      <c r="F932" s="7" t="s">
        <v>2471</v>
      </c>
      <c r="G932" s="8">
        <v>-0.0586</v>
      </c>
    </row>
    <row r="933" spans="1:7">
      <c r="A933" s="6">
        <v>45860</v>
      </c>
      <c r="B933" s="7">
        <v>3.287</v>
      </c>
      <c r="C933" s="7">
        <v>3.342</v>
      </c>
      <c r="D933" s="7">
        <v>3.36</v>
      </c>
      <c r="E933" s="7">
        <v>3.247</v>
      </c>
      <c r="F933" s="7" t="s">
        <v>2472</v>
      </c>
      <c r="G933" s="8">
        <v>-0.0206</v>
      </c>
    </row>
    <row r="934" spans="1:7">
      <c r="A934" s="6">
        <v>45861</v>
      </c>
      <c r="B934" s="7">
        <v>3.077</v>
      </c>
      <c r="C934" s="7">
        <v>3.253</v>
      </c>
      <c r="D934" s="7">
        <v>3.267</v>
      </c>
      <c r="E934" s="7">
        <v>3.061</v>
      </c>
      <c r="F934" s="7" t="s">
        <v>2473</v>
      </c>
      <c r="G934" s="8">
        <v>-0.0639</v>
      </c>
    </row>
    <row r="935" spans="1:7">
      <c r="A935" s="6">
        <v>45862</v>
      </c>
      <c r="B935" s="7">
        <v>3.094</v>
      </c>
      <c r="C935" s="7">
        <v>3.07</v>
      </c>
      <c r="D935" s="7">
        <v>3.166</v>
      </c>
      <c r="E935" s="7">
        <v>3.065</v>
      </c>
      <c r="F935" s="7" t="s">
        <v>2474</v>
      </c>
      <c r="G935" s="8">
        <v>0.0055</v>
      </c>
    </row>
    <row r="936" spans="1:7">
      <c r="A936" s="6">
        <v>45863</v>
      </c>
      <c r="B936" s="7">
        <v>3.11</v>
      </c>
      <c r="C936" s="7">
        <v>3.11</v>
      </c>
      <c r="D936" s="7">
        <v>3.145</v>
      </c>
      <c r="E936" s="7">
        <v>3.068</v>
      </c>
      <c r="F936" s="7" t="s">
        <v>2475</v>
      </c>
      <c r="G936" s="8">
        <v>0.0052</v>
      </c>
    </row>
    <row r="937" spans="1:7">
      <c r="A937" s="6">
        <v>45866</v>
      </c>
      <c r="B937" s="7">
        <v>2.988</v>
      </c>
      <c r="C937" s="7">
        <v>3.093</v>
      </c>
      <c r="D937" s="7">
        <v>3.14</v>
      </c>
      <c r="E937" s="7">
        <v>2.984</v>
      </c>
      <c r="F937" s="7" t="s">
        <v>2476</v>
      </c>
      <c r="G937" s="8">
        <v>-0.0392</v>
      </c>
    </row>
    <row r="938" spans="1:7">
      <c r="A938" s="6">
        <v>45867</v>
      </c>
      <c r="B938" s="7">
        <v>3.081</v>
      </c>
      <c r="C938" s="7">
        <v>3.034</v>
      </c>
      <c r="D938" s="7">
        <v>3.112</v>
      </c>
      <c r="E938" s="7">
        <v>3.011</v>
      </c>
      <c r="F938" s="7" t="s">
        <v>2477</v>
      </c>
      <c r="G938" s="8">
        <v>0.0311</v>
      </c>
    </row>
    <row r="939" spans="1:7">
      <c r="A939" s="6">
        <v>45868</v>
      </c>
      <c r="B939" s="7">
        <v>3.045</v>
      </c>
      <c r="C939" s="7">
        <v>3.164</v>
      </c>
      <c r="D939" s="7">
        <v>3.186</v>
      </c>
      <c r="E939" s="7">
        <v>3.014</v>
      </c>
      <c r="F939" s="7" t="s">
        <v>2478</v>
      </c>
      <c r="G939" s="8">
        <v>-0.0117</v>
      </c>
    </row>
    <row r="940" spans="1:7">
      <c r="A940" s="6">
        <v>45869</v>
      </c>
      <c r="B940" s="7">
        <v>3.106</v>
      </c>
      <c r="C940" s="7">
        <v>3.026</v>
      </c>
      <c r="D940" s="7">
        <v>3.114</v>
      </c>
      <c r="E940" s="7">
        <v>2.972</v>
      </c>
      <c r="F940" s="7" t="s">
        <v>2479</v>
      </c>
      <c r="G940" s="8">
        <v>0.02</v>
      </c>
    </row>
    <row r="941" spans="1:7">
      <c r="A941" s="6">
        <v>45870</v>
      </c>
      <c r="B941" s="7">
        <v>3.083</v>
      </c>
      <c r="C941" s="7">
        <v>3.1</v>
      </c>
      <c r="D941" s="7">
        <v>3.131</v>
      </c>
      <c r="E941" s="7">
        <v>3.051</v>
      </c>
      <c r="F941" s="7" t="s">
        <v>2480</v>
      </c>
      <c r="G941" s="8">
        <v>-0.0074</v>
      </c>
    </row>
    <row r="942" spans="1:7">
      <c r="A942" s="6">
        <v>45873</v>
      </c>
      <c r="B942" s="7">
        <v>2.932</v>
      </c>
      <c r="C942" s="7">
        <v>3.065</v>
      </c>
      <c r="D942" s="7">
        <v>3.078</v>
      </c>
      <c r="E942" s="7">
        <v>2.895</v>
      </c>
      <c r="F942" s="7" t="s">
        <v>2481</v>
      </c>
      <c r="G942" s="8">
        <v>-0.049</v>
      </c>
    </row>
    <row r="943" spans="1:7">
      <c r="A943" s="6">
        <v>45874</v>
      </c>
      <c r="B943" s="7">
        <v>3.01</v>
      </c>
      <c r="C943" s="7">
        <v>2.946</v>
      </c>
      <c r="D943" s="7">
        <v>3.041</v>
      </c>
      <c r="E943" s="7">
        <v>2.929</v>
      </c>
      <c r="F943" s="7" t="s">
        <v>2482</v>
      </c>
      <c r="G943" s="8">
        <v>0.0266</v>
      </c>
    </row>
    <row r="944" spans="1:7">
      <c r="A944" s="6">
        <v>45875</v>
      </c>
      <c r="B944" s="7">
        <v>3.077</v>
      </c>
      <c r="C944" s="7">
        <v>3.015</v>
      </c>
      <c r="D944" s="7">
        <v>3.096</v>
      </c>
      <c r="E944" s="7">
        <v>2.945</v>
      </c>
      <c r="F944" s="7" t="s">
        <v>562</v>
      </c>
      <c r="G944" s="8">
        <v>0.0223</v>
      </c>
    </row>
    <row r="945" spans="1:7">
      <c r="A945" s="6">
        <v>45876</v>
      </c>
      <c r="B945" s="7">
        <v>3.067</v>
      </c>
      <c r="C945" s="7">
        <v>3.099</v>
      </c>
      <c r="D945" s="7">
        <v>3.148</v>
      </c>
      <c r="E945" s="7">
        <v>3.035</v>
      </c>
      <c r="F945" s="7" t="s">
        <v>2483</v>
      </c>
      <c r="G945" s="8">
        <v>-0.0032</v>
      </c>
    </row>
    <row r="946" spans="1:7">
      <c r="A946" s="6">
        <v>45877</v>
      </c>
      <c r="B946" s="7">
        <v>2.99</v>
      </c>
      <c r="C946" s="7">
        <v>3.086</v>
      </c>
      <c r="D946" s="7">
        <v>3.106</v>
      </c>
      <c r="E946" s="7">
        <v>2.96</v>
      </c>
      <c r="F946" s="7" t="s">
        <v>2484</v>
      </c>
      <c r="G946" s="8">
        <v>-0.0251</v>
      </c>
    </row>
    <row r="947" spans="1:7">
      <c r="A947" s="6">
        <v>45880</v>
      </c>
      <c r="B947" s="7">
        <v>2.954</v>
      </c>
      <c r="C947" s="7">
        <v>2.895</v>
      </c>
      <c r="D947" s="7">
        <v>3</v>
      </c>
      <c r="E947" s="7">
        <v>2.881</v>
      </c>
      <c r="F947" s="7" t="s">
        <v>1495</v>
      </c>
      <c r="G947" s="8">
        <v>-0.012</v>
      </c>
    </row>
    <row r="948" spans="1:7">
      <c r="A948" s="6">
        <v>45881</v>
      </c>
      <c r="B948" s="7">
        <v>2.808</v>
      </c>
      <c r="C948" s="7">
        <v>2.978</v>
      </c>
      <c r="D948" s="7">
        <v>2.985</v>
      </c>
      <c r="E948" s="7">
        <v>2.774</v>
      </c>
      <c r="F948" s="7" t="s">
        <v>2485</v>
      </c>
      <c r="G948" s="8">
        <v>-0.0494</v>
      </c>
    </row>
    <row r="949" spans="1:7">
      <c r="A949" s="6">
        <v>45882</v>
      </c>
      <c r="B949" s="7">
        <v>2.828</v>
      </c>
      <c r="C949" s="7">
        <v>2.784</v>
      </c>
      <c r="D949" s="7">
        <v>2.851</v>
      </c>
      <c r="E949" s="7">
        <v>2.764</v>
      </c>
      <c r="F949" s="7" t="s">
        <v>2486</v>
      </c>
      <c r="G949" s="8">
        <v>0.0071</v>
      </c>
    </row>
    <row r="950" spans="1:7">
      <c r="A950" s="6">
        <v>45883</v>
      </c>
      <c r="B950" s="7">
        <v>2.841</v>
      </c>
      <c r="C950" s="7">
        <v>2.818</v>
      </c>
      <c r="D950" s="7">
        <v>2.852</v>
      </c>
      <c r="E950" s="7">
        <v>2.774</v>
      </c>
      <c r="F950" s="7" t="s">
        <v>2487</v>
      </c>
      <c r="G950" s="8">
        <v>0.0046</v>
      </c>
    </row>
    <row r="951" spans="1:7">
      <c r="A951" s="6">
        <v>45884</v>
      </c>
      <c r="B951" s="7">
        <v>2.916</v>
      </c>
      <c r="C951" s="7">
        <v>2.85</v>
      </c>
      <c r="D951" s="7">
        <v>2.966</v>
      </c>
      <c r="E951" s="7">
        <v>2.836</v>
      </c>
      <c r="F951" s="7" t="s">
        <v>2488</v>
      </c>
      <c r="G951" s="8">
        <v>0.0264</v>
      </c>
    </row>
    <row r="952" spans="1:7">
      <c r="A952" s="6">
        <v>45887</v>
      </c>
      <c r="B952" s="7">
        <v>2.992</v>
      </c>
      <c r="C952" s="7">
        <v>2.985</v>
      </c>
      <c r="D952" s="7">
        <v>3.025</v>
      </c>
      <c r="E952" s="7">
        <v>2.911</v>
      </c>
      <c r="F952" s="7" t="s">
        <v>2489</v>
      </c>
      <c r="G952" s="8">
        <v>0.0261</v>
      </c>
    </row>
    <row r="953" spans="1:7">
      <c r="A953" s="6">
        <v>45888</v>
      </c>
      <c r="B953" s="7">
        <v>2.862</v>
      </c>
      <c r="C953" s="7">
        <v>3.009</v>
      </c>
      <c r="D953" s="7">
        <v>3.009</v>
      </c>
      <c r="E953" s="7">
        <v>2.827</v>
      </c>
      <c r="F953" s="7" t="s">
        <v>2490</v>
      </c>
      <c r="G953" s="8">
        <v>-0.0434</v>
      </c>
    </row>
    <row r="954" spans="1:7">
      <c r="A954" s="6">
        <v>45889</v>
      </c>
      <c r="B954" s="7">
        <v>2.842</v>
      </c>
      <c r="C954" s="7">
        <v>2.857</v>
      </c>
      <c r="D954" s="7">
        <v>2.869</v>
      </c>
      <c r="E954" s="7">
        <v>2.82</v>
      </c>
      <c r="F954" s="7" t="s">
        <v>2491</v>
      </c>
      <c r="G954" s="8">
        <v>-0.007</v>
      </c>
    </row>
    <row r="955" spans="1:7">
      <c r="A955" s="6">
        <v>45890</v>
      </c>
      <c r="B955" s="7">
        <v>2.826</v>
      </c>
      <c r="C955" s="7">
        <v>2.765</v>
      </c>
      <c r="D955" s="7">
        <v>2.849</v>
      </c>
      <c r="E955" s="7">
        <v>2.74</v>
      </c>
      <c r="F955" s="7" t="s">
        <v>2492</v>
      </c>
      <c r="G955" s="8">
        <v>-0.0056</v>
      </c>
    </row>
    <row r="956" spans="1:7">
      <c r="A956" s="6">
        <v>45891</v>
      </c>
      <c r="B956" s="7">
        <v>2.698</v>
      </c>
      <c r="C956" s="7">
        <v>2.813</v>
      </c>
      <c r="D956" s="7">
        <v>2.819</v>
      </c>
      <c r="E956" s="7">
        <v>2.689</v>
      </c>
      <c r="F956" s="7" t="s">
        <v>2493</v>
      </c>
      <c r="G956" s="8">
        <v>-0.0453</v>
      </c>
    </row>
    <row r="957" spans="1:7">
      <c r="A957" s="6">
        <v>45894</v>
      </c>
      <c r="B957" s="7">
        <v>2.696</v>
      </c>
      <c r="C957" s="7">
        <v>2.639</v>
      </c>
      <c r="D957" s="7">
        <v>2.717</v>
      </c>
      <c r="E957" s="7">
        <v>2.622</v>
      </c>
      <c r="F957" s="7" t="s">
        <v>2494</v>
      </c>
      <c r="G957" s="8">
        <v>-0.0007</v>
      </c>
    </row>
    <row r="958" spans="1:7">
      <c r="A958" s="6">
        <v>45895</v>
      </c>
      <c r="B958" s="7">
        <v>2.717</v>
      </c>
      <c r="C958" s="7">
        <v>2.711</v>
      </c>
      <c r="D958" s="7">
        <v>2.742</v>
      </c>
      <c r="E958" s="7">
        <v>2.654</v>
      </c>
      <c r="F958" s="7" t="s">
        <v>2495</v>
      </c>
      <c r="G958" s="8">
        <v>0.0078</v>
      </c>
    </row>
    <row r="959" spans="1:7">
      <c r="A959" s="6">
        <v>45896</v>
      </c>
      <c r="B959" s="7">
        <v>2.867</v>
      </c>
      <c r="C959" s="7">
        <v>2.738</v>
      </c>
      <c r="D959" s="7">
        <v>2.906</v>
      </c>
      <c r="E959" s="7">
        <v>2.676</v>
      </c>
      <c r="F959" s="7" t="s">
        <v>2496</v>
      </c>
      <c r="G959" s="8">
        <v>0.0552</v>
      </c>
    </row>
    <row r="960" spans="1:7">
      <c r="A960" s="6">
        <v>45897</v>
      </c>
      <c r="B960" s="7">
        <v>2.944</v>
      </c>
      <c r="C960" s="7">
        <v>2.874</v>
      </c>
      <c r="D960" s="7">
        <v>2.999</v>
      </c>
      <c r="E960" s="7">
        <v>2.85</v>
      </c>
      <c r="F960" s="7" t="s">
        <v>2497</v>
      </c>
      <c r="G960" s="8">
        <v>0.0269</v>
      </c>
    </row>
    <row r="961" spans="1:7">
      <c r="A961" s="6">
        <v>45898</v>
      </c>
      <c r="B961" s="7">
        <v>2.997</v>
      </c>
      <c r="C961" s="7">
        <v>2.985</v>
      </c>
      <c r="D961" s="7">
        <v>3.023</v>
      </c>
      <c r="E961" s="7">
        <v>2.921</v>
      </c>
      <c r="F961" s="7" t="s">
        <v>2498</v>
      </c>
      <c r="G961" s="8">
        <v>0.018</v>
      </c>
    </row>
    <row r="962" spans="1:7">
      <c r="A962" s="6">
        <v>45900</v>
      </c>
      <c r="B962" s="7">
        <v>3.004</v>
      </c>
      <c r="C962" s="7">
        <v>2.986</v>
      </c>
      <c r="D962" s="7">
        <v>3.005</v>
      </c>
      <c r="E962" s="7">
        <v>2.979</v>
      </c>
      <c r="G962" s="8">
        <v>0.0023</v>
      </c>
    </row>
    <row r="963" spans="1:7">
      <c r="A963" s="6">
        <v>45901</v>
      </c>
      <c r="B963" s="7">
        <v>2.982</v>
      </c>
      <c r="C963" s="7">
        <v>2.974</v>
      </c>
      <c r="D963" s="7">
        <v>3.065</v>
      </c>
      <c r="E963" s="7">
        <v>2.928</v>
      </c>
      <c r="F963" s="7" t="s">
        <v>2499</v>
      </c>
      <c r="G963" s="8">
        <v>-0.0073</v>
      </c>
    </row>
    <row r="964" spans="1:7">
      <c r="A964" s="6">
        <v>45902</v>
      </c>
      <c r="B964" s="7">
        <v>3.009</v>
      </c>
      <c r="C964" s="7">
        <v>2.972</v>
      </c>
      <c r="D964" s="7">
        <v>3.065</v>
      </c>
      <c r="E964" s="7">
        <v>2.869</v>
      </c>
      <c r="F964" s="7" t="s">
        <v>2500</v>
      </c>
      <c r="G964" s="8">
        <v>0.0091</v>
      </c>
    </row>
    <row r="965" spans="1:7">
      <c r="A965" s="6">
        <v>45903</v>
      </c>
      <c r="B965" s="7">
        <v>3.064</v>
      </c>
      <c r="C965" s="7">
        <v>2.992</v>
      </c>
      <c r="D965" s="7">
        <v>3.131</v>
      </c>
      <c r="E965" s="7">
        <v>2.964</v>
      </c>
      <c r="F965" s="7" t="s">
        <v>2501</v>
      </c>
      <c r="G965" s="8">
        <v>0.0183</v>
      </c>
    </row>
    <row r="966" spans="1:7">
      <c r="A966" s="6">
        <v>45904</v>
      </c>
      <c r="B966" s="7">
        <v>3.074</v>
      </c>
      <c r="C966" s="7">
        <v>3.075</v>
      </c>
      <c r="D966" s="7">
        <v>3.13</v>
      </c>
      <c r="E966" s="7">
        <v>3.022</v>
      </c>
      <c r="F966" s="7" t="s">
        <v>2502</v>
      </c>
      <c r="G966" s="8">
        <v>0.0033</v>
      </c>
    </row>
    <row r="967" spans="1:7">
      <c r="A967" s="6">
        <v>45905</v>
      </c>
      <c r="B967" s="7">
        <v>3.048</v>
      </c>
      <c r="C967" s="7">
        <v>3.078</v>
      </c>
      <c r="D967" s="7">
        <v>3.13</v>
      </c>
      <c r="E967" s="7">
        <v>3.021</v>
      </c>
      <c r="F967" s="7" t="s">
        <v>2503</v>
      </c>
      <c r="G967" s="8">
        <v>-0.0085</v>
      </c>
    </row>
    <row r="968" spans="1:7">
      <c r="A968" s="6">
        <v>45907</v>
      </c>
      <c r="B968" s="7">
        <v>3.071</v>
      </c>
      <c r="C968" s="7">
        <v>3.069</v>
      </c>
      <c r="D968" s="7">
        <v>3.077</v>
      </c>
      <c r="E968" s="7">
        <v>3.057</v>
      </c>
      <c r="F968" s="7" t="s">
        <v>2504</v>
      </c>
      <c r="G968" s="8">
        <v>0.0075</v>
      </c>
    </row>
    <row r="969" spans="1:7">
      <c r="A969" s="6">
        <v>45908</v>
      </c>
      <c r="B969" s="7">
        <v>3.09</v>
      </c>
      <c r="C969" s="7">
        <v>3.087</v>
      </c>
      <c r="D969" s="7">
        <v>3.198</v>
      </c>
      <c r="E969" s="7">
        <v>3.056</v>
      </c>
      <c r="F969" s="7" t="s">
        <v>2505</v>
      </c>
      <c r="G969" s="8">
        <v>0.0062</v>
      </c>
    </row>
    <row r="970" spans="1:7">
      <c r="A970" s="6">
        <v>45909</v>
      </c>
      <c r="B970" s="7">
        <v>3.117</v>
      </c>
      <c r="C970" s="7">
        <v>3.098</v>
      </c>
      <c r="D970" s="7">
        <v>3.165</v>
      </c>
      <c r="E970" s="7">
        <v>3.046</v>
      </c>
      <c r="F970" s="7" t="s">
        <v>2506</v>
      </c>
      <c r="G970" s="8">
        <v>0.0087</v>
      </c>
    </row>
    <row r="971" spans="1:7">
      <c r="A971" s="6">
        <v>45910</v>
      </c>
      <c r="B971" s="7">
        <v>3.029</v>
      </c>
      <c r="C971" s="7">
        <v>3.03</v>
      </c>
      <c r="D971" s="7">
        <v>3.117</v>
      </c>
      <c r="E971" s="7">
        <v>3.008</v>
      </c>
      <c r="F971" s="7" t="s">
        <v>1024</v>
      </c>
      <c r="G971" s="8">
        <v>-0.0282</v>
      </c>
    </row>
    <row r="972" spans="1:7">
      <c r="A972" s="6">
        <v>45911</v>
      </c>
      <c r="B972" s="7">
        <v>3.031</v>
      </c>
      <c r="C972" s="7">
        <v>3.027</v>
      </c>
      <c r="D972" s="7">
        <v>3.062</v>
      </c>
      <c r="E972" s="7">
        <v>2.984</v>
      </c>
      <c r="F972" s="7" t="s">
        <v>2507</v>
      </c>
      <c r="G972" s="8">
        <v>0.0007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3"/>
  <sheetViews>
    <sheetView workbookViewId="0">
      <pane ySplit="1" topLeftCell="A84" activePane="bottomLeft" state="frozen"/>
      <selection/>
      <selection pane="bottomLeft" activeCell="J11" sqref="J11"/>
    </sheetView>
  </sheetViews>
  <sheetFormatPr defaultColWidth="9" defaultRowHeight="12" customHeight="1" outlineLevelCol="3"/>
  <cols>
    <col min="1" max="1" width="8.5" style="1" customWidth="1"/>
    <col min="2" max="2" width="15" style="2" customWidth="1"/>
    <col min="3" max="3" width="25" style="3" customWidth="1"/>
    <col min="4" max="16384" width="9" style="2"/>
  </cols>
  <sheetData>
    <row r="1" customHeight="1" spans="1:3">
      <c r="A1" s="1" t="s">
        <v>13</v>
      </c>
      <c r="B1" s="2" t="s">
        <v>2508</v>
      </c>
      <c r="C1" s="3" t="s">
        <v>2509</v>
      </c>
    </row>
    <row r="2" customHeight="1" spans="1:3">
      <c r="A2" s="4">
        <v>45293</v>
      </c>
      <c r="B2" s="2">
        <v>266</v>
      </c>
      <c r="C2" s="3">
        <v>930</v>
      </c>
    </row>
    <row r="3" customHeight="1" spans="1:3">
      <c r="A3" s="4">
        <v>45294</v>
      </c>
      <c r="B3" s="2">
        <v>263</v>
      </c>
      <c r="C3" s="3">
        <v>930</v>
      </c>
    </row>
    <row r="4" ht="9.75" customHeight="1" spans="1:3">
      <c r="A4" s="4">
        <v>45295</v>
      </c>
      <c r="B4" s="2">
        <v>262</v>
      </c>
      <c r="C4" s="3">
        <v>920</v>
      </c>
    </row>
    <row r="5" customHeight="1" spans="1:3">
      <c r="A5" s="4">
        <v>45296</v>
      </c>
      <c r="B5" s="2">
        <v>262</v>
      </c>
      <c r="C5" s="3">
        <v>910</v>
      </c>
    </row>
    <row r="6" customHeight="1" spans="1:3">
      <c r="A6" s="4">
        <v>45299</v>
      </c>
      <c r="B6" s="2">
        <v>260</v>
      </c>
      <c r="C6" s="3">
        <v>900</v>
      </c>
    </row>
    <row r="7" customHeight="1" spans="1:3">
      <c r="A7" s="4">
        <v>45300</v>
      </c>
      <c r="B7" s="2">
        <v>265</v>
      </c>
      <c r="C7" s="3">
        <v>880</v>
      </c>
    </row>
    <row r="8" customHeight="1" spans="1:3">
      <c r="A8" s="4">
        <v>45301</v>
      </c>
      <c r="B8" s="2">
        <v>268</v>
      </c>
      <c r="C8" s="3">
        <v>860</v>
      </c>
    </row>
    <row r="9" customHeight="1" spans="1:3">
      <c r="A9" s="4">
        <v>45302</v>
      </c>
      <c r="B9" s="2">
        <v>266</v>
      </c>
      <c r="C9" s="3">
        <v>850</v>
      </c>
    </row>
    <row r="10" customHeight="1" spans="1:3">
      <c r="A10" s="4">
        <v>45303</v>
      </c>
      <c r="B10" s="2">
        <v>264</v>
      </c>
      <c r="C10" s="3">
        <v>845</v>
      </c>
    </row>
    <row r="11" customHeight="1" spans="1:3">
      <c r="A11" s="4">
        <v>45306</v>
      </c>
      <c r="B11" s="2">
        <v>263</v>
      </c>
      <c r="C11" s="3">
        <v>840</v>
      </c>
    </row>
    <row r="12" customHeight="1" spans="1:3">
      <c r="A12" s="4">
        <v>45307</v>
      </c>
      <c r="B12" s="2">
        <v>262</v>
      </c>
      <c r="C12" s="3">
        <v>830</v>
      </c>
    </row>
    <row r="13" customHeight="1" spans="1:3">
      <c r="A13" s="4">
        <v>45308</v>
      </c>
      <c r="B13" s="2">
        <v>265</v>
      </c>
      <c r="C13" s="3">
        <v>820</v>
      </c>
    </row>
    <row r="14" customHeight="1" spans="1:3">
      <c r="A14" s="4">
        <v>45309</v>
      </c>
      <c r="B14" s="2">
        <v>266</v>
      </c>
      <c r="C14" s="3">
        <v>820</v>
      </c>
    </row>
    <row r="15" customHeight="1" spans="1:3">
      <c r="A15" s="4">
        <v>45310</v>
      </c>
      <c r="B15" s="2">
        <v>265</v>
      </c>
      <c r="C15" s="3">
        <v>840</v>
      </c>
    </row>
    <row r="16" customHeight="1" spans="1:3">
      <c r="A16" s="4">
        <v>45313</v>
      </c>
      <c r="B16" s="2">
        <v>266</v>
      </c>
      <c r="C16" s="3">
        <v>840</v>
      </c>
    </row>
    <row r="17" customHeight="1" spans="1:3">
      <c r="A17" s="4">
        <v>45314</v>
      </c>
      <c r="B17" s="2">
        <v>264</v>
      </c>
      <c r="C17" s="3">
        <v>850</v>
      </c>
    </row>
    <row r="18" customHeight="1" spans="1:3">
      <c r="A18" s="4">
        <v>45315</v>
      </c>
      <c r="B18" s="2">
        <v>263</v>
      </c>
      <c r="C18" s="3">
        <v>850</v>
      </c>
    </row>
    <row r="19" customHeight="1" spans="1:3">
      <c r="A19" s="4">
        <v>45316</v>
      </c>
      <c r="B19" s="2">
        <v>263</v>
      </c>
      <c r="C19" s="3">
        <v>860</v>
      </c>
    </row>
    <row r="20" customHeight="1" spans="1:3">
      <c r="A20" s="4">
        <v>45317</v>
      </c>
      <c r="B20" s="2">
        <v>262</v>
      </c>
      <c r="C20" s="3">
        <v>860</v>
      </c>
    </row>
    <row r="21" customHeight="1" spans="1:3">
      <c r="A21" s="4">
        <v>45320</v>
      </c>
      <c r="B21" s="2">
        <v>258</v>
      </c>
      <c r="C21" s="3">
        <v>860</v>
      </c>
    </row>
    <row r="22" customHeight="1" spans="1:3">
      <c r="A22" s="4">
        <v>45321</v>
      </c>
      <c r="B22" s="2">
        <v>258</v>
      </c>
      <c r="C22" s="3">
        <v>880</v>
      </c>
    </row>
    <row r="23" customHeight="1" spans="1:3">
      <c r="A23" s="4">
        <v>45322</v>
      </c>
      <c r="B23" s="2">
        <v>259</v>
      </c>
      <c r="C23" s="3">
        <v>900</v>
      </c>
    </row>
    <row r="24" customHeight="1" spans="1:3">
      <c r="A24" s="4">
        <v>45323</v>
      </c>
      <c r="B24" s="2">
        <v>255</v>
      </c>
      <c r="C24" s="3">
        <v>900</v>
      </c>
    </row>
    <row r="25" customHeight="1" spans="1:3">
      <c r="A25" s="4">
        <v>45324</v>
      </c>
      <c r="B25" s="2">
        <v>254</v>
      </c>
      <c r="C25" s="3">
        <v>900</v>
      </c>
    </row>
    <row r="26" customHeight="1" spans="1:3">
      <c r="A26" s="4">
        <v>45326</v>
      </c>
      <c r="B26" s="2">
        <v>262</v>
      </c>
      <c r="C26" s="3">
        <v>900</v>
      </c>
    </row>
    <row r="27" customHeight="1" spans="1:3">
      <c r="A27" s="4">
        <v>45327</v>
      </c>
      <c r="B27" s="2">
        <v>266</v>
      </c>
      <c r="C27" s="3">
        <v>900</v>
      </c>
    </row>
    <row r="28" customHeight="1" spans="1:3">
      <c r="A28" s="4">
        <v>45328</v>
      </c>
      <c r="B28" s="2">
        <v>268</v>
      </c>
      <c r="C28" s="3">
        <v>900</v>
      </c>
    </row>
    <row r="29" customHeight="1" spans="1:3">
      <c r="A29" s="4">
        <v>45329</v>
      </c>
      <c r="B29" s="2">
        <v>267</v>
      </c>
      <c r="C29" s="3">
        <v>900</v>
      </c>
    </row>
    <row r="30" customHeight="1" spans="1:3">
      <c r="A30" s="4">
        <v>45330</v>
      </c>
      <c r="B30" s="2">
        <v>267</v>
      </c>
      <c r="C30" s="3">
        <v>900</v>
      </c>
    </row>
    <row r="31" customHeight="1" spans="1:3">
      <c r="A31" s="4">
        <v>45340</v>
      </c>
      <c r="B31" s="2">
        <v>266</v>
      </c>
      <c r="C31" s="3">
        <v>900</v>
      </c>
    </row>
    <row r="32" customHeight="1" spans="1:3">
      <c r="A32" s="4">
        <v>45341</v>
      </c>
      <c r="B32" s="2">
        <v>267</v>
      </c>
      <c r="C32" s="3">
        <v>900</v>
      </c>
    </row>
    <row r="33" customHeight="1" spans="1:3">
      <c r="A33" s="4">
        <v>45342</v>
      </c>
      <c r="B33" s="2">
        <v>283</v>
      </c>
      <c r="C33" s="3">
        <v>920</v>
      </c>
    </row>
    <row r="34" customHeight="1" spans="1:3">
      <c r="A34" s="4">
        <v>45343</v>
      </c>
      <c r="B34" s="2">
        <v>286</v>
      </c>
      <c r="C34" s="3">
        <v>920</v>
      </c>
    </row>
    <row r="35" customHeight="1" spans="1:3">
      <c r="A35" s="4">
        <v>45344</v>
      </c>
      <c r="B35" s="2">
        <v>286</v>
      </c>
      <c r="C35" s="3">
        <v>920</v>
      </c>
    </row>
    <row r="36" customHeight="1" spans="1:3">
      <c r="A36" s="4">
        <v>45345</v>
      </c>
      <c r="B36" s="2">
        <v>288</v>
      </c>
      <c r="C36" s="3">
        <v>910</v>
      </c>
    </row>
    <row r="37" customHeight="1" spans="1:3">
      <c r="A37" s="4">
        <v>45348</v>
      </c>
      <c r="B37" s="2">
        <v>292</v>
      </c>
      <c r="C37" s="3">
        <v>915</v>
      </c>
    </row>
    <row r="38" customHeight="1" spans="1:3">
      <c r="A38" s="4">
        <v>45349</v>
      </c>
      <c r="B38" s="2">
        <v>292</v>
      </c>
      <c r="C38" s="3">
        <v>920</v>
      </c>
    </row>
    <row r="39" customHeight="1" spans="1:3">
      <c r="A39" s="4">
        <v>45350</v>
      </c>
      <c r="B39" s="2">
        <v>293</v>
      </c>
      <c r="C39" s="3">
        <v>920</v>
      </c>
    </row>
    <row r="40" customHeight="1" spans="1:3">
      <c r="A40" s="4">
        <v>45351</v>
      </c>
      <c r="B40" s="2">
        <v>294</v>
      </c>
      <c r="C40" s="3">
        <v>905</v>
      </c>
    </row>
    <row r="41" customHeight="1" spans="1:3">
      <c r="A41" s="4">
        <v>45352</v>
      </c>
      <c r="B41" s="2">
        <v>291</v>
      </c>
      <c r="C41" s="3">
        <v>900</v>
      </c>
    </row>
    <row r="42" customHeight="1" spans="1:3">
      <c r="A42" s="4">
        <v>45355</v>
      </c>
      <c r="B42" s="2">
        <v>293</v>
      </c>
      <c r="C42" s="3">
        <v>910</v>
      </c>
    </row>
    <row r="43" customHeight="1" spans="1:3">
      <c r="A43" s="4">
        <v>45356</v>
      </c>
      <c r="B43" s="2">
        <v>295</v>
      </c>
      <c r="C43" s="3">
        <v>905</v>
      </c>
    </row>
    <row r="44" customHeight="1" spans="1:3">
      <c r="A44" s="4">
        <v>45357</v>
      </c>
      <c r="B44" s="2">
        <v>295</v>
      </c>
      <c r="C44" s="3">
        <v>900</v>
      </c>
    </row>
    <row r="45" customHeight="1" spans="1:3">
      <c r="A45" s="4">
        <v>45358</v>
      </c>
      <c r="B45" s="2">
        <v>298</v>
      </c>
      <c r="C45" s="3">
        <v>895</v>
      </c>
    </row>
    <row r="46" customHeight="1" spans="1:3">
      <c r="A46" s="4">
        <v>45359</v>
      </c>
      <c r="B46" s="2">
        <v>297</v>
      </c>
      <c r="C46" s="3">
        <v>900</v>
      </c>
    </row>
    <row r="47" customHeight="1" spans="1:3">
      <c r="A47" s="4">
        <v>45362</v>
      </c>
      <c r="B47" s="2">
        <v>295</v>
      </c>
      <c r="C47" s="3">
        <v>900</v>
      </c>
    </row>
    <row r="48" customHeight="1" spans="1:3">
      <c r="A48" s="4">
        <v>45363</v>
      </c>
      <c r="B48" s="2">
        <v>301</v>
      </c>
      <c r="C48" s="3">
        <v>910</v>
      </c>
    </row>
    <row r="49" customHeight="1" spans="1:3">
      <c r="A49" s="4">
        <v>45364</v>
      </c>
      <c r="B49" s="2">
        <v>300</v>
      </c>
      <c r="C49" s="3">
        <v>910</v>
      </c>
    </row>
    <row r="50" customHeight="1" spans="1:3">
      <c r="A50" s="4">
        <v>45365</v>
      </c>
      <c r="B50" s="2">
        <v>297</v>
      </c>
      <c r="C50" s="3">
        <v>910</v>
      </c>
    </row>
    <row r="51" customHeight="1" spans="1:3">
      <c r="A51" s="4">
        <v>45366</v>
      </c>
      <c r="B51" s="2">
        <v>294</v>
      </c>
      <c r="C51" s="3">
        <v>910</v>
      </c>
    </row>
    <row r="52" customHeight="1" spans="1:3">
      <c r="A52" s="4">
        <v>45369</v>
      </c>
      <c r="B52" s="2">
        <v>288</v>
      </c>
      <c r="C52" s="3">
        <v>915</v>
      </c>
    </row>
    <row r="53" customHeight="1" spans="1:3">
      <c r="A53" s="4">
        <v>45370</v>
      </c>
      <c r="B53" s="2">
        <v>287</v>
      </c>
      <c r="C53" s="3">
        <v>920</v>
      </c>
    </row>
    <row r="54" customHeight="1" spans="1:3">
      <c r="A54" s="4">
        <v>45371</v>
      </c>
      <c r="B54" s="2">
        <v>287</v>
      </c>
      <c r="C54" s="3">
        <v>930</v>
      </c>
    </row>
    <row r="55" customHeight="1" spans="1:3">
      <c r="A55" s="4">
        <v>45372</v>
      </c>
      <c r="B55" s="2">
        <v>286</v>
      </c>
      <c r="C55" s="3">
        <v>935</v>
      </c>
    </row>
    <row r="56" customHeight="1" spans="1:3">
      <c r="A56" s="4">
        <v>45373</v>
      </c>
      <c r="B56" s="2">
        <v>293</v>
      </c>
      <c r="C56" s="3">
        <v>940</v>
      </c>
    </row>
    <row r="57" customHeight="1" spans="1:3">
      <c r="A57" s="4">
        <v>45376</v>
      </c>
      <c r="B57" s="2">
        <v>297</v>
      </c>
      <c r="C57" s="3">
        <v>940</v>
      </c>
    </row>
    <row r="58" customHeight="1" spans="1:3">
      <c r="A58" s="4">
        <v>45377</v>
      </c>
      <c r="B58" s="2">
        <v>296</v>
      </c>
      <c r="C58" s="3">
        <v>935</v>
      </c>
    </row>
    <row r="59" customHeight="1" spans="1:3">
      <c r="A59" s="4">
        <v>45378</v>
      </c>
      <c r="B59" s="2">
        <v>300</v>
      </c>
      <c r="C59" s="3">
        <v>935</v>
      </c>
    </row>
    <row r="60" customHeight="1" spans="1:3">
      <c r="A60" s="4">
        <v>45379</v>
      </c>
      <c r="B60" s="2">
        <v>303</v>
      </c>
      <c r="C60" s="3">
        <v>930</v>
      </c>
    </row>
    <row r="61" customHeight="1" spans="1:3">
      <c r="A61" s="4">
        <v>45380</v>
      </c>
      <c r="B61" s="2">
        <v>300</v>
      </c>
      <c r="C61" s="3">
        <v>935</v>
      </c>
    </row>
    <row r="62" customHeight="1" spans="1:3">
      <c r="A62" s="4">
        <v>45383</v>
      </c>
      <c r="B62" s="2">
        <v>306</v>
      </c>
      <c r="C62" s="3">
        <v>935</v>
      </c>
    </row>
    <row r="63" customHeight="1" spans="1:3">
      <c r="A63" s="4">
        <v>45384</v>
      </c>
      <c r="B63" s="2">
        <v>301</v>
      </c>
      <c r="C63" s="3">
        <v>935</v>
      </c>
    </row>
    <row r="64" customHeight="1" spans="1:3">
      <c r="A64" s="4">
        <v>45385</v>
      </c>
      <c r="B64" s="2">
        <v>299</v>
      </c>
      <c r="C64" s="3">
        <v>930</v>
      </c>
    </row>
    <row r="65" customHeight="1" spans="1:3">
      <c r="A65" s="4">
        <v>45389</v>
      </c>
      <c r="B65" s="2">
        <v>301</v>
      </c>
      <c r="C65" s="3">
        <v>935</v>
      </c>
    </row>
    <row r="66" customHeight="1" spans="1:3">
      <c r="A66" s="4">
        <v>45390</v>
      </c>
      <c r="B66" s="2">
        <v>300</v>
      </c>
      <c r="C66" s="3">
        <v>930</v>
      </c>
    </row>
    <row r="67" customHeight="1" spans="1:3">
      <c r="A67" s="4">
        <v>45391</v>
      </c>
      <c r="B67" s="2">
        <v>300</v>
      </c>
      <c r="C67" s="3">
        <v>930</v>
      </c>
    </row>
    <row r="68" customHeight="1" spans="1:3">
      <c r="A68" s="4">
        <v>45392</v>
      </c>
      <c r="B68" s="2">
        <v>297</v>
      </c>
      <c r="C68" s="3">
        <v>935</v>
      </c>
    </row>
    <row r="69" customHeight="1" spans="1:3">
      <c r="A69" s="4">
        <v>45393</v>
      </c>
      <c r="B69" s="2">
        <v>294</v>
      </c>
      <c r="C69" s="3">
        <v>935</v>
      </c>
    </row>
    <row r="70" customHeight="1" spans="1:3">
      <c r="A70" s="4">
        <v>45394</v>
      </c>
      <c r="B70" s="2">
        <v>295</v>
      </c>
      <c r="C70" s="3">
        <v>935</v>
      </c>
    </row>
    <row r="71" customHeight="1" spans="1:3">
      <c r="A71" s="4">
        <v>45397</v>
      </c>
      <c r="B71" s="2">
        <v>296</v>
      </c>
      <c r="C71" s="3">
        <v>940</v>
      </c>
    </row>
    <row r="72" customHeight="1" spans="1:3">
      <c r="A72" s="4">
        <v>45398</v>
      </c>
      <c r="B72" s="2">
        <v>294</v>
      </c>
      <c r="C72" s="3">
        <v>940</v>
      </c>
    </row>
    <row r="73" customHeight="1" spans="1:3">
      <c r="A73" s="4">
        <v>45399</v>
      </c>
      <c r="B73" s="2">
        <v>291</v>
      </c>
      <c r="C73" s="3">
        <v>940</v>
      </c>
    </row>
    <row r="74" customHeight="1" spans="1:3">
      <c r="A74" s="4">
        <v>45400</v>
      </c>
      <c r="B74" s="2">
        <v>289</v>
      </c>
      <c r="C74" s="3">
        <v>935</v>
      </c>
    </row>
    <row r="75" customHeight="1" spans="1:3">
      <c r="A75" s="4">
        <v>45401</v>
      </c>
      <c r="B75" s="2">
        <v>288</v>
      </c>
      <c r="C75" s="3">
        <v>935</v>
      </c>
    </row>
    <row r="76" customHeight="1" spans="1:3">
      <c r="A76" s="4">
        <v>45404</v>
      </c>
      <c r="B76" s="2">
        <v>287</v>
      </c>
      <c r="C76" s="3">
        <v>930</v>
      </c>
    </row>
    <row r="77" customHeight="1" spans="1:3">
      <c r="A77" s="4">
        <v>45405</v>
      </c>
      <c r="B77" s="2">
        <v>288</v>
      </c>
      <c r="C77" s="3">
        <v>925</v>
      </c>
    </row>
    <row r="78" customHeight="1" spans="1:3">
      <c r="A78" s="4">
        <v>45406</v>
      </c>
      <c r="B78" s="2">
        <v>288</v>
      </c>
      <c r="C78" s="3">
        <v>915</v>
      </c>
    </row>
    <row r="79" customHeight="1" spans="1:3">
      <c r="A79" s="4">
        <v>45407</v>
      </c>
      <c r="B79" s="2">
        <v>286</v>
      </c>
      <c r="C79" s="3">
        <v>915</v>
      </c>
    </row>
    <row r="80" customHeight="1" spans="1:3">
      <c r="A80" s="4">
        <v>45408</v>
      </c>
      <c r="B80" s="2">
        <v>285</v>
      </c>
      <c r="C80" s="3">
        <v>915</v>
      </c>
    </row>
    <row r="81" customHeight="1" spans="1:3">
      <c r="A81" s="4">
        <v>45410</v>
      </c>
      <c r="B81" s="2">
        <v>280</v>
      </c>
      <c r="C81" s="3">
        <v>915</v>
      </c>
    </row>
    <row r="82" customHeight="1" spans="1:3">
      <c r="A82" s="4">
        <v>45411</v>
      </c>
      <c r="B82" s="2">
        <v>278</v>
      </c>
      <c r="C82" s="3">
        <v>920</v>
      </c>
    </row>
    <row r="83" customHeight="1" spans="1:3">
      <c r="A83" s="4">
        <v>45412</v>
      </c>
      <c r="B83" s="2">
        <v>280</v>
      </c>
      <c r="C83" s="3">
        <v>920</v>
      </c>
    </row>
    <row r="84" customHeight="1" spans="1:3">
      <c r="A84" s="4">
        <v>45418</v>
      </c>
      <c r="B84" s="2">
        <v>279</v>
      </c>
      <c r="C84" s="3">
        <v>920</v>
      </c>
    </row>
    <row r="85" customHeight="1" spans="1:3">
      <c r="A85" s="4">
        <v>45419</v>
      </c>
      <c r="B85" s="2">
        <v>281</v>
      </c>
      <c r="C85" s="3">
        <v>930</v>
      </c>
    </row>
    <row r="86" customHeight="1" spans="1:3">
      <c r="A86" s="4">
        <v>45420</v>
      </c>
      <c r="B86" s="2">
        <v>279</v>
      </c>
      <c r="C86" s="3">
        <v>930</v>
      </c>
    </row>
    <row r="87" customHeight="1" spans="1:3">
      <c r="A87" s="4">
        <v>45421</v>
      </c>
      <c r="B87" s="2">
        <v>279</v>
      </c>
      <c r="C87" s="3">
        <v>925</v>
      </c>
    </row>
    <row r="88" customHeight="1" spans="1:3">
      <c r="A88" s="4">
        <v>45422</v>
      </c>
      <c r="B88" s="2">
        <v>287</v>
      </c>
      <c r="C88" s="3">
        <v>925</v>
      </c>
    </row>
    <row r="89" customHeight="1" spans="1:3">
      <c r="A89" s="4">
        <v>45423</v>
      </c>
      <c r="B89" s="2">
        <v>285</v>
      </c>
      <c r="C89" s="3">
        <v>925</v>
      </c>
    </row>
    <row r="90" customHeight="1" spans="1:3">
      <c r="A90" s="4">
        <v>45425</v>
      </c>
      <c r="B90" s="2">
        <v>285</v>
      </c>
      <c r="C90" s="3">
        <v>925</v>
      </c>
    </row>
    <row r="91" customHeight="1" spans="1:3">
      <c r="A91" s="4">
        <v>45426</v>
      </c>
      <c r="B91" s="2">
        <v>291</v>
      </c>
      <c r="C91" s="3">
        <v>925</v>
      </c>
    </row>
    <row r="92" customHeight="1" spans="1:3">
      <c r="A92" s="4">
        <v>45427</v>
      </c>
      <c r="B92" s="2">
        <v>288</v>
      </c>
      <c r="C92" s="3">
        <v>925</v>
      </c>
    </row>
    <row r="93" customHeight="1" spans="1:3">
      <c r="A93" s="4">
        <v>45428</v>
      </c>
      <c r="B93" s="2">
        <v>288</v>
      </c>
      <c r="C93" s="3">
        <v>925</v>
      </c>
    </row>
    <row r="94" customHeight="1" spans="1:3">
      <c r="A94" s="4">
        <v>45429</v>
      </c>
      <c r="B94" s="2">
        <v>283</v>
      </c>
      <c r="C94" s="3">
        <v>920</v>
      </c>
    </row>
    <row r="95" customHeight="1" spans="1:3">
      <c r="A95" s="4">
        <v>45432</v>
      </c>
      <c r="B95" s="2">
        <v>278.8</v>
      </c>
      <c r="C95" s="3">
        <v>910</v>
      </c>
    </row>
    <row r="96" customHeight="1" spans="1:3">
      <c r="A96" s="4">
        <v>45433</v>
      </c>
      <c r="B96" s="2">
        <v>275.7</v>
      </c>
      <c r="C96" s="3">
        <v>910</v>
      </c>
    </row>
    <row r="97" customHeight="1" spans="1:3">
      <c r="A97" s="4">
        <v>45434</v>
      </c>
      <c r="B97" s="2">
        <v>275.3</v>
      </c>
      <c r="C97" s="3">
        <v>915</v>
      </c>
    </row>
    <row r="98" customHeight="1" spans="1:3">
      <c r="A98" s="4">
        <v>45435</v>
      </c>
      <c r="B98" s="2">
        <v>274.3</v>
      </c>
      <c r="C98" s="3">
        <v>915</v>
      </c>
    </row>
    <row r="99" customHeight="1" spans="1:3">
      <c r="A99" s="4">
        <v>45436</v>
      </c>
      <c r="B99" s="2">
        <v>278.8</v>
      </c>
      <c r="C99" s="3">
        <v>915</v>
      </c>
    </row>
    <row r="100" customHeight="1" spans="1:3">
      <c r="A100" s="4">
        <v>45439</v>
      </c>
      <c r="B100" s="2">
        <v>286.8</v>
      </c>
      <c r="C100" s="3">
        <v>915</v>
      </c>
    </row>
    <row r="101" customHeight="1" spans="1:3">
      <c r="A101" s="4">
        <v>45440</v>
      </c>
      <c r="B101" s="2">
        <v>284.9</v>
      </c>
      <c r="C101" s="3">
        <v>915</v>
      </c>
    </row>
    <row r="102" customHeight="1" spans="1:3">
      <c r="A102" s="4">
        <v>45441</v>
      </c>
      <c r="B102" s="2">
        <v>283.2</v>
      </c>
      <c r="C102" s="3">
        <v>920</v>
      </c>
    </row>
    <row r="103" customHeight="1" spans="1:3">
      <c r="A103" s="4">
        <v>45442</v>
      </c>
      <c r="B103" s="2">
        <v>280.9</v>
      </c>
      <c r="C103" s="3">
        <v>920</v>
      </c>
    </row>
    <row r="104" customHeight="1" spans="1:3">
      <c r="A104" s="4">
        <v>45443</v>
      </c>
      <c r="B104" s="2">
        <v>279.3</v>
      </c>
      <c r="C104" s="3">
        <v>915</v>
      </c>
    </row>
    <row r="105" customHeight="1" spans="1:3">
      <c r="A105" s="4">
        <v>45446</v>
      </c>
      <c r="B105" s="2">
        <v>280.4</v>
      </c>
      <c r="C105" s="3">
        <v>915</v>
      </c>
    </row>
    <row r="106" customHeight="1" spans="1:3">
      <c r="A106" s="4">
        <v>45447</v>
      </c>
      <c r="B106" s="2">
        <v>279.7</v>
      </c>
      <c r="C106" s="3">
        <v>915</v>
      </c>
    </row>
    <row r="107" customHeight="1" spans="1:3">
      <c r="A107" s="4">
        <v>45448</v>
      </c>
      <c r="B107" s="2">
        <v>279</v>
      </c>
      <c r="C107" s="3">
        <v>915</v>
      </c>
    </row>
    <row r="108" customHeight="1" spans="1:3">
      <c r="A108" s="4">
        <v>45449</v>
      </c>
      <c r="B108" s="2">
        <v>276.1</v>
      </c>
      <c r="C108" s="3">
        <v>915</v>
      </c>
    </row>
    <row r="109" customHeight="1" spans="1:3">
      <c r="A109" s="4">
        <v>45450</v>
      </c>
      <c r="B109" s="2">
        <v>274.3</v>
      </c>
      <c r="C109" s="3">
        <v>915</v>
      </c>
    </row>
    <row r="110" customHeight="1" spans="1:3">
      <c r="A110" s="4">
        <v>45454</v>
      </c>
      <c r="B110" s="2">
        <v>277</v>
      </c>
      <c r="C110" s="3">
        <v>915</v>
      </c>
    </row>
    <row r="111" customHeight="1" spans="1:3">
      <c r="A111" s="4">
        <v>45455</v>
      </c>
      <c r="B111" s="2">
        <v>275.7</v>
      </c>
      <c r="C111" s="3">
        <v>915</v>
      </c>
    </row>
    <row r="112" customHeight="1" spans="1:3">
      <c r="A112" s="4">
        <v>45456</v>
      </c>
      <c r="B112" s="2">
        <v>278.8</v>
      </c>
      <c r="C112" s="3">
        <v>915</v>
      </c>
    </row>
    <row r="113" customHeight="1" spans="1:3">
      <c r="A113" s="4">
        <v>45457</v>
      </c>
      <c r="B113" s="2">
        <v>276.3</v>
      </c>
      <c r="C113" s="3">
        <v>915</v>
      </c>
    </row>
    <row r="114" customHeight="1" spans="1:3">
      <c r="A114" s="4">
        <v>45460</v>
      </c>
      <c r="B114" s="2">
        <v>272.1</v>
      </c>
      <c r="C114" s="3">
        <v>925</v>
      </c>
    </row>
    <row r="115" customHeight="1" spans="1:3">
      <c r="A115" s="4">
        <v>45461</v>
      </c>
      <c r="B115" s="2">
        <v>272.8</v>
      </c>
      <c r="C115" s="3">
        <v>935</v>
      </c>
    </row>
    <row r="116" customHeight="1" spans="1:3">
      <c r="A116" s="4">
        <v>45462</v>
      </c>
      <c r="B116" s="2">
        <v>270</v>
      </c>
      <c r="C116" s="3">
        <v>935</v>
      </c>
    </row>
    <row r="117" customHeight="1" spans="1:3">
      <c r="A117" s="4">
        <v>45463</v>
      </c>
      <c r="B117" s="2">
        <v>269</v>
      </c>
      <c r="C117" s="3">
        <v>935</v>
      </c>
    </row>
    <row r="118" customHeight="1" spans="1:3">
      <c r="A118" s="4">
        <v>45464</v>
      </c>
      <c r="B118" s="2">
        <v>267</v>
      </c>
      <c r="C118" s="3">
        <v>935</v>
      </c>
    </row>
    <row r="119" customHeight="1" spans="1:3">
      <c r="A119" s="4">
        <v>45467</v>
      </c>
      <c r="B119" s="2">
        <v>267.4</v>
      </c>
      <c r="C119" s="3">
        <v>940</v>
      </c>
    </row>
    <row r="120" customHeight="1" spans="1:3">
      <c r="A120" s="4">
        <v>45468</v>
      </c>
      <c r="B120" s="2">
        <v>267.1</v>
      </c>
      <c r="C120" s="3">
        <v>940</v>
      </c>
    </row>
    <row r="121" customHeight="1" spans="1:3">
      <c r="A121" s="4">
        <v>45469</v>
      </c>
      <c r="B121" s="2">
        <v>266.3</v>
      </c>
      <c r="C121" s="3">
        <v>945</v>
      </c>
    </row>
    <row r="122" customHeight="1" spans="1:3">
      <c r="A122" s="4">
        <v>45470</v>
      </c>
      <c r="B122" s="2">
        <v>265.6</v>
      </c>
      <c r="C122" s="3">
        <v>950</v>
      </c>
    </row>
    <row r="123" customHeight="1" spans="1:3">
      <c r="A123" s="4">
        <v>45471</v>
      </c>
      <c r="B123" s="2">
        <v>272</v>
      </c>
      <c r="C123" s="3">
        <v>965</v>
      </c>
    </row>
    <row r="124" customHeight="1" spans="1:3">
      <c r="A124" s="4">
        <v>45474</v>
      </c>
      <c r="B124" s="2">
        <v>270.2</v>
      </c>
      <c r="C124" s="3">
        <v>980</v>
      </c>
    </row>
    <row r="125" customHeight="1" spans="1:3">
      <c r="A125" s="4">
        <v>45475</v>
      </c>
      <c r="B125" s="2">
        <v>266.5</v>
      </c>
      <c r="C125" s="3">
        <v>1000</v>
      </c>
    </row>
    <row r="126" customHeight="1" spans="1:3">
      <c r="A126" s="4">
        <v>45476</v>
      </c>
      <c r="B126" s="2">
        <v>265.4</v>
      </c>
      <c r="C126" s="3">
        <v>1040</v>
      </c>
    </row>
    <row r="127" customHeight="1" spans="1:3">
      <c r="A127" s="4">
        <v>45477</v>
      </c>
      <c r="B127" s="2">
        <v>263.1</v>
      </c>
      <c r="C127" s="3">
        <v>1060</v>
      </c>
    </row>
    <row r="128" customHeight="1" spans="1:3">
      <c r="A128" s="4">
        <v>45478</v>
      </c>
      <c r="B128" s="2">
        <v>263.1</v>
      </c>
      <c r="C128" s="3">
        <v>1070</v>
      </c>
    </row>
    <row r="129" customHeight="1" spans="1:3">
      <c r="A129" s="4">
        <v>45481</v>
      </c>
      <c r="B129" s="2">
        <v>267.7</v>
      </c>
      <c r="C129" s="3">
        <v>1075</v>
      </c>
    </row>
    <row r="130" customHeight="1" spans="1:3">
      <c r="A130" s="4">
        <v>45482</v>
      </c>
      <c r="B130" s="2">
        <v>259.7</v>
      </c>
      <c r="C130" s="3">
        <v>1080</v>
      </c>
    </row>
    <row r="131" customHeight="1" spans="1:3">
      <c r="A131" s="4">
        <v>45483</v>
      </c>
      <c r="B131" s="2">
        <v>260</v>
      </c>
      <c r="C131" s="3">
        <v>1075</v>
      </c>
    </row>
    <row r="132" customHeight="1" spans="1:3">
      <c r="A132" s="4">
        <v>45484</v>
      </c>
      <c r="B132" s="2">
        <v>257.4</v>
      </c>
      <c r="C132" s="3">
        <v>1070</v>
      </c>
    </row>
    <row r="133" customHeight="1" spans="1:3">
      <c r="A133" s="4">
        <v>45485</v>
      </c>
      <c r="B133" s="2">
        <v>255.15</v>
      </c>
      <c r="C133" s="3">
        <v>1065</v>
      </c>
    </row>
    <row r="134" customHeight="1" spans="1:3">
      <c r="A134" s="4">
        <v>45488</v>
      </c>
      <c r="B134" s="2">
        <v>253.8</v>
      </c>
      <c r="C134" s="3">
        <v>1060</v>
      </c>
    </row>
    <row r="135" customHeight="1" spans="1:3">
      <c r="A135" s="4">
        <v>45489</v>
      </c>
      <c r="B135" s="2">
        <v>255.6</v>
      </c>
      <c r="C135" s="3">
        <v>1060</v>
      </c>
    </row>
    <row r="136" customHeight="1" spans="1:3">
      <c r="A136" s="4">
        <v>45490</v>
      </c>
      <c r="B136" s="2">
        <v>255.9</v>
      </c>
      <c r="C136" s="3">
        <v>1060</v>
      </c>
    </row>
    <row r="137" customHeight="1" spans="1:3">
      <c r="A137" s="4">
        <v>45491</v>
      </c>
      <c r="B137" s="2">
        <v>257.5</v>
      </c>
      <c r="C137" s="3">
        <v>1065</v>
      </c>
    </row>
    <row r="138" customHeight="1" spans="1:3">
      <c r="A138" s="4">
        <v>45492</v>
      </c>
      <c r="B138" s="2">
        <v>261.4</v>
      </c>
      <c r="C138" s="3">
        <v>1090</v>
      </c>
    </row>
    <row r="139" customHeight="1" spans="1:3">
      <c r="A139" s="4">
        <v>45495</v>
      </c>
      <c r="B139" s="2">
        <v>261</v>
      </c>
      <c r="C139" s="3">
        <v>1110</v>
      </c>
    </row>
    <row r="140" customHeight="1" spans="1:3">
      <c r="A140" s="4">
        <v>45496</v>
      </c>
      <c r="B140" s="2">
        <v>264.3</v>
      </c>
      <c r="C140" s="3">
        <v>1140</v>
      </c>
    </row>
    <row r="141" customHeight="1" spans="1:3">
      <c r="A141" s="4">
        <v>45497</v>
      </c>
      <c r="B141" s="2">
        <v>265.4</v>
      </c>
      <c r="C141" s="3">
        <v>1170</v>
      </c>
    </row>
    <row r="142" customHeight="1" spans="1:3">
      <c r="A142" s="4">
        <v>45498</v>
      </c>
      <c r="B142" s="2">
        <v>264.4</v>
      </c>
      <c r="C142" s="3">
        <v>1160</v>
      </c>
    </row>
    <row r="143" customHeight="1" spans="1:3">
      <c r="A143" s="4">
        <v>45499</v>
      </c>
      <c r="B143" s="2">
        <v>267.8</v>
      </c>
      <c r="C143" s="3">
        <v>1155</v>
      </c>
    </row>
    <row r="144" customHeight="1" spans="1:3">
      <c r="A144" s="4">
        <v>45502</v>
      </c>
      <c r="B144" s="2">
        <v>269.8</v>
      </c>
      <c r="C144" s="3">
        <v>1160</v>
      </c>
    </row>
    <row r="145" customHeight="1" spans="1:3">
      <c r="A145" s="4">
        <v>45503</v>
      </c>
      <c r="B145" s="2">
        <v>263.6</v>
      </c>
      <c r="C145" s="3">
        <v>1190</v>
      </c>
    </row>
    <row r="146" customHeight="1" spans="1:3">
      <c r="A146" s="4">
        <v>45504</v>
      </c>
      <c r="B146" s="2">
        <v>264.1</v>
      </c>
      <c r="C146" s="3">
        <v>1195</v>
      </c>
    </row>
    <row r="147" customHeight="1" spans="1:3">
      <c r="A147" s="4">
        <v>45505</v>
      </c>
      <c r="B147" s="2">
        <v>264.5</v>
      </c>
      <c r="C147" s="3">
        <v>1200</v>
      </c>
    </row>
    <row r="148" customHeight="1" spans="1:3">
      <c r="A148" s="4">
        <v>45506</v>
      </c>
      <c r="B148" s="2">
        <v>263.9</v>
      </c>
      <c r="C148" s="3">
        <v>1200</v>
      </c>
    </row>
    <row r="149" customHeight="1" spans="1:3">
      <c r="A149" s="4">
        <v>45509</v>
      </c>
      <c r="B149" s="2">
        <v>260.4</v>
      </c>
      <c r="C149" s="3">
        <v>1195</v>
      </c>
    </row>
    <row r="150" customHeight="1" spans="1:3">
      <c r="A150" s="4">
        <v>45510</v>
      </c>
      <c r="B150" s="2">
        <v>259.3</v>
      </c>
      <c r="C150" s="3">
        <v>1180</v>
      </c>
    </row>
    <row r="151" customHeight="1" spans="1:3">
      <c r="A151" s="4">
        <v>45511</v>
      </c>
      <c r="B151" s="2">
        <v>261.9</v>
      </c>
      <c r="C151" s="3">
        <v>1175</v>
      </c>
    </row>
    <row r="152" customHeight="1" spans="1:3">
      <c r="A152" s="4">
        <v>45512</v>
      </c>
      <c r="B152" s="2">
        <v>262.7</v>
      </c>
      <c r="C152" s="3">
        <v>1180</v>
      </c>
    </row>
    <row r="153" customHeight="1" spans="1:3">
      <c r="A153" s="4">
        <v>45513</v>
      </c>
      <c r="B153" s="2">
        <v>264.05</v>
      </c>
      <c r="C153" s="3">
        <v>1180</v>
      </c>
    </row>
    <row r="154" customHeight="1" spans="1:3">
      <c r="A154" s="4">
        <v>45516</v>
      </c>
      <c r="B154" s="2">
        <v>274.8</v>
      </c>
      <c r="C154" s="3">
        <v>1175</v>
      </c>
    </row>
    <row r="155" customHeight="1" spans="1:3">
      <c r="A155" s="4">
        <v>45517</v>
      </c>
      <c r="B155" s="2">
        <v>270.1</v>
      </c>
      <c r="C155" s="3">
        <v>1170</v>
      </c>
    </row>
    <row r="156" customHeight="1" spans="1:3">
      <c r="A156" s="4">
        <v>45518</v>
      </c>
      <c r="B156" s="2">
        <v>270.6</v>
      </c>
      <c r="C156" s="3">
        <v>1170</v>
      </c>
    </row>
    <row r="157" customHeight="1" spans="1:3">
      <c r="A157" s="4">
        <v>45519</v>
      </c>
      <c r="B157" s="2">
        <v>272.9</v>
      </c>
      <c r="C157" s="3">
        <v>1170</v>
      </c>
    </row>
    <row r="158" customHeight="1" spans="1:3">
      <c r="A158" s="4">
        <v>45520</v>
      </c>
      <c r="B158" s="2">
        <v>267.1</v>
      </c>
      <c r="C158" s="3">
        <v>1170</v>
      </c>
    </row>
    <row r="159" customHeight="1" spans="1:3">
      <c r="A159" s="4">
        <v>45523</v>
      </c>
      <c r="B159" s="2">
        <v>267.2</v>
      </c>
      <c r="C159" s="3">
        <v>1160</v>
      </c>
    </row>
    <row r="160" customHeight="1" spans="1:3">
      <c r="A160" s="4">
        <v>45524</v>
      </c>
      <c r="B160" s="2">
        <v>265.1</v>
      </c>
      <c r="C160" s="3">
        <v>1160</v>
      </c>
    </row>
    <row r="161" customHeight="1" spans="1:3">
      <c r="A161" s="4">
        <v>45525</v>
      </c>
      <c r="B161" s="2">
        <v>257.8</v>
      </c>
      <c r="C161" s="3">
        <v>1160</v>
      </c>
    </row>
    <row r="162" customHeight="1" spans="1:3">
      <c r="A162" s="4">
        <v>45526</v>
      </c>
      <c r="B162" s="2">
        <v>263.4</v>
      </c>
      <c r="C162" s="3">
        <v>1160</v>
      </c>
    </row>
    <row r="163" customHeight="1" spans="1:3">
      <c r="A163" s="4">
        <v>45527</v>
      </c>
      <c r="B163" s="2">
        <v>264</v>
      </c>
      <c r="C163" s="3">
        <v>1170</v>
      </c>
    </row>
    <row r="164" customHeight="1" spans="1:3">
      <c r="A164" s="4">
        <v>45530</v>
      </c>
      <c r="B164" s="2">
        <v>258.6</v>
      </c>
      <c r="C164" s="3">
        <v>1175</v>
      </c>
    </row>
    <row r="165" customHeight="1" spans="1:3">
      <c r="A165" s="4">
        <v>45531</v>
      </c>
      <c r="B165" s="2">
        <v>262.3</v>
      </c>
      <c r="C165" s="3">
        <v>1185</v>
      </c>
    </row>
    <row r="166" customHeight="1" spans="1:3">
      <c r="A166" s="4">
        <v>45532</v>
      </c>
      <c r="B166" s="2">
        <v>259.4</v>
      </c>
      <c r="C166" s="3">
        <v>1190</v>
      </c>
    </row>
    <row r="167" customHeight="1" spans="1:3">
      <c r="A167" s="4">
        <v>45533</v>
      </c>
      <c r="B167" s="2">
        <v>255.6</v>
      </c>
      <c r="C167" s="3">
        <v>1180</v>
      </c>
    </row>
    <row r="168" customHeight="1" spans="1:3">
      <c r="A168" s="4">
        <v>45534</v>
      </c>
      <c r="B168" s="2">
        <v>253.8</v>
      </c>
      <c r="C168" s="3">
        <v>1180</v>
      </c>
    </row>
    <row r="169" customHeight="1" spans="1:3">
      <c r="A169" s="4">
        <v>45537</v>
      </c>
      <c r="B169" s="2">
        <v>246.3</v>
      </c>
      <c r="C169" s="3">
        <v>1180</v>
      </c>
    </row>
    <row r="170" customHeight="1" spans="1:3">
      <c r="A170" s="4">
        <v>45538</v>
      </c>
      <c r="B170" s="2">
        <v>239.5</v>
      </c>
      <c r="C170" s="3">
        <v>1175</v>
      </c>
    </row>
    <row r="171" customHeight="1" spans="1:3">
      <c r="A171" s="4">
        <v>45539</v>
      </c>
      <c r="B171" s="2">
        <v>238</v>
      </c>
      <c r="C171" s="3">
        <v>1170</v>
      </c>
    </row>
    <row r="172" customHeight="1" spans="1:3">
      <c r="A172" s="4">
        <v>45540</v>
      </c>
      <c r="B172" s="2">
        <v>241.67</v>
      </c>
      <c r="C172" s="3">
        <v>1165</v>
      </c>
    </row>
    <row r="173" customHeight="1" spans="1:3">
      <c r="A173" s="4">
        <v>45541</v>
      </c>
      <c r="B173" s="2">
        <v>241.15</v>
      </c>
      <c r="C173" s="3">
        <v>1170</v>
      </c>
    </row>
    <row r="174" customHeight="1" spans="1:3">
      <c r="A174" s="4">
        <v>45544</v>
      </c>
      <c r="B174" s="2">
        <v>249.26</v>
      </c>
      <c r="C174" s="3">
        <v>1170</v>
      </c>
    </row>
    <row r="175" customHeight="1" spans="1:3">
      <c r="A175" s="4">
        <v>45545</v>
      </c>
      <c r="B175" s="2">
        <v>249.1</v>
      </c>
      <c r="C175" s="3">
        <v>1170</v>
      </c>
    </row>
    <row r="176" customHeight="1" spans="1:3">
      <c r="A176" s="4">
        <v>45546</v>
      </c>
      <c r="B176" s="2">
        <v>256.2</v>
      </c>
      <c r="C176" s="3">
        <v>1165</v>
      </c>
    </row>
    <row r="177" customHeight="1" spans="1:3">
      <c r="A177" s="4">
        <v>45547</v>
      </c>
      <c r="B177" s="2">
        <v>253.35</v>
      </c>
      <c r="C177" s="3">
        <v>1165</v>
      </c>
    </row>
    <row r="178" customHeight="1" spans="1:3">
      <c r="A178" s="4">
        <v>45548</v>
      </c>
      <c r="B178" s="2">
        <v>259.4</v>
      </c>
      <c r="C178" s="3">
        <v>1165</v>
      </c>
    </row>
    <row r="179" customHeight="1" spans="1:3">
      <c r="A179" s="4">
        <v>45549</v>
      </c>
      <c r="B179" s="2">
        <v>259</v>
      </c>
      <c r="C179" s="3">
        <v>1165</v>
      </c>
    </row>
    <row r="180" customHeight="1" spans="1:3">
      <c r="A180" s="4">
        <v>45553</v>
      </c>
      <c r="B180" s="2">
        <v>256.75</v>
      </c>
      <c r="C180" s="3">
        <v>1160</v>
      </c>
    </row>
    <row r="181" customHeight="1" spans="1:3">
      <c r="A181" s="4">
        <v>45554</v>
      </c>
      <c r="B181" s="2">
        <v>255.95</v>
      </c>
      <c r="C181" s="3">
        <v>1160</v>
      </c>
    </row>
    <row r="182" customHeight="1" spans="1:3">
      <c r="A182" s="4">
        <v>45555</v>
      </c>
      <c r="B182" s="2">
        <v>253.25</v>
      </c>
      <c r="C182" s="3">
        <v>1150</v>
      </c>
    </row>
    <row r="183" customHeight="1" spans="1:3">
      <c r="A183" s="4">
        <v>45558</v>
      </c>
      <c r="B183" s="2">
        <v>250.9</v>
      </c>
      <c r="C183" s="3">
        <v>1145</v>
      </c>
    </row>
    <row r="184" customHeight="1" spans="1:3">
      <c r="A184" s="4">
        <v>45559</v>
      </c>
      <c r="B184" s="2">
        <v>247.35</v>
      </c>
      <c r="C184" s="3">
        <v>1135</v>
      </c>
    </row>
    <row r="185" customHeight="1" spans="1:3">
      <c r="A185" s="4">
        <v>45560</v>
      </c>
      <c r="B185" s="2">
        <v>248.4</v>
      </c>
      <c r="C185" s="3">
        <v>1130</v>
      </c>
    </row>
    <row r="186" customHeight="1" spans="1:3">
      <c r="A186" s="4">
        <v>45561</v>
      </c>
      <c r="B186" s="2">
        <v>248.61</v>
      </c>
      <c r="C186" s="3">
        <v>1125</v>
      </c>
    </row>
    <row r="187" customHeight="1" spans="1:3">
      <c r="A187" s="4">
        <v>45562</v>
      </c>
      <c r="B187" s="2">
        <v>244.95</v>
      </c>
      <c r="C187" s="3">
        <v>1135</v>
      </c>
    </row>
    <row r="188" customHeight="1" spans="1:3">
      <c r="A188" s="4">
        <v>45564</v>
      </c>
      <c r="B188" s="2">
        <v>248.75</v>
      </c>
      <c r="C188" s="3">
        <v>1140</v>
      </c>
    </row>
    <row r="189" customHeight="1" spans="1:3">
      <c r="A189" s="4">
        <v>45565</v>
      </c>
      <c r="B189" s="2">
        <v>247.7</v>
      </c>
      <c r="C189" s="3">
        <v>1140</v>
      </c>
    </row>
    <row r="190" customHeight="1" spans="1:3">
      <c r="A190" s="4">
        <v>45573</v>
      </c>
      <c r="B190" s="2">
        <v>235.6</v>
      </c>
      <c r="C190" s="3">
        <v>1180</v>
      </c>
    </row>
    <row r="191" customHeight="1" spans="1:3">
      <c r="A191" s="4">
        <v>45574</v>
      </c>
      <c r="B191" s="2">
        <v>243.4</v>
      </c>
      <c r="C191" s="3">
        <v>1195</v>
      </c>
    </row>
    <row r="192" customHeight="1" spans="1:3">
      <c r="A192" s="4">
        <v>45575</v>
      </c>
      <c r="B192" s="2">
        <v>240.8</v>
      </c>
      <c r="C192" s="3">
        <v>1215</v>
      </c>
    </row>
    <row r="193" customHeight="1" spans="1:3">
      <c r="A193" s="4">
        <v>45576</v>
      </c>
      <c r="B193" s="2">
        <v>240.05</v>
      </c>
      <c r="C193" s="3">
        <v>1250</v>
      </c>
    </row>
    <row r="194" customHeight="1" spans="1:3">
      <c r="A194" s="4">
        <v>45577</v>
      </c>
      <c r="B194" s="2">
        <v>233.4</v>
      </c>
      <c r="C194" s="3">
        <v>1270</v>
      </c>
    </row>
    <row r="195" customHeight="1" spans="1:3">
      <c r="A195" s="4">
        <v>45579</v>
      </c>
      <c r="B195" s="2">
        <v>231.13</v>
      </c>
      <c r="C195" s="3">
        <v>1270</v>
      </c>
    </row>
    <row r="196" customHeight="1" spans="1:3">
      <c r="A196" s="4">
        <v>45580</v>
      </c>
      <c r="B196" s="2">
        <v>227.3</v>
      </c>
      <c r="C196" s="3">
        <v>1240</v>
      </c>
    </row>
    <row r="197" customHeight="1" spans="1:3">
      <c r="A197" s="4">
        <v>45581</v>
      </c>
      <c r="B197" s="2">
        <v>227.65</v>
      </c>
      <c r="C197" s="3">
        <v>1260</v>
      </c>
    </row>
    <row r="198" customHeight="1" spans="1:3">
      <c r="A198" s="4">
        <v>45582</v>
      </c>
      <c r="B198" s="2">
        <v>227.4</v>
      </c>
      <c r="C198" s="3">
        <v>1260</v>
      </c>
    </row>
    <row r="199" customHeight="1" spans="1:3">
      <c r="A199" s="4">
        <v>45583</v>
      </c>
      <c r="B199" s="2">
        <v>227.05</v>
      </c>
      <c r="C199" s="3">
        <v>1260</v>
      </c>
    </row>
    <row r="200" customHeight="1" spans="1:3">
      <c r="A200" s="4">
        <v>45586</v>
      </c>
      <c r="B200" s="2">
        <v>225.2</v>
      </c>
      <c r="C200" s="3">
        <v>1270</v>
      </c>
    </row>
    <row r="201" customHeight="1" spans="1:3">
      <c r="A201" s="4">
        <v>45587</v>
      </c>
      <c r="B201" s="2">
        <v>228.15</v>
      </c>
      <c r="C201" s="3">
        <v>1275</v>
      </c>
    </row>
    <row r="202" customHeight="1" spans="1:3">
      <c r="A202" s="4">
        <v>45588</v>
      </c>
      <c r="B202" s="2">
        <v>226.85</v>
      </c>
      <c r="C202" s="3">
        <v>1285</v>
      </c>
    </row>
    <row r="203" customHeight="1" spans="1:3">
      <c r="A203" s="4">
        <v>45589</v>
      </c>
      <c r="B203" s="2">
        <v>231.89</v>
      </c>
      <c r="C203" s="3">
        <v>1295</v>
      </c>
    </row>
    <row r="204" customHeight="1" spans="1:3">
      <c r="A204" s="4">
        <v>45590</v>
      </c>
      <c r="B204" s="2">
        <v>233</v>
      </c>
      <c r="C204" s="3">
        <v>1290</v>
      </c>
    </row>
    <row r="205" customHeight="1" spans="1:3">
      <c r="A205" s="4">
        <v>45593</v>
      </c>
      <c r="B205" s="2">
        <v>228.1</v>
      </c>
      <c r="C205" s="3">
        <v>1290</v>
      </c>
    </row>
    <row r="206" customHeight="1" spans="1:3">
      <c r="A206" s="4">
        <v>45594</v>
      </c>
      <c r="B206" s="2">
        <v>233.5</v>
      </c>
      <c r="C206" s="3">
        <v>1290</v>
      </c>
    </row>
    <row r="207" customHeight="1" spans="1:3">
      <c r="A207" s="4">
        <v>45595</v>
      </c>
      <c r="B207" s="2">
        <v>232.6</v>
      </c>
      <c r="C207" s="3">
        <v>1290</v>
      </c>
    </row>
    <row r="208" customHeight="1" spans="1:3">
      <c r="A208" s="4">
        <v>45596</v>
      </c>
      <c r="B208" s="2">
        <v>234</v>
      </c>
      <c r="C208" s="3">
        <v>1295</v>
      </c>
    </row>
    <row r="209" customHeight="1" spans="1:3">
      <c r="A209" s="4">
        <v>45597</v>
      </c>
      <c r="B209" s="2">
        <v>235.7</v>
      </c>
      <c r="C209" s="3">
        <v>1305</v>
      </c>
    </row>
    <row r="210" customHeight="1" spans="1:3">
      <c r="A210" s="4">
        <v>45600</v>
      </c>
      <c r="B210" s="2">
        <v>234.1</v>
      </c>
      <c r="C210" s="3">
        <v>1315</v>
      </c>
    </row>
    <row r="211" customHeight="1" spans="1:3">
      <c r="A211" s="4">
        <v>45601</v>
      </c>
      <c r="B211" s="2">
        <v>240.3</v>
      </c>
      <c r="C211" s="3">
        <v>1330</v>
      </c>
    </row>
    <row r="212" customHeight="1" spans="1:3">
      <c r="A212" s="4">
        <v>45602</v>
      </c>
      <c r="B212" s="2">
        <v>238.95</v>
      </c>
      <c r="C212" s="3">
        <v>1340</v>
      </c>
    </row>
    <row r="213" customHeight="1" spans="1:3">
      <c r="A213" s="4">
        <v>45603</v>
      </c>
      <c r="B213" s="2">
        <v>237</v>
      </c>
      <c r="C213" s="3">
        <v>1370</v>
      </c>
    </row>
    <row r="214" customHeight="1" spans="1:3">
      <c r="A214" s="4">
        <v>45604</v>
      </c>
      <c r="B214" s="2">
        <v>233.95</v>
      </c>
      <c r="C214" s="3">
        <v>1390</v>
      </c>
    </row>
    <row r="215" customHeight="1" spans="1:3">
      <c r="A215" s="4">
        <v>45607</v>
      </c>
      <c r="B215" s="2">
        <v>230.1</v>
      </c>
      <c r="C215" s="3">
        <v>1450</v>
      </c>
    </row>
    <row r="216" customHeight="1" spans="1:3">
      <c r="A216" s="4">
        <v>45608</v>
      </c>
      <c r="B216" s="2">
        <v>230.4</v>
      </c>
      <c r="C216" s="3">
        <v>1490</v>
      </c>
    </row>
    <row r="217" customHeight="1" spans="1:3">
      <c r="A217" s="4">
        <v>45609</v>
      </c>
      <c r="B217" s="2">
        <v>228.8</v>
      </c>
      <c r="C217" s="3">
        <v>1480</v>
      </c>
    </row>
    <row r="218" customHeight="1" spans="1:3">
      <c r="A218" s="4">
        <v>45610</v>
      </c>
      <c r="B218" s="2">
        <v>229.28</v>
      </c>
      <c r="C218" s="3">
        <v>1480</v>
      </c>
    </row>
    <row r="219" customHeight="1" spans="1:3">
      <c r="A219" s="4">
        <v>45611</v>
      </c>
      <c r="B219" s="2">
        <v>228.7</v>
      </c>
      <c r="C219" s="3">
        <v>1480</v>
      </c>
    </row>
    <row r="220" customHeight="1" spans="1:3">
      <c r="A220" s="4">
        <v>45614</v>
      </c>
      <c r="B220" s="2">
        <v>226.7</v>
      </c>
      <c r="C220" s="3">
        <v>1495</v>
      </c>
    </row>
    <row r="221" customHeight="1" spans="1:3">
      <c r="A221" s="4">
        <v>45615</v>
      </c>
      <c r="B221" s="2">
        <v>225.8</v>
      </c>
      <c r="C221" s="3">
        <v>1530</v>
      </c>
    </row>
    <row r="222" customHeight="1" spans="1:3">
      <c r="A222" s="4">
        <v>45616</v>
      </c>
      <c r="B222" s="2">
        <v>222.7</v>
      </c>
      <c r="C222" s="3">
        <v>1565</v>
      </c>
    </row>
    <row r="223" customHeight="1" spans="1:3">
      <c r="A223" s="4">
        <v>45617</v>
      </c>
      <c r="B223" s="2">
        <v>220.94</v>
      </c>
      <c r="C223" s="3">
        <v>1565</v>
      </c>
    </row>
    <row r="224" customHeight="1" spans="1:3">
      <c r="A224" s="4">
        <v>45618</v>
      </c>
      <c r="B224" s="2">
        <v>220.55</v>
      </c>
      <c r="C224" s="3">
        <v>1580</v>
      </c>
    </row>
    <row r="225" customHeight="1" spans="1:3">
      <c r="A225" s="4">
        <v>45621</v>
      </c>
      <c r="B225" s="2">
        <v>216.9</v>
      </c>
      <c r="C225" s="3">
        <v>1580</v>
      </c>
    </row>
    <row r="226" customHeight="1" spans="1:3">
      <c r="A226" s="4">
        <v>45622</v>
      </c>
      <c r="B226" s="2">
        <v>216.7</v>
      </c>
      <c r="C226" s="3">
        <v>1580</v>
      </c>
    </row>
    <row r="227" customHeight="1" spans="1:3">
      <c r="A227" s="4">
        <v>45623</v>
      </c>
      <c r="B227" s="2">
        <v>216.3</v>
      </c>
      <c r="C227" s="3">
        <v>1565</v>
      </c>
    </row>
    <row r="228" customHeight="1" spans="1:3">
      <c r="A228" s="4">
        <v>45624</v>
      </c>
      <c r="B228" s="2">
        <v>218.6</v>
      </c>
      <c r="C228" s="3">
        <v>1560</v>
      </c>
    </row>
    <row r="229" customHeight="1" spans="1:3">
      <c r="A229" s="4">
        <v>45625</v>
      </c>
      <c r="B229" s="2">
        <v>217.6</v>
      </c>
      <c r="C229" s="3">
        <v>1520</v>
      </c>
    </row>
    <row r="230" customHeight="1" spans="1:3">
      <c r="A230" s="4">
        <v>45628</v>
      </c>
      <c r="B230" s="2">
        <v>225.74</v>
      </c>
      <c r="C230" s="3">
        <v>1545</v>
      </c>
    </row>
    <row r="231" customHeight="1" spans="1:3">
      <c r="A231" s="4">
        <v>45629</v>
      </c>
      <c r="B231" s="2">
        <v>223.5</v>
      </c>
      <c r="C231" s="3">
        <v>1555</v>
      </c>
    </row>
    <row r="232" customHeight="1" spans="1:3">
      <c r="A232" s="4">
        <v>45630</v>
      </c>
      <c r="B232" s="2">
        <v>224.5</v>
      </c>
      <c r="C232" s="3">
        <v>1545</v>
      </c>
    </row>
    <row r="233" customHeight="1" spans="1:3">
      <c r="A233" s="4">
        <v>45631</v>
      </c>
      <c r="B233" s="2">
        <v>222.8</v>
      </c>
      <c r="C233" s="3">
        <v>1530</v>
      </c>
    </row>
    <row r="234" customHeight="1" spans="1:3">
      <c r="A234" s="4">
        <v>45632</v>
      </c>
      <c r="B234" s="2">
        <v>221.8</v>
      </c>
      <c r="C234" s="3">
        <v>1535</v>
      </c>
    </row>
    <row r="235" customHeight="1" spans="1:3">
      <c r="A235" s="4">
        <v>45635</v>
      </c>
      <c r="B235" s="2">
        <v>220.1</v>
      </c>
      <c r="C235" s="3">
        <v>1540</v>
      </c>
    </row>
    <row r="236" customHeight="1" spans="1:3">
      <c r="A236" s="4">
        <v>45636</v>
      </c>
      <c r="B236" s="2">
        <v>211.85</v>
      </c>
      <c r="C236" s="3">
        <v>1550</v>
      </c>
    </row>
    <row r="237" customHeight="1" spans="1:3">
      <c r="A237" s="4">
        <v>45637</v>
      </c>
      <c r="B237" s="2">
        <v>210.2</v>
      </c>
      <c r="C237" s="3">
        <v>1555</v>
      </c>
    </row>
    <row r="238" customHeight="1" spans="1:3">
      <c r="A238" s="4">
        <v>45638</v>
      </c>
      <c r="B238" s="2">
        <v>213.5</v>
      </c>
      <c r="C238" s="3">
        <v>1555</v>
      </c>
    </row>
    <row r="239" customHeight="1" spans="1:3">
      <c r="A239" s="4">
        <v>45639</v>
      </c>
      <c r="B239" s="2">
        <v>213.3</v>
      </c>
      <c r="C239" s="3">
        <v>1555</v>
      </c>
    </row>
    <row r="240" customHeight="1" spans="1:3">
      <c r="A240" s="4">
        <v>45642</v>
      </c>
      <c r="B240" s="2">
        <v>212.2</v>
      </c>
      <c r="C240" s="3">
        <v>1550</v>
      </c>
    </row>
    <row r="241" customHeight="1" spans="1:3">
      <c r="A241" s="4">
        <v>45643</v>
      </c>
      <c r="B241" s="2">
        <v>211.6</v>
      </c>
      <c r="C241" s="3">
        <v>1545</v>
      </c>
    </row>
    <row r="242" customHeight="1" spans="1:3">
      <c r="A242" s="4">
        <v>45644</v>
      </c>
      <c r="B242" s="2">
        <v>208.95</v>
      </c>
      <c r="C242" s="3">
        <v>1540</v>
      </c>
    </row>
    <row r="243" customHeight="1" spans="1:3">
      <c r="A243" s="4">
        <v>45645</v>
      </c>
      <c r="B243" s="2">
        <v>205.37</v>
      </c>
      <c r="C243" s="3">
        <v>1540</v>
      </c>
    </row>
    <row r="244" customHeight="1" spans="1:3">
      <c r="A244" s="4">
        <v>45646</v>
      </c>
      <c r="B244" s="2">
        <v>203.25</v>
      </c>
      <c r="C244" s="3">
        <v>1530</v>
      </c>
    </row>
    <row r="245" customHeight="1" spans="1:3">
      <c r="A245" s="4">
        <v>45649</v>
      </c>
      <c r="B245" s="2">
        <v>203.16</v>
      </c>
      <c r="C245" s="3">
        <v>1525</v>
      </c>
    </row>
    <row r="246" customHeight="1" spans="1:3">
      <c r="A246" s="4">
        <v>45650</v>
      </c>
      <c r="B246" s="2">
        <v>205.25</v>
      </c>
      <c r="C246" s="3">
        <v>1525</v>
      </c>
    </row>
    <row r="247" customHeight="1" spans="1:3">
      <c r="A247" s="4">
        <v>45651</v>
      </c>
      <c r="B247" s="2">
        <v>204.2</v>
      </c>
      <c r="C247" s="3">
        <v>1535</v>
      </c>
    </row>
    <row r="248" customHeight="1" spans="1:3">
      <c r="A248" s="4">
        <v>45652</v>
      </c>
      <c r="B248" s="2">
        <v>205.25</v>
      </c>
      <c r="C248" s="3">
        <v>1545</v>
      </c>
    </row>
    <row r="249" customHeight="1" spans="1:3">
      <c r="A249" s="4">
        <v>45653</v>
      </c>
      <c r="B249" s="2">
        <v>209.8</v>
      </c>
      <c r="C249" s="3">
        <v>1560</v>
      </c>
    </row>
    <row r="250" customHeight="1" spans="1:3">
      <c r="A250" s="4">
        <v>45656</v>
      </c>
      <c r="B250" s="2">
        <v>213.67</v>
      </c>
      <c r="C250" s="3">
        <v>1560</v>
      </c>
    </row>
    <row r="251" customHeight="1" spans="1:3">
      <c r="A251" s="4">
        <v>45657</v>
      </c>
      <c r="B251" s="2">
        <v>212.3</v>
      </c>
      <c r="C251" s="3">
        <v>1560</v>
      </c>
    </row>
    <row r="252" customHeight="1" spans="1:3">
      <c r="A252" s="4">
        <v>45659</v>
      </c>
      <c r="B252" s="2">
        <v>210.45</v>
      </c>
      <c r="C252" s="3">
        <v>1560</v>
      </c>
    </row>
    <row r="253" customHeight="1" spans="1:3">
      <c r="A253" s="4">
        <v>45660</v>
      </c>
      <c r="B253" s="2">
        <v>210.85</v>
      </c>
      <c r="C253" s="3">
        <v>1565</v>
      </c>
    </row>
    <row r="254" customHeight="1" spans="1:3">
      <c r="A254" s="4">
        <v>45663</v>
      </c>
      <c r="B254" s="2">
        <v>206.85</v>
      </c>
      <c r="C254" s="3">
        <v>1565</v>
      </c>
    </row>
    <row r="255" customHeight="1" spans="1:3">
      <c r="A255" s="4">
        <v>45664</v>
      </c>
      <c r="B255" s="2">
        <v>208.85</v>
      </c>
      <c r="C255" s="3">
        <v>1560</v>
      </c>
    </row>
    <row r="256" customHeight="1" spans="1:3">
      <c r="A256" s="4">
        <v>45665</v>
      </c>
      <c r="B256" s="2">
        <v>208.55</v>
      </c>
      <c r="C256" s="3">
        <v>1550</v>
      </c>
    </row>
    <row r="257" customHeight="1" spans="1:3">
      <c r="A257" s="4">
        <v>45666</v>
      </c>
      <c r="B257" s="2">
        <v>206</v>
      </c>
      <c r="C257" s="3">
        <v>1550</v>
      </c>
    </row>
    <row r="258" customHeight="1" spans="1:3">
      <c r="A258" s="4">
        <v>45667</v>
      </c>
      <c r="B258" s="2">
        <v>204.75</v>
      </c>
      <c r="C258" s="3">
        <v>1550</v>
      </c>
    </row>
    <row r="259" customHeight="1" spans="1:3">
      <c r="A259" s="4">
        <v>45670</v>
      </c>
      <c r="B259" s="2">
        <v>205.3</v>
      </c>
      <c r="C259" s="3">
        <v>1555</v>
      </c>
    </row>
    <row r="260" customHeight="1" spans="1:3">
      <c r="A260" s="4">
        <v>45671</v>
      </c>
      <c r="B260" s="2">
        <v>209.5</v>
      </c>
      <c r="C260" s="3">
        <v>1565</v>
      </c>
    </row>
    <row r="261" customHeight="1" spans="1:3">
      <c r="A261" s="4">
        <v>45672</v>
      </c>
      <c r="B261" s="2">
        <v>207.35</v>
      </c>
      <c r="C261" s="3">
        <v>1565</v>
      </c>
    </row>
    <row r="262" customHeight="1" spans="1:3">
      <c r="A262" s="4">
        <v>45673</v>
      </c>
      <c r="B262" s="2">
        <v>205.4</v>
      </c>
      <c r="C262" s="3">
        <v>1575</v>
      </c>
    </row>
    <row r="263" customHeight="1" spans="1:3">
      <c r="A263" s="4">
        <v>45674</v>
      </c>
      <c r="B263" s="2">
        <v>210.1</v>
      </c>
      <c r="C263" s="3">
        <v>1580</v>
      </c>
    </row>
    <row r="264" customHeight="1" spans="1:3">
      <c r="A264" s="4">
        <v>45677</v>
      </c>
      <c r="B264" s="2">
        <v>206.9</v>
      </c>
      <c r="C264" s="3">
        <v>1575</v>
      </c>
    </row>
    <row r="265" customHeight="1" spans="1:3">
      <c r="A265" s="4">
        <v>45678</v>
      </c>
      <c r="B265" s="2">
        <v>205.8</v>
      </c>
      <c r="C265" s="3">
        <v>1575</v>
      </c>
    </row>
    <row r="266" customHeight="1" spans="1:3">
      <c r="A266" s="4">
        <v>45679</v>
      </c>
      <c r="B266" s="2">
        <v>205</v>
      </c>
      <c r="C266" s="3">
        <v>1575</v>
      </c>
    </row>
    <row r="267" customHeight="1" spans="1:3">
      <c r="A267" s="4">
        <v>45680</v>
      </c>
      <c r="B267" s="2">
        <v>208.7</v>
      </c>
      <c r="C267" s="3">
        <v>1580</v>
      </c>
    </row>
    <row r="268" customHeight="1" spans="1:3">
      <c r="A268" s="4">
        <v>45681</v>
      </c>
      <c r="B268" s="2">
        <v>207.3</v>
      </c>
      <c r="C268" s="3">
        <v>1580</v>
      </c>
    </row>
    <row r="269" customHeight="1" spans="1:3">
      <c r="A269" s="4">
        <v>45683</v>
      </c>
      <c r="B269" s="2">
        <v>207.3</v>
      </c>
      <c r="C269" s="3">
        <v>1580</v>
      </c>
    </row>
    <row r="270" customHeight="1" spans="1:3">
      <c r="A270" s="4">
        <v>45684</v>
      </c>
      <c r="B270" s="2">
        <v>207.3</v>
      </c>
      <c r="C270" s="3">
        <v>1580</v>
      </c>
    </row>
    <row r="271" customHeight="1" spans="1:3">
      <c r="A271" s="4">
        <v>45693</v>
      </c>
      <c r="B271" s="2">
        <v>221.9</v>
      </c>
      <c r="C271" s="3">
        <v>1600</v>
      </c>
    </row>
    <row r="272" customHeight="1" spans="1:3">
      <c r="A272" s="4">
        <v>45694</v>
      </c>
      <c r="B272" s="2">
        <v>220.7</v>
      </c>
      <c r="C272" s="3">
        <v>1640</v>
      </c>
    </row>
    <row r="273" customHeight="1" spans="1:3">
      <c r="A273" s="4">
        <v>45695</v>
      </c>
      <c r="B273" s="2">
        <v>221.8</v>
      </c>
      <c r="C273" s="3">
        <v>1640</v>
      </c>
    </row>
    <row r="274" customHeight="1" spans="1:3">
      <c r="A274" s="4">
        <v>45696</v>
      </c>
      <c r="B274" s="2">
        <v>218.6</v>
      </c>
      <c r="C274" s="3">
        <v>1635</v>
      </c>
    </row>
    <row r="275" customHeight="1" spans="1:3">
      <c r="A275" s="4">
        <v>45698</v>
      </c>
      <c r="B275" s="2">
        <v>218.4</v>
      </c>
      <c r="C275" s="3">
        <v>1640</v>
      </c>
    </row>
    <row r="276" customHeight="1" spans="1:3">
      <c r="A276" s="4">
        <v>45699</v>
      </c>
      <c r="B276" s="2">
        <v>214.7</v>
      </c>
      <c r="C276" s="3">
        <v>1645</v>
      </c>
    </row>
    <row r="277" customHeight="1" spans="1:3">
      <c r="A277" s="4">
        <v>45700</v>
      </c>
      <c r="B277" s="2">
        <v>212.2</v>
      </c>
      <c r="C277" s="3">
        <v>1645</v>
      </c>
    </row>
    <row r="278" customHeight="1" spans="1:3">
      <c r="A278" s="4">
        <v>45701</v>
      </c>
      <c r="B278" s="2">
        <v>209.4</v>
      </c>
      <c r="C278" s="3">
        <v>1650</v>
      </c>
    </row>
    <row r="279" customHeight="1" spans="1:3">
      <c r="A279" s="4">
        <v>45702</v>
      </c>
      <c r="B279" s="2">
        <v>207.7</v>
      </c>
      <c r="C279" s="3">
        <v>1660</v>
      </c>
    </row>
    <row r="280" customHeight="1" spans="1:3">
      <c r="A280" s="4">
        <v>45705</v>
      </c>
      <c r="B280" s="2">
        <v>203.75</v>
      </c>
      <c r="C280" s="3">
        <v>1685</v>
      </c>
    </row>
    <row r="281" customHeight="1" spans="1:3">
      <c r="A281" s="4">
        <v>45706</v>
      </c>
      <c r="B281" s="2">
        <v>202.1</v>
      </c>
      <c r="C281" s="3">
        <v>1700</v>
      </c>
    </row>
    <row r="282" customHeight="1" spans="1:3">
      <c r="A282" s="4">
        <v>45707</v>
      </c>
      <c r="B282" s="2">
        <v>201.5</v>
      </c>
      <c r="C282" s="3">
        <v>1745</v>
      </c>
    </row>
    <row r="283" customHeight="1" spans="1:3">
      <c r="A283" s="4">
        <v>45708</v>
      </c>
      <c r="B283" s="2">
        <v>197.45</v>
      </c>
      <c r="C283" s="3">
        <v>1850</v>
      </c>
    </row>
    <row r="284" customHeight="1" spans="1:3">
      <c r="A284" s="4">
        <v>45709</v>
      </c>
      <c r="B284" s="2">
        <v>195</v>
      </c>
      <c r="C284" s="3">
        <v>1940</v>
      </c>
    </row>
    <row r="285" customHeight="1" spans="1:3">
      <c r="A285" s="4">
        <v>45712</v>
      </c>
      <c r="B285" s="2">
        <v>191</v>
      </c>
      <c r="C285" s="3">
        <v>1940</v>
      </c>
    </row>
    <row r="286" customHeight="1" spans="1:3">
      <c r="A286" s="4">
        <v>45713</v>
      </c>
      <c r="B286" s="2">
        <v>190.5</v>
      </c>
      <c r="C286" s="3">
        <v>2020</v>
      </c>
    </row>
    <row r="287" customHeight="1" spans="1:3">
      <c r="A287" s="4">
        <v>45714</v>
      </c>
      <c r="B287" s="2">
        <v>186.2</v>
      </c>
      <c r="C287" s="3">
        <v>2050</v>
      </c>
    </row>
    <row r="288" customHeight="1" spans="1:3">
      <c r="A288" s="4">
        <v>45715</v>
      </c>
      <c r="B288" s="2">
        <v>183.9</v>
      </c>
      <c r="C288" s="3">
        <v>2045</v>
      </c>
    </row>
    <row r="289" customHeight="1" spans="1:3">
      <c r="A289" s="4">
        <v>45716</v>
      </c>
      <c r="B289" s="2">
        <v>182</v>
      </c>
      <c r="C289" s="3">
        <v>2055</v>
      </c>
    </row>
    <row r="290" customHeight="1" spans="1:3">
      <c r="A290" s="4">
        <v>45719</v>
      </c>
      <c r="B290" s="2">
        <v>176.55</v>
      </c>
      <c r="C290" s="3">
        <v>2170</v>
      </c>
    </row>
    <row r="291" customHeight="1" spans="1:3">
      <c r="A291" s="4">
        <v>45720</v>
      </c>
      <c r="B291" s="2">
        <v>181.85</v>
      </c>
      <c r="C291" s="3">
        <v>2350</v>
      </c>
    </row>
    <row r="292" customHeight="1" spans="1:3">
      <c r="A292" s="4">
        <v>45721</v>
      </c>
      <c r="B292" s="2">
        <v>182.8</v>
      </c>
      <c r="C292" s="3">
        <v>2340</v>
      </c>
    </row>
    <row r="293" customHeight="1" spans="1:3">
      <c r="A293" s="4">
        <v>45722</v>
      </c>
      <c r="B293" s="2">
        <v>184.71</v>
      </c>
      <c r="C293" s="3">
        <v>2360</v>
      </c>
    </row>
    <row r="294" customHeight="1" spans="1:3">
      <c r="A294" s="4">
        <v>45723</v>
      </c>
      <c r="B294" s="2">
        <v>185.8</v>
      </c>
      <c r="C294" s="3">
        <v>2350</v>
      </c>
    </row>
    <row r="295" customHeight="1" spans="1:3">
      <c r="A295" s="4">
        <v>45726</v>
      </c>
      <c r="B295" s="2">
        <v>185.3</v>
      </c>
      <c r="C295" s="3">
        <v>2320</v>
      </c>
    </row>
    <row r="296" customHeight="1" spans="1:3">
      <c r="A296" s="4">
        <v>45727</v>
      </c>
      <c r="B296" s="2">
        <v>187.65</v>
      </c>
      <c r="C296" s="3">
        <v>2340</v>
      </c>
    </row>
    <row r="297" customHeight="1" spans="1:3">
      <c r="A297" s="4">
        <v>45728</v>
      </c>
      <c r="B297" s="2">
        <v>185.56</v>
      </c>
      <c r="C297" s="3">
        <v>2350</v>
      </c>
    </row>
    <row r="298" customHeight="1" spans="1:3">
      <c r="A298" s="4">
        <v>45729</v>
      </c>
      <c r="B298" s="2">
        <v>190.8</v>
      </c>
      <c r="C298" s="3">
        <v>2350</v>
      </c>
    </row>
    <row r="299" customHeight="1" spans="1:3">
      <c r="A299" s="4">
        <v>45730</v>
      </c>
      <c r="B299" s="2">
        <v>190.5</v>
      </c>
      <c r="C299" s="3">
        <v>2345</v>
      </c>
    </row>
    <row r="300" customHeight="1" spans="1:3">
      <c r="A300" s="4">
        <v>45733</v>
      </c>
      <c r="B300" s="2">
        <v>190.17</v>
      </c>
      <c r="C300" s="3">
        <v>2430</v>
      </c>
    </row>
    <row r="301" customHeight="1" spans="1:3">
      <c r="A301" s="4">
        <v>45734</v>
      </c>
      <c r="B301" s="2">
        <v>184.15</v>
      </c>
      <c r="C301" s="3">
        <v>2450</v>
      </c>
    </row>
    <row r="302" customHeight="1" spans="1:3">
      <c r="A302" s="4">
        <v>45735</v>
      </c>
      <c r="B302" s="2">
        <v>185.9</v>
      </c>
      <c r="C302" s="3">
        <v>2460</v>
      </c>
    </row>
    <row r="303" customHeight="1" spans="1:3">
      <c r="A303" s="4">
        <v>45736</v>
      </c>
      <c r="B303" s="2">
        <v>182.75</v>
      </c>
      <c r="C303" s="3">
        <v>2440</v>
      </c>
    </row>
    <row r="304" customHeight="1" spans="1:3">
      <c r="A304" s="4">
        <v>45737</v>
      </c>
      <c r="B304" s="2">
        <v>191.8</v>
      </c>
      <c r="C304" s="3">
        <v>2440</v>
      </c>
    </row>
    <row r="305" customHeight="1" spans="1:3">
      <c r="A305" s="4">
        <v>45740</v>
      </c>
      <c r="B305" s="2">
        <v>188.2</v>
      </c>
      <c r="C305" s="3">
        <v>2450</v>
      </c>
    </row>
    <row r="306" customHeight="1" spans="1:3">
      <c r="A306" s="4">
        <v>45741</v>
      </c>
      <c r="B306" s="2">
        <v>183.5</v>
      </c>
      <c r="C306" s="3">
        <v>2450</v>
      </c>
    </row>
    <row r="307" customHeight="1" spans="1:3">
      <c r="A307" s="4">
        <v>45742</v>
      </c>
      <c r="B307" s="2">
        <v>182.2</v>
      </c>
      <c r="C307" s="3">
        <v>2455</v>
      </c>
    </row>
    <row r="308" customHeight="1" spans="1:3">
      <c r="A308" s="4">
        <v>45743</v>
      </c>
      <c r="B308" s="2">
        <v>180.75</v>
      </c>
      <c r="C308" s="3">
        <v>2455</v>
      </c>
    </row>
    <row r="309" customHeight="1" spans="1:3">
      <c r="A309" s="4">
        <v>45744</v>
      </c>
      <c r="B309" s="2">
        <v>179.9</v>
      </c>
      <c r="C309" s="3">
        <v>2460</v>
      </c>
    </row>
    <row r="310" customHeight="1" spans="1:3">
      <c r="A310" s="4">
        <v>45747</v>
      </c>
      <c r="B310" s="2">
        <v>170.75</v>
      </c>
      <c r="C310" s="3">
        <v>2460</v>
      </c>
    </row>
    <row r="311" customHeight="1" spans="1:3">
      <c r="A311" s="4">
        <v>45748</v>
      </c>
      <c r="B311" s="2">
        <v>170.65</v>
      </c>
      <c r="C311" s="3">
        <v>2460</v>
      </c>
    </row>
    <row r="312" customHeight="1" spans="1:3">
      <c r="A312" s="4">
        <v>45749</v>
      </c>
      <c r="B312" s="2">
        <v>172.3</v>
      </c>
      <c r="C312" s="3">
        <v>2455</v>
      </c>
    </row>
    <row r="313" customHeight="1" spans="1:3">
      <c r="A313" s="4">
        <v>45750</v>
      </c>
      <c r="B313" s="2">
        <v>174.3</v>
      </c>
      <c r="C313" s="3">
        <v>2455</v>
      </c>
    </row>
    <row r="314" customHeight="1" spans="1:3">
      <c r="A314" s="4">
        <v>45754</v>
      </c>
      <c r="B314" s="2">
        <v>182.3</v>
      </c>
      <c r="C314" s="3">
        <v>2440</v>
      </c>
    </row>
    <row r="315" customHeight="1" spans="1:3">
      <c r="A315" s="4">
        <v>45755</v>
      </c>
      <c r="B315" s="2">
        <v>185.8</v>
      </c>
      <c r="C315" s="3">
        <v>2400</v>
      </c>
    </row>
    <row r="316" customHeight="1" spans="1:3">
      <c r="A316" s="4">
        <v>45756</v>
      </c>
      <c r="B316" s="2">
        <v>184.8</v>
      </c>
      <c r="C316" s="3">
        <v>2320</v>
      </c>
    </row>
    <row r="317" customHeight="1" spans="1:3">
      <c r="A317" s="4">
        <v>45757</v>
      </c>
      <c r="B317" s="2">
        <v>187.13</v>
      </c>
      <c r="C317" s="3">
        <v>2350</v>
      </c>
    </row>
    <row r="318" customHeight="1" spans="1:3">
      <c r="A318" s="4">
        <v>45758</v>
      </c>
      <c r="B318" s="2">
        <v>186.13</v>
      </c>
      <c r="C318" s="3">
        <v>2355</v>
      </c>
    </row>
    <row r="319" customHeight="1" spans="1:3">
      <c r="A319" s="4">
        <v>45761</v>
      </c>
      <c r="B319" s="2">
        <v>189.01</v>
      </c>
      <c r="C319" s="3">
        <v>2350</v>
      </c>
    </row>
    <row r="320" customHeight="1" spans="1:3">
      <c r="A320" s="4">
        <v>45762</v>
      </c>
      <c r="B320" s="2">
        <v>188.01</v>
      </c>
      <c r="C320" s="3">
        <v>2350</v>
      </c>
    </row>
    <row r="321" customHeight="1" spans="1:3">
      <c r="A321" s="4">
        <v>45763</v>
      </c>
      <c r="B321" s="2">
        <v>187.27</v>
      </c>
      <c r="C321" s="3">
        <v>2310</v>
      </c>
    </row>
    <row r="322" customHeight="1" spans="1:3">
      <c r="A322" s="4">
        <v>45764</v>
      </c>
      <c r="B322" s="2">
        <v>189.21</v>
      </c>
      <c r="C322" s="3">
        <v>2290</v>
      </c>
    </row>
    <row r="323" customHeight="1" spans="1:3">
      <c r="A323" s="4">
        <v>45765</v>
      </c>
      <c r="B323" s="2">
        <v>187.31</v>
      </c>
      <c r="C323" s="3">
        <v>2290</v>
      </c>
    </row>
    <row r="324" customHeight="1" spans="1:3">
      <c r="A324" s="4">
        <v>45768</v>
      </c>
      <c r="B324" s="2">
        <v>190.15</v>
      </c>
      <c r="C324" s="3">
        <v>2350</v>
      </c>
    </row>
    <row r="325" customHeight="1" spans="1:3">
      <c r="A325" s="4">
        <v>45769</v>
      </c>
      <c r="B325" s="2">
        <v>189.65</v>
      </c>
      <c r="C325" s="3">
        <v>2365</v>
      </c>
    </row>
    <row r="326" customHeight="1" spans="1:3">
      <c r="A326" s="4">
        <v>45770</v>
      </c>
      <c r="B326" s="2">
        <v>187.6</v>
      </c>
      <c r="C326" s="3">
        <v>2360</v>
      </c>
    </row>
    <row r="327" customHeight="1" spans="1:3">
      <c r="A327" s="4">
        <v>45771</v>
      </c>
      <c r="B327" s="2">
        <v>191.6</v>
      </c>
      <c r="C327" s="3">
        <v>2355</v>
      </c>
    </row>
    <row r="328" customHeight="1" spans="1:3">
      <c r="A328" s="4">
        <v>45772</v>
      </c>
      <c r="B328" s="2">
        <v>191.2</v>
      </c>
      <c r="C328" s="3">
        <v>2355</v>
      </c>
    </row>
    <row r="329" customHeight="1" spans="1:3">
      <c r="A329" s="4">
        <v>45774</v>
      </c>
      <c r="B329" s="2">
        <v>193.4</v>
      </c>
      <c r="C329" s="3">
        <v>2450</v>
      </c>
    </row>
    <row r="330" customHeight="1" spans="1:3">
      <c r="A330" s="4">
        <v>45775</v>
      </c>
      <c r="B330" s="2">
        <v>195.8</v>
      </c>
      <c r="C330" s="3">
        <v>2420</v>
      </c>
    </row>
    <row r="331" customHeight="1" spans="1:3">
      <c r="A331" s="4">
        <v>45776</v>
      </c>
      <c r="B331" s="2">
        <v>194.8</v>
      </c>
      <c r="C331" s="3">
        <v>2445</v>
      </c>
    </row>
    <row r="332" customHeight="1" spans="1:3">
      <c r="A332" s="4">
        <v>45777</v>
      </c>
      <c r="B332" s="2">
        <v>198.33</v>
      </c>
      <c r="C332" s="3">
        <v>2550</v>
      </c>
    </row>
    <row r="333" customHeight="1" spans="1:3">
      <c r="A333" s="1">
        <v>45783</v>
      </c>
      <c r="B333" s="2">
        <v>200.74</v>
      </c>
      <c r="C333" s="3">
        <v>2600</v>
      </c>
    </row>
    <row r="334" customHeight="1" spans="1:3">
      <c r="A334" s="1">
        <v>45784</v>
      </c>
      <c r="B334" s="2">
        <v>199.95</v>
      </c>
      <c r="C334" s="3">
        <v>2600</v>
      </c>
    </row>
    <row r="335" customHeight="1" spans="1:3">
      <c r="A335" s="1">
        <v>45785</v>
      </c>
      <c r="B335" s="2">
        <v>201.7</v>
      </c>
      <c r="C335" s="3">
        <v>2600</v>
      </c>
    </row>
    <row r="336" customHeight="1" spans="1:3">
      <c r="A336" s="1">
        <v>45786</v>
      </c>
      <c r="B336" s="2">
        <v>201.3</v>
      </c>
      <c r="C336" s="3">
        <v>2600</v>
      </c>
    </row>
    <row r="337" customHeight="1" spans="1:3">
      <c r="A337" s="1">
        <v>45789</v>
      </c>
      <c r="B337" s="2">
        <v>198.45</v>
      </c>
      <c r="C337" s="3">
        <v>2600</v>
      </c>
    </row>
    <row r="338" customHeight="1" spans="1:3">
      <c r="A338" s="1">
        <v>45790</v>
      </c>
      <c r="B338" s="2">
        <v>199.45</v>
      </c>
      <c r="C338" s="3">
        <v>2600</v>
      </c>
    </row>
    <row r="339" customHeight="1" spans="1:3">
      <c r="A339" s="1">
        <v>45791</v>
      </c>
      <c r="B339" s="2">
        <v>197.8</v>
      </c>
      <c r="C339" s="3">
        <v>2570</v>
      </c>
    </row>
    <row r="340" customHeight="1" spans="1:3">
      <c r="A340" s="1">
        <v>45792</v>
      </c>
      <c r="B340" s="2">
        <v>197.95</v>
      </c>
      <c r="C340" s="3">
        <v>2575</v>
      </c>
    </row>
    <row r="341" customHeight="1" spans="1:3">
      <c r="A341" s="1">
        <v>45793</v>
      </c>
      <c r="B341" s="2">
        <v>196.85</v>
      </c>
      <c r="C341" s="3">
        <v>2560</v>
      </c>
    </row>
    <row r="342" customHeight="1" spans="1:3">
      <c r="A342" s="1">
        <v>45796</v>
      </c>
      <c r="B342" s="2">
        <v>195.38</v>
      </c>
      <c r="C342" s="3">
        <v>2525</v>
      </c>
    </row>
    <row r="343" customHeight="1" spans="1:3">
      <c r="A343" s="1">
        <v>45797</v>
      </c>
      <c r="B343" s="2">
        <v>195.25</v>
      </c>
      <c r="C343" s="3">
        <v>2490</v>
      </c>
    </row>
    <row r="344" customHeight="1" spans="1:3">
      <c r="A344" s="1">
        <v>45798</v>
      </c>
      <c r="B344" s="2">
        <v>195.52</v>
      </c>
      <c r="C344" s="3">
        <v>2490</v>
      </c>
    </row>
    <row r="345" customHeight="1" spans="1:3">
      <c r="A345" s="1">
        <v>45799</v>
      </c>
      <c r="B345" s="2">
        <v>195.42</v>
      </c>
      <c r="C345" s="3">
        <v>2485</v>
      </c>
    </row>
    <row r="346" customHeight="1" spans="1:3">
      <c r="A346" s="1">
        <v>45800</v>
      </c>
      <c r="B346" s="2">
        <v>194.52</v>
      </c>
      <c r="C346" s="3">
        <v>2490</v>
      </c>
    </row>
    <row r="347" customHeight="1" spans="1:3">
      <c r="A347" s="1">
        <v>45803</v>
      </c>
      <c r="B347" s="2">
        <v>200.1</v>
      </c>
      <c r="C347" s="3">
        <v>2515</v>
      </c>
    </row>
    <row r="348" customHeight="1" spans="1:3">
      <c r="A348" s="1">
        <v>45804</v>
      </c>
      <c r="B348" s="2">
        <v>199.5</v>
      </c>
      <c r="C348" s="3">
        <v>2490</v>
      </c>
    </row>
    <row r="349" customHeight="1" spans="1:3">
      <c r="A349" s="1">
        <v>45805</v>
      </c>
      <c r="B349" s="2">
        <v>198.4</v>
      </c>
      <c r="C349" s="3">
        <v>2475</v>
      </c>
    </row>
    <row r="350" customHeight="1" spans="1:3">
      <c r="A350" s="1">
        <v>45806</v>
      </c>
      <c r="B350" s="2">
        <v>199.5</v>
      </c>
      <c r="C350" s="3">
        <v>2440</v>
      </c>
    </row>
    <row r="351" customHeight="1" spans="1:3">
      <c r="A351" s="1">
        <v>45807</v>
      </c>
      <c r="B351" s="2">
        <v>200.5</v>
      </c>
      <c r="C351" s="3">
        <v>2400</v>
      </c>
    </row>
    <row r="352" customHeight="1" spans="1:3">
      <c r="A352" s="1">
        <v>45811</v>
      </c>
      <c r="B352" s="2">
        <v>206.53</v>
      </c>
      <c r="C352" s="3">
        <v>2390</v>
      </c>
    </row>
    <row r="353" customHeight="1" spans="1:3">
      <c r="A353" s="1">
        <v>45812</v>
      </c>
      <c r="B353" s="2">
        <v>206.5</v>
      </c>
      <c r="C353" s="3">
        <v>2280</v>
      </c>
    </row>
    <row r="354" customHeight="1" spans="1:3">
      <c r="A354" s="1">
        <v>45813</v>
      </c>
      <c r="B354" s="2">
        <v>204.83</v>
      </c>
      <c r="C354" s="3">
        <v>2280</v>
      </c>
    </row>
    <row r="355" customHeight="1" spans="1:3">
      <c r="A355" s="1">
        <v>45814</v>
      </c>
      <c r="B355" s="2">
        <v>204.8</v>
      </c>
      <c r="C355" s="3">
        <v>2285</v>
      </c>
    </row>
    <row r="356" customHeight="1" spans="1:3">
      <c r="A356" s="1">
        <v>45817</v>
      </c>
      <c r="B356" s="2">
        <v>216.38</v>
      </c>
      <c r="C356" s="3">
        <v>2285</v>
      </c>
    </row>
    <row r="357" customHeight="1" spans="1:3">
      <c r="A357" s="1">
        <v>45818</v>
      </c>
      <c r="B357" s="2">
        <v>220.45</v>
      </c>
      <c r="C357" s="3">
        <v>2275</v>
      </c>
    </row>
    <row r="358" customHeight="1" spans="1:3">
      <c r="A358" s="1">
        <v>45819</v>
      </c>
      <c r="B358" s="2">
        <v>217.93</v>
      </c>
      <c r="C358" s="3">
        <v>2275</v>
      </c>
    </row>
    <row r="359" customHeight="1" spans="1:3">
      <c r="A359" s="1">
        <v>45820</v>
      </c>
      <c r="B359" s="2">
        <v>214.48</v>
      </c>
      <c r="C359" s="3">
        <v>2260</v>
      </c>
    </row>
    <row r="360" customHeight="1" spans="1:3">
      <c r="A360" s="1">
        <v>45821</v>
      </c>
      <c r="B360" s="2">
        <v>214.6</v>
      </c>
      <c r="C360" s="3">
        <v>2300</v>
      </c>
    </row>
    <row r="361" customHeight="1" spans="1:3">
      <c r="A361" s="1">
        <v>45824</v>
      </c>
      <c r="B361" s="2">
        <v>215.8</v>
      </c>
      <c r="C361" s="3">
        <v>2430</v>
      </c>
    </row>
    <row r="362" customHeight="1" spans="1:3">
      <c r="A362" s="1">
        <v>45825</v>
      </c>
      <c r="B362" s="2">
        <v>214.25</v>
      </c>
      <c r="C362" s="3">
        <v>2450</v>
      </c>
    </row>
    <row r="363" customHeight="1" spans="1:3">
      <c r="A363" s="1">
        <v>45826</v>
      </c>
      <c r="B363" s="2">
        <v>213.53</v>
      </c>
      <c r="C363" s="3">
        <v>2460</v>
      </c>
    </row>
    <row r="364" customHeight="1" spans="1:3">
      <c r="A364" s="1">
        <v>45827</v>
      </c>
      <c r="B364" s="2">
        <v>215.96</v>
      </c>
      <c r="C364" s="3">
        <v>2460</v>
      </c>
    </row>
    <row r="365" customHeight="1" spans="1:3">
      <c r="A365" s="1">
        <v>45828</v>
      </c>
      <c r="B365" s="2">
        <v>215.73</v>
      </c>
      <c r="C365" s="3">
        <v>2460</v>
      </c>
    </row>
    <row r="366" customHeight="1" spans="1:3">
      <c r="A366" s="1">
        <v>45831</v>
      </c>
      <c r="B366" s="2">
        <v>217.63</v>
      </c>
      <c r="C366" s="3">
        <v>2470</v>
      </c>
    </row>
    <row r="367" customHeight="1" spans="1:3">
      <c r="A367" s="1">
        <v>45832</v>
      </c>
      <c r="B367" s="2">
        <v>218.6</v>
      </c>
      <c r="C367" s="3">
        <v>2395</v>
      </c>
    </row>
    <row r="368" customHeight="1" spans="1:3">
      <c r="A368" s="1">
        <v>45833</v>
      </c>
      <c r="B368" s="2">
        <v>219</v>
      </c>
      <c r="C368" s="3">
        <v>2320</v>
      </c>
    </row>
    <row r="369" customHeight="1" spans="1:3">
      <c r="A369" s="1">
        <v>45834</v>
      </c>
      <c r="B369" s="2">
        <v>219.95</v>
      </c>
      <c r="C369" s="3">
        <v>2325</v>
      </c>
    </row>
    <row r="370" customHeight="1" spans="1:3">
      <c r="A370" s="1">
        <v>45835</v>
      </c>
      <c r="B370" s="2">
        <v>218.62</v>
      </c>
      <c r="C370" s="3">
        <v>2320</v>
      </c>
    </row>
    <row r="371" customHeight="1" spans="1:3">
      <c r="A371" s="1">
        <v>45838</v>
      </c>
      <c r="B371" s="2">
        <v>232.29</v>
      </c>
      <c r="C371" s="3">
        <v>2320</v>
      </c>
    </row>
    <row r="372" customHeight="1" spans="1:3">
      <c r="A372" s="1">
        <v>45839</v>
      </c>
      <c r="B372" s="2">
        <v>231.49</v>
      </c>
      <c r="C372" s="3">
        <v>2315</v>
      </c>
    </row>
    <row r="373" customHeight="1" spans="1:3">
      <c r="A373" s="1">
        <v>45840</v>
      </c>
      <c r="B373" s="2">
        <v>231.89</v>
      </c>
      <c r="C373" s="3">
        <v>2315</v>
      </c>
    </row>
    <row r="374" customHeight="1" spans="1:3">
      <c r="A374" s="1">
        <v>45841</v>
      </c>
      <c r="B374" s="2">
        <v>231.59</v>
      </c>
      <c r="C374" s="3">
        <v>2290</v>
      </c>
    </row>
    <row r="375" customHeight="1" spans="1:3">
      <c r="A375" s="1">
        <v>45842</v>
      </c>
      <c r="B375" s="2">
        <v>229.19</v>
      </c>
      <c r="C375" s="3">
        <v>2285</v>
      </c>
    </row>
    <row r="376" customHeight="1" spans="1:3">
      <c r="A376" s="1">
        <v>45845</v>
      </c>
      <c r="B376" s="2">
        <v>241.56</v>
      </c>
      <c r="C376" s="3">
        <v>2285</v>
      </c>
    </row>
    <row r="377" customHeight="1" spans="1:3">
      <c r="A377" s="1">
        <v>45846</v>
      </c>
      <c r="B377" s="2">
        <v>241.45</v>
      </c>
      <c r="C377" s="3">
        <v>2295</v>
      </c>
    </row>
    <row r="378" customHeight="1" spans="1:3">
      <c r="A378" s="1">
        <v>45847</v>
      </c>
      <c r="B378" s="2">
        <v>239.45</v>
      </c>
      <c r="C378" s="3">
        <v>2305</v>
      </c>
    </row>
    <row r="379" customHeight="1" spans="1:3">
      <c r="A379" s="1">
        <v>45848</v>
      </c>
      <c r="B379" s="2">
        <v>238.95</v>
      </c>
      <c r="C379" s="3">
        <v>2330</v>
      </c>
    </row>
    <row r="380" customHeight="1" spans="1:3">
      <c r="A380" s="1">
        <v>45849</v>
      </c>
      <c r="B380" s="2">
        <v>238.45</v>
      </c>
      <c r="C380" s="3">
        <v>2340</v>
      </c>
    </row>
    <row r="381" customHeight="1" spans="1:3">
      <c r="A381" s="1">
        <v>45852</v>
      </c>
      <c r="B381" s="2">
        <v>244.39</v>
      </c>
      <c r="C381" s="3">
        <v>2360</v>
      </c>
    </row>
    <row r="382" customHeight="1" spans="1:3">
      <c r="A382" s="1">
        <v>45853</v>
      </c>
      <c r="B382" s="2">
        <v>244.45</v>
      </c>
      <c r="C382" s="3">
        <v>2385</v>
      </c>
    </row>
    <row r="383" customHeight="1" spans="1:3">
      <c r="A383" s="1">
        <v>45854</v>
      </c>
      <c r="B383" s="2">
        <v>243.33</v>
      </c>
      <c r="C383" s="3">
        <v>2370</v>
      </c>
    </row>
    <row r="384" customHeight="1" spans="1:3">
      <c r="A384" s="1">
        <v>45855</v>
      </c>
      <c r="B384" s="2">
        <v>242.39</v>
      </c>
      <c r="C384" s="3">
        <v>2360</v>
      </c>
    </row>
    <row r="385" customHeight="1" spans="1:3">
      <c r="A385" s="1">
        <v>45856</v>
      </c>
      <c r="B385" s="2">
        <v>245.89</v>
      </c>
      <c r="C385" s="3">
        <v>2345</v>
      </c>
    </row>
    <row r="386" customHeight="1" spans="1:3">
      <c r="A386" s="1">
        <v>45859</v>
      </c>
      <c r="B386" s="2">
        <v>242.91</v>
      </c>
      <c r="C386" s="3">
        <v>2350</v>
      </c>
    </row>
    <row r="387" customHeight="1" spans="1:3">
      <c r="A387" s="1">
        <v>45860</v>
      </c>
      <c r="B387" s="2">
        <v>242.66</v>
      </c>
      <c r="C387" s="3">
        <v>2350</v>
      </c>
    </row>
    <row r="388" customHeight="1" spans="1:3">
      <c r="A388" s="1">
        <v>45861</v>
      </c>
      <c r="B388" s="2">
        <v>241.53</v>
      </c>
      <c r="C388" s="3">
        <v>2340</v>
      </c>
    </row>
    <row r="389" customHeight="1" spans="1:3">
      <c r="A389" s="5">
        <v>45862</v>
      </c>
      <c r="B389" s="2">
        <v>247</v>
      </c>
      <c r="C389" s="3">
        <v>2345</v>
      </c>
    </row>
    <row r="390" customHeight="1" spans="1:3">
      <c r="A390" s="5">
        <v>45863</v>
      </c>
      <c r="B390" s="2">
        <v>252.15</v>
      </c>
      <c r="C390" s="3">
        <v>2355</v>
      </c>
    </row>
    <row r="391" customHeight="1" spans="1:3">
      <c r="A391" s="5">
        <v>45866</v>
      </c>
      <c r="B391" s="2">
        <v>250.75</v>
      </c>
      <c r="C391" s="3">
        <v>2365</v>
      </c>
    </row>
    <row r="392" customHeight="1" spans="1:3">
      <c r="A392" s="5">
        <v>45867</v>
      </c>
      <c r="B392" s="2">
        <v>248.8</v>
      </c>
      <c r="C392" s="3">
        <v>2375</v>
      </c>
    </row>
    <row r="393" customHeight="1" spans="1:3">
      <c r="A393" s="5">
        <v>45868</v>
      </c>
      <c r="B393" s="2">
        <v>247.59</v>
      </c>
      <c r="C393" s="3">
        <v>2370</v>
      </c>
    </row>
    <row r="394" customHeight="1" spans="1:3">
      <c r="A394" s="5">
        <v>45869</v>
      </c>
      <c r="B394" s="2">
        <v>248.28</v>
      </c>
      <c r="C394" s="3">
        <v>2370</v>
      </c>
    </row>
    <row r="395" customHeight="1" spans="1:3">
      <c r="A395" s="5">
        <v>45870</v>
      </c>
      <c r="B395" s="2">
        <v>247.75</v>
      </c>
      <c r="C395" s="3">
        <v>2370</v>
      </c>
    </row>
    <row r="396" customHeight="1" spans="1:3">
      <c r="A396" s="5">
        <v>45873</v>
      </c>
      <c r="B396" s="2">
        <v>246.8</v>
      </c>
      <c r="C396" s="3">
        <v>2375</v>
      </c>
    </row>
    <row r="397" customHeight="1" spans="1:3">
      <c r="A397" s="5">
        <v>45874</v>
      </c>
      <c r="B397" s="2">
        <v>246.34</v>
      </c>
      <c r="C397" s="3">
        <v>2375</v>
      </c>
    </row>
    <row r="398" customHeight="1" spans="1:3">
      <c r="A398" s="5">
        <v>45875</v>
      </c>
      <c r="B398" s="2">
        <v>245.84</v>
      </c>
      <c r="C398" s="3">
        <v>2380</v>
      </c>
    </row>
    <row r="399" customHeight="1" spans="1:3">
      <c r="A399" s="5">
        <v>45876</v>
      </c>
      <c r="B399" s="2">
        <v>246.34</v>
      </c>
      <c r="C399" s="3">
        <v>2420</v>
      </c>
    </row>
    <row r="400" customHeight="1" spans="1:3">
      <c r="A400" s="5">
        <v>45877</v>
      </c>
      <c r="B400" s="2">
        <v>247.2</v>
      </c>
      <c r="C400" s="3">
        <v>2430</v>
      </c>
    </row>
    <row r="401" customHeight="1" spans="1:3">
      <c r="A401" s="5">
        <v>45880</v>
      </c>
      <c r="B401" s="2">
        <v>252.05</v>
      </c>
      <c r="C401" s="3">
        <v>2455</v>
      </c>
    </row>
    <row r="402" customHeight="1" spans="1:3">
      <c r="A402" s="5">
        <v>45881</v>
      </c>
      <c r="B402" s="2">
        <v>251.6</v>
      </c>
      <c r="C402" s="3">
        <v>2475</v>
      </c>
    </row>
    <row r="403" customHeight="1" spans="1:3">
      <c r="A403" s="5">
        <v>45882</v>
      </c>
      <c r="B403" s="2">
        <v>250.3</v>
      </c>
      <c r="C403" s="3">
        <v>2485</v>
      </c>
    </row>
    <row r="404" customHeight="1" spans="1:3">
      <c r="A404" s="5">
        <v>45883</v>
      </c>
      <c r="B404" s="2">
        <v>248.56</v>
      </c>
      <c r="C404" s="3">
        <v>2490</v>
      </c>
    </row>
    <row r="405" customHeight="1" spans="1:3">
      <c r="A405" s="5">
        <v>45884</v>
      </c>
      <c r="B405" s="2">
        <v>244.26</v>
      </c>
      <c r="C405" s="3">
        <v>2520</v>
      </c>
    </row>
    <row r="406" customHeight="1" spans="1:3">
      <c r="A406" s="5">
        <v>45887</v>
      </c>
      <c r="B406" s="2">
        <v>243.7</v>
      </c>
      <c r="C406" s="3">
        <v>2520</v>
      </c>
    </row>
    <row r="407" customHeight="1" spans="1:3">
      <c r="A407" s="5">
        <v>45888</v>
      </c>
      <c r="B407" s="2">
        <v>243.6</v>
      </c>
      <c r="C407" s="3">
        <v>2520</v>
      </c>
    </row>
    <row r="408" customHeight="1" spans="1:3">
      <c r="A408" s="5">
        <v>45889</v>
      </c>
      <c r="B408" s="2">
        <v>237.29</v>
      </c>
      <c r="C408" s="3">
        <v>2540</v>
      </c>
    </row>
    <row r="409" customHeight="1" spans="1:3">
      <c r="A409" s="5">
        <v>45890</v>
      </c>
      <c r="B409" s="2">
        <v>237.1</v>
      </c>
      <c r="C409" s="3">
        <v>2560</v>
      </c>
    </row>
    <row r="410" customHeight="1" spans="1:3">
      <c r="A410" s="5">
        <v>45891</v>
      </c>
      <c r="B410" s="2">
        <v>236.65</v>
      </c>
      <c r="C410" s="3">
        <v>2580</v>
      </c>
    </row>
    <row r="411" customHeight="1" spans="1:3">
      <c r="A411" s="5">
        <v>45894</v>
      </c>
      <c r="B411" s="2">
        <v>236.8</v>
      </c>
      <c r="C411" s="3">
        <v>2590</v>
      </c>
    </row>
    <row r="412" customHeight="1" spans="1:3">
      <c r="A412" s="5">
        <v>45895</v>
      </c>
      <c r="B412" s="2">
        <v>234.9</v>
      </c>
      <c r="C412" s="3">
        <v>2610</v>
      </c>
    </row>
    <row r="413" customHeight="1" spans="1:3">
      <c r="A413" s="5">
        <v>45896</v>
      </c>
      <c r="B413" s="2">
        <v>231.25</v>
      </c>
      <c r="C413" s="3">
        <v>2570</v>
      </c>
    </row>
    <row r="414" customHeight="1" spans="1:3">
      <c r="A414" s="5">
        <v>45897</v>
      </c>
      <c r="B414" s="2">
        <v>235.5</v>
      </c>
      <c r="C414" s="3">
        <v>2585</v>
      </c>
    </row>
    <row r="415" customHeight="1" spans="1:3">
      <c r="A415" s="5">
        <v>45898</v>
      </c>
      <c r="B415" s="2">
        <v>238.6</v>
      </c>
      <c r="C415" s="3">
        <v>2620</v>
      </c>
    </row>
    <row r="416" customHeight="1" spans="1:3">
      <c r="A416" s="1">
        <v>45901</v>
      </c>
      <c r="B416" s="2">
        <v>235.8</v>
      </c>
      <c r="C416" s="3">
        <v>2620</v>
      </c>
    </row>
    <row r="417" customHeight="1" spans="1:3">
      <c r="A417" s="1">
        <v>45902</v>
      </c>
      <c r="B417" s="2">
        <v>232.7</v>
      </c>
      <c r="C417" s="3">
        <v>2625</v>
      </c>
    </row>
    <row r="418" customHeight="1" spans="1:3">
      <c r="A418" s="1">
        <v>45903</v>
      </c>
      <c r="B418" s="2">
        <v>231.5</v>
      </c>
      <c r="C418" s="3">
        <v>2615</v>
      </c>
    </row>
    <row r="419" customHeight="1" spans="1:4">
      <c r="A419" s="1">
        <v>45904</v>
      </c>
      <c r="B419" s="2">
        <v>241.3</v>
      </c>
      <c r="C419" s="3">
        <v>2595</v>
      </c>
      <c r="D419" s="3"/>
    </row>
    <row r="420" customHeight="1" spans="1:3">
      <c r="A420" s="1">
        <v>45905</v>
      </c>
      <c r="B420" s="2">
        <v>244.4</v>
      </c>
      <c r="C420" s="3">
        <v>2600</v>
      </c>
    </row>
    <row r="421" customHeight="1" spans="1:3">
      <c r="A421" s="1">
        <v>45908</v>
      </c>
      <c r="B421" s="2">
        <v>240.45</v>
      </c>
      <c r="C421" s="3">
        <v>2610</v>
      </c>
    </row>
    <row r="422" customHeight="1" spans="1:3">
      <c r="A422" s="1">
        <v>45909</v>
      </c>
      <c r="B422" s="2">
        <v>242</v>
      </c>
      <c r="C422" s="3">
        <v>2620</v>
      </c>
    </row>
    <row r="423" customHeight="1" spans="1:3">
      <c r="A423" s="1">
        <v>45910</v>
      </c>
      <c r="B423" s="2">
        <v>241</v>
      </c>
      <c r="C423" s="3">
        <v>2620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WTI原油期货</vt:lpstr>
      <vt:lpstr>黄金期货</vt:lpstr>
      <vt:lpstr>天然气期货</vt:lpstr>
      <vt:lpstr>港存及港价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立涵 张</dc:creator>
  <cp:lastModifiedBy>无敌的皮卡丘</cp:lastModifiedBy>
  <dcterms:created xsi:type="dcterms:W3CDTF">2025-09-02T04:07:00Z</dcterms:created>
  <dcterms:modified xsi:type="dcterms:W3CDTF">2025-09-17T03:38:39Z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883C71FE4F2A40AEBE5BA904CE3D3569_12</vt:lpwstr>
  </property>
  <property fmtid="{D5CDD505-2E9C-101B-9397-08002B2CF9AE}" pid="3" name="KSOProductBuildVer">
    <vt:lpwstr>2052-12.1.0.22529</vt:lpwstr>
  </property>
</Properties>
</file>