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7945" windowHeight="11805" tabRatio="825"/>
  </bookViews>
  <sheets>
    <sheet name="打印-表格（近5年）" sheetId="14" r:id="rId1"/>
    <sheet name="打印-表格（分月分季度)" sheetId="17" r:id="rId2"/>
    <sheet name="打印-走势图（4张18-22）" sheetId="15" r:id="rId3"/>
    <sheet name="打印-走势图（4张17-21)" sheetId="16" r:id="rId4"/>
    <sheet name="走势图 (近5年3张)" sheetId="13" r:id="rId5"/>
    <sheet name="走势图 (近5年1张)" sheetId="12" r:id="rId6"/>
    <sheet name="二铵、煤炭、硫磺、磷矿14年-22年" sheetId="1" r:id="rId7"/>
    <sheet name="走势图" sheetId="9" r:id="rId8"/>
    <sheet name="打印1张" sheetId="11" r:id="rId9"/>
    <sheet name="Sheet2" sheetId="6" r:id="rId10"/>
    <sheet name="Sheet4" sheetId="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6" hidden="1">'二铵、煤炭、硫磺、磷矿14年-22年'!$A$2:$Z$76</definedName>
    <definedName name="_xlnm.Print_Area" localSheetId="1">'打印-表格（分月分季度)'!$A$1:$R$25</definedName>
    <definedName name="_xlnm.Print_Area" localSheetId="3">'打印-走势图（4张17-21)'!$P$1:$AE$40</definedName>
    <definedName name="_xlnm.Print_Area" localSheetId="2">'打印-走势图（4张18-22）'!$P$1:$AE$40</definedName>
    <definedName name="_xlnm.Print_Area" localSheetId="6">'二铵、煤炭、硫磺、磷矿14年-22年'!$O$3:$Z$30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</author>
  </authors>
  <commentList>
    <comment ref="A11" authorId="0">
      <text>
        <r>
          <rPr>
            <b/>
            <sz val="9"/>
            <rFont val="宋体"/>
            <charset val="134"/>
          </rPr>
          <t>到厂价口径
港口价+30元</t>
        </r>
      </text>
    </comment>
  </commentList>
</comments>
</file>

<file path=xl/comments2.xml><?xml version="1.0" encoding="utf-8"?>
<comments xmlns="http://schemas.openxmlformats.org/spreadsheetml/2006/main">
  <authors>
    <author>S</author>
  </authors>
  <commentList>
    <comment ref="A8" authorId="0">
      <text>
        <r>
          <rPr>
            <b/>
            <sz val="9"/>
            <rFont val="宋体"/>
            <charset val="134"/>
          </rPr>
          <t>到厂价口径
港口价+30元</t>
        </r>
      </text>
    </comment>
  </commentList>
</comments>
</file>

<file path=xl/comments3.xml><?xml version="1.0" encoding="utf-8"?>
<comments xmlns="http://schemas.openxmlformats.org/spreadsheetml/2006/main">
  <authors>
    <author>S</author>
  </authors>
  <commentList>
    <comment ref="A8" authorId="0">
      <text>
        <r>
          <rPr>
            <b/>
            <sz val="9"/>
            <rFont val="宋体"/>
            <charset val="134"/>
          </rPr>
          <t>到厂价口径
港口价+30元</t>
        </r>
      </text>
    </comment>
  </commentList>
</comments>
</file>

<file path=xl/comments4.xml><?xml version="1.0" encoding="utf-8"?>
<comments xmlns="http://schemas.openxmlformats.org/spreadsheetml/2006/main">
  <authors>
    <author>S</author>
    <author>作者</author>
  </authors>
  <commentList>
    <comment ref="A4" authorId="0">
      <text>
        <r>
          <rPr>
            <b/>
            <sz val="9"/>
            <rFont val="宋体"/>
            <charset val="134"/>
          </rPr>
          <t>到厂口径
港口+30元</t>
        </r>
      </text>
    </comment>
    <comment ref="BA9" authorId="1">
      <text>
        <r>
          <rPr>
            <b/>
            <sz val="9"/>
            <rFont val="宋体"/>
            <charset val="134"/>
          </rPr>
          <t>28%调为27%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BA9" authorId="0">
      <text>
        <r>
          <rPr>
            <b/>
            <sz val="9"/>
            <rFont val="宋体"/>
            <charset val="134"/>
          </rPr>
          <t>28%调为27%</t>
        </r>
      </text>
    </comment>
  </commentList>
</comments>
</file>

<file path=xl/comments6.xml><?xml version="1.0" encoding="utf-8"?>
<comments xmlns="http://schemas.openxmlformats.org/spreadsheetml/2006/main">
  <authors>
    <author>S</author>
    <author>作者</author>
  </authors>
  <commentList>
    <comment ref="B2" authorId="0">
      <text>
        <r>
          <rPr>
            <b/>
            <sz val="9"/>
            <rFont val="宋体"/>
            <charset val="134"/>
          </rPr>
          <t>口径：国内+出口均价，发货口径</t>
        </r>
        <r>
          <rPr>
            <sz val="9"/>
            <rFont val="宋体"/>
            <charset val="134"/>
          </rPr>
          <t xml:space="preserve">
</t>
        </r>
      </text>
    </comment>
    <comment ref="I2" authorId="0">
      <text>
        <r>
          <rPr>
            <b/>
            <sz val="9"/>
            <rFont val="宋体"/>
            <charset val="134"/>
          </rPr>
          <t>兰花煤到股份到厂价</t>
        </r>
      </text>
    </comment>
    <comment ref="K2" authorId="0">
      <text>
        <r>
          <rPr>
            <b/>
            <sz val="9"/>
            <rFont val="宋体"/>
            <charset val="134"/>
          </rPr>
          <t>口径：隆重的港口现货均价</t>
        </r>
      </text>
    </comment>
    <comment ref="L2" authorId="0">
      <text>
        <r>
          <rPr>
            <b/>
            <sz val="9"/>
            <rFont val="宋体"/>
            <charset val="134"/>
          </rPr>
          <t>口径：宜昌27品级到股份到厂价</t>
        </r>
        <r>
          <rPr>
            <sz val="9"/>
            <rFont val="宋体"/>
            <charset val="134"/>
          </rPr>
          <t xml:space="preserve">
</t>
        </r>
      </text>
    </comment>
    <comment ref="L54" authorId="1">
      <text>
        <r>
          <rPr>
            <b/>
            <sz val="9"/>
            <rFont val="宋体"/>
            <charset val="134"/>
          </rPr>
          <t>28%调为27%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BA9" authorId="0">
      <text>
        <r>
          <rPr>
            <b/>
            <sz val="9"/>
            <rFont val="宋体"/>
            <charset val="134"/>
          </rPr>
          <t>28%调为27%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BA4" authorId="0">
      <text>
        <r>
          <rPr>
            <b/>
            <sz val="9"/>
            <rFont val="宋体"/>
            <charset val="134"/>
          </rPr>
          <t>28%调为27%</t>
        </r>
      </text>
    </comment>
  </commentList>
</comments>
</file>

<file path=xl/sharedStrings.xml><?xml version="1.0" encoding="utf-8"?>
<sst xmlns="http://schemas.openxmlformats.org/spreadsheetml/2006/main" count="972" uniqueCount="186">
  <si>
    <t>二铵、硫磺、磷矿、北方煤价格走势（17年-22年）</t>
  </si>
  <si>
    <t>二铵、硫磺、磷矿石、北方煤18-22年历史价格
（1）二铵均价2873、最高价5705（22年7月）、最低价1987（20年2月、3月）；
（2）硫磺均价1378、最高价4064（22年5月）、最低价554（19年11月）；
（3）27%磷矿均价469、最高价958（22年7月、8月）、最低价328（20年9月、10月）；
（4）兰花煤均价1045、最高价2309（21年10月）、最低价693（20年8月、9月）。
二铵与硫磺、磷矿、北方煤18-22年历史价格比值
（1）二铵与硫磺价格平均比值2.39，最高比值4.74（22年8月）、最低比值1.23（22年4月）；
（2）二铵与磷矿价格平均比值6.14，最高比值8.07（21年4月）、最低比值5.37（20年2月、3月）；
（3）二铵与北方煤价格平均比值2.78，最高比值3.83（22年7月）、最低比值1.62（21年10月）。</t>
  </si>
  <si>
    <t>产品/原料</t>
  </si>
  <si>
    <t>平均</t>
  </si>
  <si>
    <t>18年1月</t>
  </si>
  <si>
    <t>18年2月</t>
  </si>
  <si>
    <t>18年3月</t>
  </si>
  <si>
    <t>18年4月</t>
  </si>
  <si>
    <t>18年5月</t>
  </si>
  <si>
    <t>18年6月</t>
  </si>
  <si>
    <t>18年7月</t>
  </si>
  <si>
    <t>18年8月</t>
  </si>
  <si>
    <t>18年9月</t>
  </si>
  <si>
    <t>18年10月</t>
  </si>
  <si>
    <t>18年11月</t>
  </si>
  <si>
    <t>18年12月</t>
  </si>
  <si>
    <t>19年1月</t>
  </si>
  <si>
    <t>19年2月</t>
  </si>
  <si>
    <t>19年3月</t>
  </si>
  <si>
    <t>19年4月</t>
  </si>
  <si>
    <t>19年5月</t>
  </si>
  <si>
    <t>19年6月</t>
  </si>
  <si>
    <t>19年7月</t>
  </si>
  <si>
    <t>19年8月</t>
  </si>
  <si>
    <t>19年9月</t>
  </si>
  <si>
    <t>19年10月</t>
  </si>
  <si>
    <t>19年11月</t>
  </si>
  <si>
    <t>19年12月</t>
  </si>
  <si>
    <t>20年1月</t>
  </si>
  <si>
    <t>20年2月</t>
  </si>
  <si>
    <t>20年3月</t>
  </si>
  <si>
    <t>20年4月</t>
  </si>
  <si>
    <t>20年5月</t>
  </si>
  <si>
    <t>20年6月</t>
  </si>
  <si>
    <t>20年7月</t>
  </si>
  <si>
    <t>20年8月</t>
  </si>
  <si>
    <t>20年9月</t>
  </si>
  <si>
    <t>20年10月</t>
  </si>
  <si>
    <t>20年11月</t>
  </si>
  <si>
    <t>20年12月</t>
  </si>
  <si>
    <t>21年1月</t>
  </si>
  <si>
    <t>21年2月</t>
  </si>
  <si>
    <t>21年3月</t>
  </si>
  <si>
    <t>21年4月</t>
  </si>
  <si>
    <t>21年5月</t>
  </si>
  <si>
    <t>21年6月</t>
  </si>
  <si>
    <t>21年7月</t>
  </si>
  <si>
    <t>21年8月</t>
  </si>
  <si>
    <t>21年9月</t>
  </si>
  <si>
    <t>21年10月</t>
  </si>
  <si>
    <t>21年11月</t>
  </si>
  <si>
    <t>21年12月</t>
  </si>
  <si>
    <t>22年1月</t>
  </si>
  <si>
    <t>22年2月</t>
  </si>
  <si>
    <t>22年3月</t>
  </si>
  <si>
    <t>22年4月</t>
  </si>
  <si>
    <t>22年5月</t>
  </si>
  <si>
    <t>22年6月</t>
  </si>
  <si>
    <t>22年7月</t>
  </si>
  <si>
    <t>22年8月</t>
  </si>
  <si>
    <t>二铵</t>
  </si>
  <si>
    <t>北方煤（兰花）</t>
  </si>
  <si>
    <t>二铵、硫磺、磷矿价格走势（17年-21年）</t>
  </si>
  <si>
    <t>品种</t>
  </si>
  <si>
    <t>年份</t>
  </si>
  <si>
    <t>分季度</t>
  </si>
  <si>
    <t>分月</t>
  </si>
  <si>
    <t>一季度</t>
  </si>
  <si>
    <t>二季度</t>
  </si>
  <si>
    <t>三季度</t>
  </si>
  <si>
    <t>四季度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</si>
  <si>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</si>
  <si>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</si>
  <si>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</si>
  <si>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</si>
  <si>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</si>
  <si>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</si>
  <si>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</si>
  <si>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</si>
  <si>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</si>
  <si>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</si>
  <si>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</si>
  <si>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</si>
  <si>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17年</t>
  </si>
  <si>
    <t>18年</t>
  </si>
  <si>
    <t>19年</t>
  </si>
  <si>
    <t>20年</t>
  </si>
  <si>
    <t>21年</t>
  </si>
  <si>
    <t>22年</t>
  </si>
  <si>
    <t>硫磺</t>
  </si>
  <si>
    <t>磷矿</t>
  </si>
  <si>
    <t>二铵、硫磺、磷矿、北方煤价格走势（18年-22年）</t>
  </si>
  <si>
    <t>日期</t>
  </si>
  <si>
    <t>14年1月</t>
  </si>
  <si>
    <t>14年2月</t>
  </si>
  <si>
    <t>14年3月</t>
  </si>
  <si>
    <t>14年4月</t>
  </si>
  <si>
    <t>14年5月</t>
  </si>
  <si>
    <t>14年6月</t>
  </si>
  <si>
    <t>14年7月</t>
  </si>
  <si>
    <t>14年8月</t>
  </si>
  <si>
    <t>14年9月</t>
  </si>
  <si>
    <t>14年10月</t>
  </si>
  <si>
    <t>14年11月</t>
  </si>
  <si>
    <t>14年12月</t>
  </si>
  <si>
    <t>15年1月</t>
  </si>
  <si>
    <t>15年2月</t>
  </si>
  <si>
    <t>15年3月</t>
  </si>
  <si>
    <t>15年4月</t>
  </si>
  <si>
    <t>15年5月</t>
  </si>
  <si>
    <t>15年6月</t>
  </si>
  <si>
    <t>15年7月</t>
  </si>
  <si>
    <t>15年8月</t>
  </si>
  <si>
    <t>15年9月</t>
  </si>
  <si>
    <t>15年10月</t>
  </si>
  <si>
    <t>15年11月</t>
  </si>
  <si>
    <t>15年12月</t>
  </si>
  <si>
    <t>16年1月</t>
  </si>
  <si>
    <t>16年2月</t>
  </si>
  <si>
    <t>16年3月</t>
  </si>
  <si>
    <t>16年4月</t>
  </si>
  <si>
    <t>16年5月</t>
  </si>
  <si>
    <t>16年6月</t>
  </si>
  <si>
    <t>16年7月</t>
  </si>
  <si>
    <t>16年8月</t>
  </si>
  <si>
    <t>16年9月</t>
  </si>
  <si>
    <t>16年10月</t>
  </si>
  <si>
    <t>16年11月</t>
  </si>
  <si>
    <t>16年12月</t>
  </si>
  <si>
    <t>17年1月</t>
  </si>
  <si>
    <t>17年2月</t>
  </si>
  <si>
    <t>17年3月</t>
  </si>
  <si>
    <t>17年4月</t>
  </si>
  <si>
    <t>17年5月</t>
  </si>
  <si>
    <t>17年6月</t>
  </si>
  <si>
    <t>17年7月</t>
  </si>
  <si>
    <t>17年8月</t>
  </si>
  <si>
    <t>17年9月</t>
  </si>
  <si>
    <t>17年10月</t>
  </si>
  <si>
    <t>17年11月</t>
  </si>
  <si>
    <t>17年12月</t>
  </si>
  <si>
    <t>价格预测</t>
  </si>
  <si>
    <t>下半年价格</t>
  </si>
  <si>
    <t>硫磺到厂</t>
  </si>
  <si>
    <t>长江港硫磺现货价</t>
  </si>
  <si>
    <t>二铵/硫磺</t>
  </si>
  <si>
    <t>股份27%磷矿</t>
  </si>
  <si>
    <t>二铵/磷矿</t>
  </si>
  <si>
    <t>二铵/北方煤</t>
  </si>
  <si>
    <t>4、紧盯历史价格规律：
二铵、硫磺、磷矿石14-22年历史价格
（1）二铵均价2621、最高价5280（22年6月）、最低价1900（16年10月）。
（2）硫磺港口现货均价1224、最高价4034（22年5月）、最低价524（19年11月）。
（3）27%磷矿石均价417、最高价958（22年7月）、最低价328（20年9、10月）。
二铵与硫磺、磷矿14-22年历史价格比值
（1）二铵与硫磺价格平均比值2.368，最高比值4.018（19年11月）、最低比值1.243（22年4月）。
（2）二铵与磷矿价格平均比值6.314，最高比值8.073（19年11月）、最低比值5.297（22年7月）。
按二铵下半年预测均价4492，参照二铵与硫磺、磷矿历史价格比值对硫磺及磷矿石下半年均价测算：
（1）硫磺：按平均比值测算为1897、按最高比值测算为1118、按最低比值测算为3615。
（2）27%磷矿石：按平均比值测算为711、按最高比值测算为556、按最低比值测算为836。
故对比当前硫磺、磷矿价格：
（1）硫磺当前价2000，下半年达到平均比值需降价103，达到最高比值需降价882。
（2）27%磷矿石当前价958，下半年达到平均比值需降价247，达到最高比值需降价401。</t>
  </si>
  <si>
    <t>原料+辅材+动力+维修+人工+包装</t>
  </si>
  <si>
    <t>尿素</t>
  </si>
  <si>
    <t>氯化铵</t>
  </si>
  <si>
    <t>二铵国际</t>
  </si>
  <si>
    <t>出口</t>
  </si>
  <si>
    <t>国内</t>
  </si>
  <si>
    <t>煤炭价格</t>
  </si>
  <si>
    <t>固定床尿素成本</t>
  </si>
  <si>
    <t>磷矿27%到厂</t>
  </si>
  <si>
    <t>尿素成本</t>
  </si>
  <si>
    <t>春节后价格与春节前对比</t>
  </si>
  <si>
    <t>秋季市场价格与前两月对比</t>
  </si>
  <si>
    <t>尿素分月产量</t>
  </si>
  <si>
    <t>22年9月</t>
  </si>
  <si>
    <t>22年10月</t>
  </si>
  <si>
    <t>22年11月</t>
  </si>
  <si>
    <t>22年12月</t>
  </si>
  <si>
    <t>长江港硫磺现货</t>
  </si>
  <si>
    <t>股份兰花</t>
  </si>
  <si>
    <t>秦港5500大卡</t>
  </si>
  <si>
    <t>内蒙兰炭</t>
  </si>
  <si>
    <t>楚星电石</t>
  </si>
  <si>
    <t>内蒙、青海PVC</t>
  </si>
  <si>
    <t>股份、楚星PVC</t>
  </si>
  <si>
    <t>兰炭/电石</t>
  </si>
  <si>
    <t>西北PVC/兰炭</t>
  </si>
  <si>
    <t>宜昌PVC/电石</t>
  </si>
  <si>
    <t>兰花/秦港5500</t>
  </si>
  <si>
    <t>时间</t>
  </si>
  <si>
    <t>5500大卡</t>
  </si>
  <si>
    <t>环比增减</t>
  </si>
  <si>
    <t>5000大卡</t>
  </si>
  <si>
    <t>4500大卡</t>
  </si>
  <si>
    <t>现货</t>
  </si>
  <si>
    <t>~</t>
  </si>
  <si>
    <t>综合价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</si>
</sst>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_);[Red]\(0\)"/>
    <numFmt numFmtId="178" formatCode="0.000_);[Red]\(0.000\)"/>
    <numFmt numFmtId="179" formatCode="0.000"/>
    <numFmt numFmtId="180" formatCode="0_ ;[Red]\-0\ "/>
  </numFmts>
  <fonts count="61">
    <font>
      <sz val="11"/>
      <color theme="1"/>
      <name val="等线"/>
      <charset val="134"/>
      <scheme val="minor"/>
    </font>
    <font>
      <b/>
      <sz val="7"/>
      <color rgb="FFFFFFFF"/>
      <name val="Arial"/>
      <charset val="134"/>
    </font>
    <font>
      <sz val="7"/>
      <color rgb="FF000000"/>
      <name val="Microsoft yahei"/>
      <charset val="134"/>
    </font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B0F0"/>
      <name val="微软雅黑"/>
      <charset val="134"/>
    </font>
    <font>
      <b/>
      <sz val="10"/>
      <color rgb="FFFF0000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0"/>
      <name val="微软雅黑"/>
      <charset val="134"/>
    </font>
    <font>
      <sz val="20"/>
      <color theme="1"/>
      <name val="方正小标宋简体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0B67D4"/>
        <bgColor indexed="64"/>
      </patternFill>
    </fill>
    <fill>
      <patternFill patternType="solid">
        <fgColor rgb="FFEEF3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medium">
        <color rgb="FF11111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30" applyNumberFormat="0" applyAlignment="0" applyProtection="0">
      <alignment vertical="center"/>
    </xf>
    <xf numFmtId="0" fontId="29" fillId="10" borderId="31" applyNumberFormat="0" applyAlignment="0" applyProtection="0">
      <alignment vertical="center"/>
    </xf>
    <xf numFmtId="0" fontId="30" fillId="10" borderId="30" applyNumberFormat="0" applyAlignment="0" applyProtection="0">
      <alignment vertical="center"/>
    </xf>
    <xf numFmtId="0" fontId="31" fillId="11" borderId="32" applyNumberFormat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0" fontId="42" fillId="0" borderId="35" applyNumberFormat="0" applyFill="0" applyAlignment="0" applyProtection="0">
      <alignment vertical="center"/>
    </xf>
    <xf numFmtId="0" fontId="42" fillId="0" borderId="35" applyNumberFormat="0" applyFill="0" applyAlignment="0" applyProtection="0">
      <alignment vertical="center"/>
    </xf>
    <xf numFmtId="0" fontId="43" fillId="0" borderId="36" applyNumberFormat="0" applyFill="0" applyAlignment="0" applyProtection="0">
      <alignment vertical="center"/>
    </xf>
    <xf numFmtId="0" fontId="43" fillId="0" borderId="36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1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14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14" fillId="0" borderId="0">
      <alignment vertical="center"/>
    </xf>
    <xf numFmtId="0" fontId="41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14" fillId="0" borderId="0">
      <alignment vertical="center"/>
    </xf>
    <xf numFmtId="0" fontId="41" fillId="0" borderId="0"/>
    <xf numFmtId="0" fontId="14" fillId="0" borderId="0">
      <alignment vertical="center"/>
    </xf>
    <xf numFmtId="0" fontId="41" fillId="0" borderId="0"/>
    <xf numFmtId="0" fontId="40" fillId="0" borderId="0"/>
    <xf numFmtId="0" fontId="3" fillId="0" borderId="0"/>
    <xf numFmtId="0" fontId="41" fillId="0" borderId="0"/>
    <xf numFmtId="0" fontId="40" fillId="0" borderId="0"/>
    <xf numFmtId="0" fontId="3" fillId="0" borderId="0"/>
    <xf numFmtId="0" fontId="41" fillId="0" borderId="0"/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41" fillId="0" borderId="0"/>
    <xf numFmtId="0" fontId="40" fillId="0" borderId="0"/>
    <xf numFmtId="0" fontId="40" fillId="0" borderId="0"/>
    <xf numFmtId="0" fontId="14" fillId="0" borderId="0">
      <alignment vertical="center"/>
    </xf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1" fillId="0" borderId="0"/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14" fillId="0" borderId="0">
      <alignment vertical="center"/>
    </xf>
    <xf numFmtId="0" fontId="49" fillId="0" borderId="0"/>
    <xf numFmtId="0" fontId="4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9" fillId="0" borderId="0"/>
    <xf numFmtId="0" fontId="4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" fillId="0" borderId="0">
      <alignment vertical="center"/>
    </xf>
    <xf numFmtId="0" fontId="14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0" borderId="38" applyNumberFormat="0" applyFill="0" applyAlignment="0" applyProtection="0">
      <alignment vertical="center"/>
    </xf>
    <xf numFmtId="0" fontId="50" fillId="0" borderId="38" applyNumberFormat="0" applyFill="0" applyAlignment="0" applyProtection="0">
      <alignment vertical="center"/>
    </xf>
    <xf numFmtId="0" fontId="51" fillId="53" borderId="39" applyNumberFormat="0" applyAlignment="0" applyProtection="0">
      <alignment vertical="center"/>
    </xf>
    <xf numFmtId="0" fontId="51" fillId="53" borderId="39" applyNumberFormat="0" applyAlignment="0" applyProtection="0">
      <alignment vertical="center"/>
    </xf>
    <xf numFmtId="0" fontId="52" fillId="54" borderId="40" applyNumberFormat="0" applyAlignment="0" applyProtection="0">
      <alignment vertical="center"/>
    </xf>
    <xf numFmtId="0" fontId="52" fillId="54" borderId="40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176" fontId="40" fillId="0" borderId="0" applyFont="0" applyFill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57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8" borderId="0" applyNumberFormat="0" applyBorder="0" applyAlignment="0" applyProtection="0">
      <alignment vertical="center"/>
    </xf>
    <xf numFmtId="0" fontId="14" fillId="58" borderId="0" applyNumberFormat="0" applyBorder="0" applyAlignment="0" applyProtection="0">
      <alignment vertical="center"/>
    </xf>
    <xf numFmtId="0" fontId="56" fillId="59" borderId="0" applyNumberFormat="0" applyBorder="0" applyAlignment="0" applyProtection="0">
      <alignment vertical="center"/>
    </xf>
    <xf numFmtId="0" fontId="56" fillId="59" borderId="0" applyNumberFormat="0" applyBorder="0" applyAlignment="0" applyProtection="0">
      <alignment vertical="center"/>
    </xf>
    <xf numFmtId="0" fontId="57" fillId="53" borderId="42" applyNumberFormat="0" applyAlignment="0" applyProtection="0">
      <alignment vertical="center"/>
    </xf>
    <xf numFmtId="0" fontId="57" fillId="53" borderId="42" applyNumberFormat="0" applyAlignment="0" applyProtection="0">
      <alignment vertical="center"/>
    </xf>
    <xf numFmtId="0" fontId="58" fillId="44" borderId="39" applyNumberFormat="0" applyAlignment="0" applyProtection="0">
      <alignment vertical="center"/>
    </xf>
    <xf numFmtId="0" fontId="58" fillId="44" borderId="39" applyNumberFormat="0" applyAlignment="0" applyProtection="0">
      <alignment vertical="center"/>
    </xf>
    <xf numFmtId="0" fontId="49" fillId="60" borderId="43" applyNumberFormat="0" applyFont="0" applyAlignment="0" applyProtection="0">
      <alignment vertical="center"/>
    </xf>
    <xf numFmtId="0" fontId="49" fillId="60" borderId="43" applyNumberFormat="0" applyFont="0" applyAlignment="0" applyProtection="0">
      <alignment vertical="center"/>
    </xf>
  </cellStyleXfs>
  <cellXfs count="18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0" xfId="0" applyFont="1" applyFill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177" fontId="5" fillId="5" borderId="3" xfId="0" applyNumberFormat="1" applyFont="1" applyFill="1" applyBorder="1" applyAlignment="1">
      <alignment horizontal="center" vertical="center" wrapText="1"/>
    </xf>
    <xf numFmtId="177" fontId="4" fillId="5" borderId="3" xfId="0" applyNumberFormat="1" applyFont="1" applyFill="1" applyBorder="1" applyAlignment="1">
      <alignment horizontal="center" vertical="center" wrapText="1"/>
    </xf>
    <xf numFmtId="1" fontId="4" fillId="5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8" fontId="4" fillId="5" borderId="0" xfId="0" applyNumberFormat="1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/>
    </xf>
    <xf numFmtId="177" fontId="6" fillId="5" borderId="3" xfId="0" applyNumberFormat="1" applyFont="1" applyFill="1" applyBorder="1" applyAlignment="1">
      <alignment horizontal="center" vertical="center" wrapText="1"/>
    </xf>
    <xf numFmtId="177" fontId="7" fillId="5" borderId="3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/>
    </xf>
    <xf numFmtId="177" fontId="4" fillId="5" borderId="5" xfId="0" applyNumberFormat="1" applyFont="1" applyFill="1" applyBorder="1" applyAlignment="1">
      <alignment horizontal="center" vertical="center" wrapText="1"/>
    </xf>
    <xf numFmtId="1" fontId="4" fillId="5" borderId="5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8" fontId="0" fillId="5" borderId="0" xfId="0" applyNumberFormat="1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7" fontId="9" fillId="0" borderId="3" xfId="0" applyNumberFormat="1" applyFont="1" applyBorder="1" applyAlignment="1">
      <alignment horizontal="center" vertical="center" wrapText="1"/>
    </xf>
    <xf numFmtId="178" fontId="9" fillId="0" borderId="3" xfId="0" applyNumberFormat="1" applyFont="1" applyBorder="1" applyAlignment="1">
      <alignment horizontal="center" vertical="center" wrapText="1"/>
    </xf>
    <xf numFmtId="177" fontId="10" fillId="0" borderId="3" xfId="0" applyNumberFormat="1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178" fontId="6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177" fontId="5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49" fontId="4" fillId="0" borderId="8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/>
    <xf numFmtId="0" fontId="11" fillId="5" borderId="0" xfId="0" applyFont="1" applyFill="1"/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0" fontId="4" fillId="0" borderId="3" xfId="0" applyNumberFormat="1" applyFont="1" applyBorder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0" fontId="11" fillId="5" borderId="0" xfId="0" applyFont="1" applyFill="1" applyAlignment="1">
      <alignment horizontal="center"/>
    </xf>
    <xf numFmtId="1" fontId="4" fillId="0" borderId="3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49" fontId="12" fillId="5" borderId="3" xfId="0" applyNumberFormat="1" applyFont="1" applyFill="1" applyBorder="1" applyAlignment="1">
      <alignment horizontal="center" vertical="center"/>
    </xf>
    <xf numFmtId="49" fontId="12" fillId="5" borderId="3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0" xfId="0" applyNumberFormat="1"/>
    <xf numFmtId="180" fontId="14" fillId="0" borderId="3" xfId="0" applyNumberFormat="1" applyFont="1" applyBorder="1" applyAlignment="1">
      <alignment horizontal="center" vertical="center" shrinkToFit="1"/>
    </xf>
    <xf numFmtId="0" fontId="0" fillId="0" borderId="3" xfId="0" applyBorder="1"/>
    <xf numFmtId="178" fontId="4" fillId="0" borderId="11" xfId="0" applyNumberFormat="1" applyFont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78" fontId="9" fillId="0" borderId="11" xfId="0" applyNumberFormat="1" applyFont="1" applyBorder="1" applyAlignment="1">
      <alignment horizontal="center" vertical="center" wrapText="1"/>
    </xf>
    <xf numFmtId="178" fontId="6" fillId="0" borderId="11" xfId="0" applyNumberFormat="1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6" borderId="0" xfId="0" applyFill="1"/>
    <xf numFmtId="49" fontId="5" fillId="5" borderId="3" xfId="0" applyNumberFormat="1" applyFont="1" applyFill="1" applyBorder="1" applyAlignment="1">
      <alignment horizontal="center" vertical="center"/>
    </xf>
    <xf numFmtId="1" fontId="0" fillId="6" borderId="0" xfId="0" applyNumberFormat="1" applyFill="1"/>
    <xf numFmtId="177" fontId="7" fillId="0" borderId="3" xfId="0" applyNumberFormat="1" applyFont="1" applyBorder="1" applyAlignment="1">
      <alignment horizontal="center" vertical="center" wrapText="1"/>
    </xf>
    <xf numFmtId="177" fontId="15" fillId="0" borderId="3" xfId="0" applyNumberFormat="1" applyFont="1" applyBorder="1" applyAlignment="1">
      <alignment horizontal="center" vertical="center" wrapText="1"/>
    </xf>
    <xf numFmtId="1" fontId="3" fillId="6" borderId="0" xfId="0" applyNumberFormat="1" applyFont="1" applyFill="1"/>
    <xf numFmtId="49" fontId="5" fillId="0" borderId="7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 shrinkToFit="1"/>
    </xf>
    <xf numFmtId="1" fontId="17" fillId="0" borderId="3" xfId="0" applyNumberFormat="1" applyFont="1" applyBorder="1" applyAlignment="1">
      <alignment horizontal="center" vertical="center" shrinkToFit="1"/>
    </xf>
    <xf numFmtId="1" fontId="17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shrinkToFit="1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 shrinkToFit="1"/>
    </xf>
    <xf numFmtId="49" fontId="11" fillId="0" borderId="3" xfId="0" applyNumberFormat="1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 wrapText="1"/>
    </xf>
    <xf numFmtId="1" fontId="17" fillId="0" borderId="15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" fontId="5" fillId="6" borderId="4" xfId="0" applyNumberFormat="1" applyFont="1" applyFill="1" applyBorder="1" applyAlignment="1">
      <alignment horizontal="center" vertical="center" wrapText="1"/>
    </xf>
    <xf numFmtId="1" fontId="5" fillId="6" borderId="20" xfId="0" applyNumberFormat="1" applyFont="1" applyFill="1" applyBorder="1" applyAlignment="1">
      <alignment horizontal="center" vertical="center" wrapText="1"/>
    </xf>
    <xf numFmtId="1" fontId="11" fillId="6" borderId="18" xfId="0" applyNumberFormat="1" applyFont="1" applyFill="1" applyBorder="1" applyAlignment="1">
      <alignment horizontal="center" vertical="center"/>
    </xf>
    <xf numFmtId="1" fontId="11" fillId="6" borderId="4" xfId="0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 shrinkToFit="1"/>
    </xf>
    <xf numFmtId="1" fontId="0" fillId="0" borderId="13" xfId="0" applyNumberForma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 wrapText="1"/>
    </xf>
    <xf numFmtId="1" fontId="5" fillId="6" borderId="22" xfId="0" applyNumberFormat="1" applyFont="1" applyFill="1" applyBorder="1" applyAlignment="1">
      <alignment horizontal="center" vertical="center" wrapText="1"/>
    </xf>
    <xf numFmtId="1" fontId="5" fillId="6" borderId="23" xfId="0" applyNumberFormat="1" applyFont="1" applyFill="1" applyBorder="1" applyAlignment="1">
      <alignment horizontal="center" vertical="center" wrapText="1"/>
    </xf>
    <xf numFmtId="1" fontId="11" fillId="6" borderId="19" xfId="0" applyNumberFormat="1" applyFont="1" applyFill="1" applyBorder="1" applyAlignment="1">
      <alignment horizontal="center" vertical="center"/>
    </xf>
    <xf numFmtId="1" fontId="11" fillId="6" borderId="24" xfId="0" applyNumberFormat="1" applyFont="1" applyFill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 shrinkToFit="1"/>
    </xf>
    <xf numFmtId="1" fontId="18" fillId="0" borderId="3" xfId="0" applyNumberFormat="1" applyFont="1" applyBorder="1" applyAlignment="1">
      <alignment horizontal="center" vertical="center"/>
    </xf>
    <xf numFmtId="1" fontId="11" fillId="6" borderId="4" xfId="0" applyNumberFormat="1" applyFont="1" applyFill="1" applyBorder="1" applyAlignment="1">
      <alignment horizontal="center" vertical="center" shrinkToFit="1"/>
    </xf>
    <xf numFmtId="1" fontId="11" fillId="6" borderId="24" xfId="0" applyNumberFormat="1" applyFont="1" applyFill="1" applyBorder="1" applyAlignment="1">
      <alignment horizontal="center" vertical="center" shrinkToFit="1"/>
    </xf>
    <xf numFmtId="49" fontId="11" fillId="0" borderId="16" xfId="0" applyNumberFormat="1" applyFont="1" applyBorder="1" applyAlignment="1">
      <alignment horizontal="center" vertical="center" shrinkToFit="1"/>
    </xf>
    <xf numFmtId="1" fontId="17" fillId="0" borderId="16" xfId="0" applyNumberFormat="1" applyFont="1" applyBorder="1" applyAlignment="1">
      <alignment horizontal="center" vertical="center" shrinkToFit="1"/>
    </xf>
    <xf numFmtId="1" fontId="3" fillId="0" borderId="16" xfId="0" applyNumberFormat="1" applyFont="1" applyBorder="1" applyAlignment="1">
      <alignment horizontal="center" vertical="center" shrinkToFit="1"/>
    </xf>
    <xf numFmtId="1" fontId="18" fillId="0" borderId="16" xfId="0" applyNumberFormat="1" applyFont="1" applyBorder="1" applyAlignment="1">
      <alignment horizontal="center" vertical="center" shrinkToFit="1"/>
    </xf>
    <xf numFmtId="1" fontId="11" fillId="6" borderId="20" xfId="0" applyNumberFormat="1" applyFont="1" applyFill="1" applyBorder="1" applyAlignment="1">
      <alignment horizontal="center" vertical="center" shrinkToFit="1"/>
    </xf>
    <xf numFmtId="1" fontId="0" fillId="0" borderId="14" xfId="0" applyNumberFormat="1" applyBorder="1" applyAlignment="1">
      <alignment horizontal="center" vertical="center" shrinkToFit="1"/>
    </xf>
    <xf numFmtId="1" fontId="0" fillId="0" borderId="16" xfId="0" applyNumberFormat="1" applyBorder="1" applyAlignment="1">
      <alignment horizontal="center" vertical="center" shrinkToFit="1"/>
    </xf>
    <xf numFmtId="1" fontId="11" fillId="6" borderId="25" xfId="0" applyNumberFormat="1" applyFont="1" applyFill="1" applyBorder="1" applyAlignment="1">
      <alignment horizontal="center" vertical="center" shrinkToFi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shrinkToFit="1"/>
    </xf>
    <xf numFmtId="1" fontId="5" fillId="6" borderId="3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shrinkToFit="1"/>
    </xf>
    <xf numFmtId="1" fontId="11" fillId="0" borderId="3" xfId="0" applyNumberFormat="1" applyFont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shrinkToFit="1"/>
    </xf>
    <xf numFmtId="2" fontId="0" fillId="0" borderId="3" xfId="0" applyNumberFormat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9" fontId="5" fillId="0" borderId="3" xfId="0" applyNumberFormat="1" applyFont="1" applyBorder="1" applyAlignment="1" quotePrefix="1">
      <alignment horizontal="center" vertical="center" shrinkToFit="1"/>
    </xf>
    <xf numFmtId="49" fontId="5" fillId="0" borderId="3" xfId="0" applyNumberFormat="1" applyFont="1" applyBorder="1" applyAlignment="1" quotePrefix="1">
      <alignment horizontal="center" vertical="center"/>
    </xf>
    <xf numFmtId="49" fontId="11" fillId="0" borderId="15" xfId="0" applyNumberFormat="1" applyFont="1" applyBorder="1" applyAlignment="1" quotePrefix="1">
      <alignment horizontal="center" vertical="center" shrinkToFit="1"/>
    </xf>
    <xf numFmtId="49" fontId="11" fillId="0" borderId="3" xfId="0" applyNumberFormat="1" applyFont="1" applyBorder="1" applyAlignment="1" quotePrefix="1">
      <alignment horizontal="center" vertical="center" shrinkToFit="1"/>
    </xf>
    <xf numFmtId="49" fontId="11" fillId="0" borderId="16" xfId="0" applyNumberFormat="1" applyFont="1" applyBorder="1" applyAlignment="1" quotePrefix="1">
      <alignment horizontal="center" vertical="center" shrinkToFit="1"/>
    </xf>
    <xf numFmtId="49" fontId="5" fillId="5" borderId="3" xfId="0" applyNumberFormat="1" applyFont="1" applyFill="1" applyBorder="1" applyAlignment="1" quotePrefix="1">
      <alignment horizontal="center" vertical="center" shrinkToFit="1"/>
    </xf>
    <xf numFmtId="49" fontId="5" fillId="5" borderId="3" xfId="0" applyNumberFormat="1" applyFont="1" applyFill="1" applyBorder="1" applyAlignment="1" quotePrefix="1">
      <alignment horizontal="center" vertical="center"/>
    </xf>
    <xf numFmtId="49" fontId="5" fillId="0" borderId="6" xfId="0" applyNumberFormat="1" applyFont="1" applyBorder="1" applyAlignment="1" quotePrefix="1">
      <alignment vertical="center"/>
    </xf>
    <xf numFmtId="49" fontId="5" fillId="0" borderId="9" xfId="0" applyNumberFormat="1" applyFont="1" applyBorder="1" applyAlignment="1" quotePrefix="1">
      <alignment horizontal="center" vertical="center"/>
    </xf>
    <xf numFmtId="49" fontId="4" fillId="0" borderId="3" xfId="0" applyNumberFormat="1" applyFont="1" applyBorder="1" applyAlignment="1" quotePrefix="1">
      <alignment horizontal="center" vertical="center"/>
    </xf>
    <xf numFmtId="49" fontId="4" fillId="5" borderId="3" xfId="0" applyNumberFormat="1" applyFont="1" applyFill="1" applyBorder="1" applyAlignment="1" quotePrefix="1">
      <alignment horizontal="center" vertical="center"/>
    </xf>
    <xf numFmtId="49" fontId="4" fillId="0" borderId="6" xfId="0" applyNumberFormat="1" applyFont="1" applyBorder="1" applyAlignment="1" quotePrefix="1">
      <alignment vertical="center"/>
    </xf>
    <xf numFmtId="49" fontId="4" fillId="0" borderId="9" xfId="0" applyNumberFormat="1" applyFont="1" applyBorder="1" applyAlignment="1" quotePrefix="1">
      <alignment horizontal="center" vertical="center"/>
    </xf>
  </cellXfs>
  <cellStyles count="3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2 2" xfId="51"/>
    <cellStyle name="20% - 强调文字颜色 2 2 2" xfId="52"/>
    <cellStyle name="20% - 强调文字颜色 3 2" xfId="53"/>
    <cellStyle name="20% - 强调文字颜色 3 2 2" xfId="54"/>
    <cellStyle name="20% - 强调文字颜色 4 2" xfId="55"/>
    <cellStyle name="20% - 强调文字颜色 4 2 2" xfId="56"/>
    <cellStyle name="20% - 强调文字颜色 5 2" xfId="57"/>
    <cellStyle name="20% - 强调文字颜色 5 2 2" xfId="58"/>
    <cellStyle name="20% - 强调文字颜色 6 2" xfId="59"/>
    <cellStyle name="20% - 强调文字颜色 6 2 2" xfId="60"/>
    <cellStyle name="40% - 强调文字颜色 1 2" xfId="61"/>
    <cellStyle name="40% - 强调文字颜色 1 2 2" xfId="62"/>
    <cellStyle name="40% - 强调文字颜色 2 2" xfId="63"/>
    <cellStyle name="40% - 强调文字颜色 2 2 2" xfId="64"/>
    <cellStyle name="40% - 强调文字颜色 3 2" xfId="65"/>
    <cellStyle name="40% - 强调文字颜色 3 2 2" xfId="66"/>
    <cellStyle name="40% - 强调文字颜色 4 2" xfId="67"/>
    <cellStyle name="40% - 强调文字颜色 4 2 2" xfId="68"/>
    <cellStyle name="40% - 强调文字颜色 5 2" xfId="69"/>
    <cellStyle name="40% - 强调文字颜色 5 2 2" xfId="70"/>
    <cellStyle name="40% - 强调文字颜色 6 2" xfId="71"/>
    <cellStyle name="40% - 强调文字颜色 6 2 2" xfId="72"/>
    <cellStyle name="60% - 强调文字颜色 1 2" xfId="73"/>
    <cellStyle name="60% - 强调文字颜色 1 2 2" xfId="74"/>
    <cellStyle name="60% - 强调文字颜色 2 2" xfId="75"/>
    <cellStyle name="60% - 强调文字颜色 2 2 2" xfId="76"/>
    <cellStyle name="60% - 强调文字颜色 3 2" xfId="77"/>
    <cellStyle name="60% - 强调文字颜色 3 2 2" xfId="78"/>
    <cellStyle name="60% - 强调文字颜色 4 2" xfId="79"/>
    <cellStyle name="60% - 强调文字颜色 4 2 2" xfId="80"/>
    <cellStyle name="60% - 强调文字颜色 5 2" xfId="81"/>
    <cellStyle name="60% - 强调文字颜色 5 2 2" xfId="82"/>
    <cellStyle name="60% - 强调文字颜色 6 2" xfId="83"/>
    <cellStyle name="60% - 强调文字颜色 6 2 2" xfId="84"/>
    <cellStyle name="百分比 2" xfId="85"/>
    <cellStyle name="百分比 3" xfId="86"/>
    <cellStyle name="标题 1 2" xfId="87"/>
    <cellStyle name="标题 1 2 2" xfId="88"/>
    <cellStyle name="标题 2 2" xfId="89"/>
    <cellStyle name="标题 2 2 2" xfId="90"/>
    <cellStyle name="标题 3 2" xfId="91"/>
    <cellStyle name="标题 3 2 2" xfId="92"/>
    <cellStyle name="标题 4 2" xfId="93"/>
    <cellStyle name="标题 4 2 2" xfId="94"/>
    <cellStyle name="标题 5" xfId="95"/>
    <cellStyle name="标题 5 2" xfId="96"/>
    <cellStyle name="差 2" xfId="97"/>
    <cellStyle name="差 2 2" xfId="98"/>
    <cellStyle name="差_1集团09年矿山生产计划(含税)" xfId="99"/>
    <cellStyle name="差_2008年股份公司动力部维修费计划(台帐)" xfId="100"/>
    <cellStyle name="差_2008年股份公司动力部维修费计划(台帐) 2" xfId="101"/>
    <cellStyle name="差_2008年股份公司生产经营计划" xfId="102"/>
    <cellStyle name="差_2008年股份公司生产经营计划 2" xfId="103"/>
    <cellStyle name="差_2008年股份公司生产经营计划(A)" xfId="104"/>
    <cellStyle name="差_2008年股份公司生产经营计划(A) 2" xfId="105"/>
    <cellStyle name="差_2008年集团直接人工成本计划 " xfId="106"/>
    <cellStyle name="差_2008年集团直接人工成本计划  2" xfId="107"/>
    <cellStyle name="差_2008年宜化集团副产品销售计划" xfId="108"/>
    <cellStyle name="差_2008年宜化集团副产品销售计划 2" xfId="109"/>
    <cellStyle name="差_2009年宜化集团副产品销售计划" xfId="110"/>
    <cellStyle name="差_Xl0000069" xfId="111"/>
    <cellStyle name="差_Xl0000071" xfId="112"/>
    <cellStyle name="差_Xl0000128" xfId="113"/>
    <cellStyle name="差_Xl0000165" xfId="114"/>
    <cellStyle name="差_宜化集团2009年直接人工成本计划" xfId="115"/>
    <cellStyle name="常规 10" xfId="116"/>
    <cellStyle name="常规 10 2" xfId="117"/>
    <cellStyle name="常规 10 3" xfId="118"/>
    <cellStyle name="常规 10 4" xfId="119"/>
    <cellStyle name="常规 10_2009年宜化集团生产经营计划" xfId="120"/>
    <cellStyle name="常规 100" xfId="121"/>
    <cellStyle name="常规 101" xfId="122"/>
    <cellStyle name="常规 102" xfId="123"/>
    <cellStyle name="常规 103" xfId="124"/>
    <cellStyle name="常规 104" xfId="125"/>
    <cellStyle name="常规 105" xfId="126"/>
    <cellStyle name="常规 106" xfId="127"/>
    <cellStyle name="常规 107" xfId="128"/>
    <cellStyle name="常规 108" xfId="129"/>
    <cellStyle name="常规 109" xfId="130"/>
    <cellStyle name="常规 11" xfId="131"/>
    <cellStyle name="常规 11 2" xfId="132"/>
    <cellStyle name="常规 11 3" xfId="133"/>
    <cellStyle name="常规 110" xfId="134"/>
    <cellStyle name="常规 111" xfId="135"/>
    <cellStyle name="常规 112" xfId="136"/>
    <cellStyle name="常规 113" xfId="137"/>
    <cellStyle name="常规 114" xfId="138"/>
    <cellStyle name="常规 115" xfId="139"/>
    <cellStyle name="常规 116" xfId="140"/>
    <cellStyle name="常规 117" xfId="141"/>
    <cellStyle name="常规 118" xfId="142"/>
    <cellStyle name="常规 119" xfId="143"/>
    <cellStyle name="常规 12" xfId="144"/>
    <cellStyle name="常规 12 2" xfId="145"/>
    <cellStyle name="常规 12 3" xfId="146"/>
    <cellStyle name="常规 120" xfId="147"/>
    <cellStyle name="常规 121" xfId="148"/>
    <cellStyle name="常规 121 2" xfId="149"/>
    <cellStyle name="常规 122" xfId="150"/>
    <cellStyle name="常规 123" xfId="151"/>
    <cellStyle name="常规 124" xfId="152"/>
    <cellStyle name="常规 125" xfId="153"/>
    <cellStyle name="常规 126" xfId="154"/>
    <cellStyle name="常规 127" xfId="155"/>
    <cellStyle name="常规 128" xfId="156"/>
    <cellStyle name="常规 13" xfId="157"/>
    <cellStyle name="常规 13 2" xfId="158"/>
    <cellStyle name="常规 14" xfId="159"/>
    <cellStyle name="常规 14 2" xfId="160"/>
    <cellStyle name="常规 15" xfId="161"/>
    <cellStyle name="常规 15 2" xfId="162"/>
    <cellStyle name="常规 159" xfId="163"/>
    <cellStyle name="常规 16" xfId="164"/>
    <cellStyle name="常规 16 2" xfId="165"/>
    <cellStyle name="常规 160" xfId="166"/>
    <cellStyle name="常规 17" xfId="167"/>
    <cellStyle name="常规 17 2" xfId="168"/>
    <cellStyle name="常规 18" xfId="169"/>
    <cellStyle name="常规 18 2" xfId="170"/>
    <cellStyle name="常规 19" xfId="171"/>
    <cellStyle name="常规 19 2" xfId="172"/>
    <cellStyle name="常规 2" xfId="173"/>
    <cellStyle name="常规 2 10" xfId="174"/>
    <cellStyle name="常规 2 11" xfId="175"/>
    <cellStyle name="常规 2 12" xfId="176"/>
    <cellStyle name="常规 2 13" xfId="177"/>
    <cellStyle name="常规 2 14" xfId="178"/>
    <cellStyle name="常规 2 2" xfId="179"/>
    <cellStyle name="常规 2 2 2" xfId="180"/>
    <cellStyle name="常规 2 3" xfId="181"/>
    <cellStyle name="常规 2 3 2" xfId="182"/>
    <cellStyle name="常规 2 4" xfId="183"/>
    <cellStyle name="常规 2 4 2" xfId="184"/>
    <cellStyle name="常规 2 5" xfId="185"/>
    <cellStyle name="常规 2 5 2" xfId="186"/>
    <cellStyle name="常规 2 6" xfId="187"/>
    <cellStyle name="常规 2 6 2" xfId="188"/>
    <cellStyle name="常规 2 7" xfId="189"/>
    <cellStyle name="常规 2 7 2" xfId="190"/>
    <cellStyle name="常规 2 8" xfId="191"/>
    <cellStyle name="常规 2 8 2" xfId="192"/>
    <cellStyle name="常规 2 87" xfId="193"/>
    <cellStyle name="常规 2 9" xfId="194"/>
    <cellStyle name="常规 20" xfId="195"/>
    <cellStyle name="常规 20 2" xfId="196"/>
    <cellStyle name="常规 21" xfId="197"/>
    <cellStyle name="常规 21 2" xfId="198"/>
    <cellStyle name="常规 22" xfId="199"/>
    <cellStyle name="常规 22 2" xfId="200"/>
    <cellStyle name="常规 23" xfId="201"/>
    <cellStyle name="常规 23 2" xfId="202"/>
    <cellStyle name="常规 24" xfId="203"/>
    <cellStyle name="常规 24 2" xfId="204"/>
    <cellStyle name="常规 25" xfId="205"/>
    <cellStyle name="常规 25 2" xfId="206"/>
    <cellStyle name="常规 26" xfId="207"/>
    <cellStyle name="常规 26 2" xfId="208"/>
    <cellStyle name="常规 27" xfId="209"/>
    <cellStyle name="常规 27 2" xfId="210"/>
    <cellStyle name="常规 28" xfId="211"/>
    <cellStyle name="常规 28 2" xfId="212"/>
    <cellStyle name="常规 29" xfId="213"/>
    <cellStyle name="常规 29 2" xfId="214"/>
    <cellStyle name="常规 3" xfId="215"/>
    <cellStyle name="常规 3 2" xfId="216"/>
    <cellStyle name="常规 3 3" xfId="217"/>
    <cellStyle name="常规 3 4" xfId="218"/>
    <cellStyle name="常规 30" xfId="219"/>
    <cellStyle name="常规 30 2" xfId="220"/>
    <cellStyle name="常规 31" xfId="221"/>
    <cellStyle name="常规 31 2" xfId="222"/>
    <cellStyle name="常规 32" xfId="223"/>
    <cellStyle name="常规 32 2" xfId="224"/>
    <cellStyle name="常规 33" xfId="225"/>
    <cellStyle name="常规 33 2" xfId="226"/>
    <cellStyle name="常规 34" xfId="227"/>
    <cellStyle name="常规 34 2" xfId="228"/>
    <cellStyle name="常规 35" xfId="229"/>
    <cellStyle name="常规 36" xfId="230"/>
    <cellStyle name="常规 37" xfId="231"/>
    <cellStyle name="常规 38" xfId="232"/>
    <cellStyle name="常规 39" xfId="233"/>
    <cellStyle name="常规 4" xfId="234"/>
    <cellStyle name="常规 4 2" xfId="235"/>
    <cellStyle name="常规 4 2 3 2" xfId="236"/>
    <cellStyle name="常规 4 3" xfId="237"/>
    <cellStyle name="常规 40" xfId="238"/>
    <cellStyle name="常规 41" xfId="239"/>
    <cellStyle name="常规 42" xfId="240"/>
    <cellStyle name="常规 43" xfId="241"/>
    <cellStyle name="常规 44" xfId="242"/>
    <cellStyle name="常规 45" xfId="243"/>
    <cellStyle name="常规 46" xfId="244"/>
    <cellStyle name="常规 47" xfId="245"/>
    <cellStyle name="常规 48" xfId="246"/>
    <cellStyle name="常规 49" xfId="247"/>
    <cellStyle name="常规 5" xfId="248"/>
    <cellStyle name="常规 5 2" xfId="249"/>
    <cellStyle name="常规 5 3" xfId="250"/>
    <cellStyle name="常规 5 3 2" xfId="251"/>
    <cellStyle name="常规 5 3 2 2" xfId="252"/>
    <cellStyle name="常规 50" xfId="253"/>
    <cellStyle name="常规 51" xfId="254"/>
    <cellStyle name="常规 52" xfId="255"/>
    <cellStyle name="常规 53" xfId="256"/>
    <cellStyle name="常规 54" xfId="257"/>
    <cellStyle name="常规 55" xfId="258"/>
    <cellStyle name="常规 56" xfId="259"/>
    <cellStyle name="常规 57" xfId="260"/>
    <cellStyle name="常规 58" xfId="261"/>
    <cellStyle name="常规 59" xfId="262"/>
    <cellStyle name="常规 6" xfId="263"/>
    <cellStyle name="常规 6 2" xfId="264"/>
    <cellStyle name="常规 6 3" xfId="265"/>
    <cellStyle name="常规 60" xfId="266"/>
    <cellStyle name="常规 61" xfId="267"/>
    <cellStyle name="常规 62" xfId="268"/>
    <cellStyle name="常规 63" xfId="269"/>
    <cellStyle name="常规 64" xfId="270"/>
    <cellStyle name="常规 65" xfId="271"/>
    <cellStyle name="常规 66" xfId="272"/>
    <cellStyle name="常规 67" xfId="273"/>
    <cellStyle name="常规 68" xfId="274"/>
    <cellStyle name="常规 69" xfId="275"/>
    <cellStyle name="常规 7" xfId="276"/>
    <cellStyle name="常规 7 2" xfId="277"/>
    <cellStyle name="常规 7 3" xfId="278"/>
    <cellStyle name="常规 70" xfId="279"/>
    <cellStyle name="常规 71" xfId="280"/>
    <cellStyle name="常规 72" xfId="281"/>
    <cellStyle name="常规 73" xfId="282"/>
    <cellStyle name="常规 74" xfId="283"/>
    <cellStyle name="常规 75" xfId="284"/>
    <cellStyle name="常规 76" xfId="285"/>
    <cellStyle name="常规 77" xfId="286"/>
    <cellStyle name="常规 78" xfId="287"/>
    <cellStyle name="常规 79" xfId="288"/>
    <cellStyle name="常规 8" xfId="289"/>
    <cellStyle name="常规 8 2" xfId="290"/>
    <cellStyle name="常规 8 3" xfId="291"/>
    <cellStyle name="常规 80" xfId="292"/>
    <cellStyle name="常规 81" xfId="293"/>
    <cellStyle name="常规 82" xfId="294"/>
    <cellStyle name="常规 83" xfId="295"/>
    <cellStyle name="常规 84" xfId="296"/>
    <cellStyle name="常规 85" xfId="297"/>
    <cellStyle name="常规 86" xfId="298"/>
    <cellStyle name="常规 87" xfId="299"/>
    <cellStyle name="常规 88" xfId="300"/>
    <cellStyle name="常规 89" xfId="301"/>
    <cellStyle name="常规 9" xfId="302"/>
    <cellStyle name="常规 9 2" xfId="303"/>
    <cellStyle name="常规 9 3" xfId="304"/>
    <cellStyle name="常规 90" xfId="305"/>
    <cellStyle name="常规 91" xfId="306"/>
    <cellStyle name="常规 92" xfId="307"/>
    <cellStyle name="常规 93" xfId="308"/>
    <cellStyle name="常规 94" xfId="309"/>
    <cellStyle name="常规 95" xfId="310"/>
    <cellStyle name="常规 96" xfId="311"/>
    <cellStyle name="常规 97" xfId="312"/>
    <cellStyle name="常规 98" xfId="313"/>
    <cellStyle name="常规 99" xfId="314"/>
    <cellStyle name="好 2" xfId="315"/>
    <cellStyle name="好 2 2" xfId="316"/>
    <cellStyle name="好_1集团09年矿山生产计划(含税)" xfId="317"/>
    <cellStyle name="好_2008年股份公司动力部维修费计划(台帐)" xfId="318"/>
    <cellStyle name="好_2008年股份公司动力部维修费计划(台帐) 2" xfId="319"/>
    <cellStyle name="好_2008年股份公司生产经营计划" xfId="320"/>
    <cellStyle name="好_2008年股份公司生产经营计划 2" xfId="321"/>
    <cellStyle name="好_2008年股份公司生产经营计划(A)" xfId="322"/>
    <cellStyle name="好_2008年股份公司生产经营计划(A) 2" xfId="323"/>
    <cellStyle name="好_2008年集团直接人工成本计划 " xfId="324"/>
    <cellStyle name="好_2008年集团直接人工成本计划  2" xfId="325"/>
    <cellStyle name="好_2008年宜化集团副产品销售计划" xfId="326"/>
    <cellStyle name="好_2008年宜化集团副产品销售计划 2" xfId="327"/>
    <cellStyle name="好_2009年宜化集团副产品销售计划" xfId="328"/>
    <cellStyle name="好_Xl0000069" xfId="329"/>
    <cellStyle name="好_Xl0000071" xfId="330"/>
    <cellStyle name="好_Xl0000128" xfId="331"/>
    <cellStyle name="好_Xl0000165" xfId="332"/>
    <cellStyle name="好_宜化集团2009年直接人工成本计划" xfId="333"/>
    <cellStyle name="汇总 2" xfId="334"/>
    <cellStyle name="汇总 2 2" xfId="335"/>
    <cellStyle name="计算 2" xfId="336"/>
    <cellStyle name="计算 2 2" xfId="337"/>
    <cellStyle name="检查单元格 2" xfId="338"/>
    <cellStyle name="检查单元格 2 2" xfId="339"/>
    <cellStyle name="解释性文本 2" xfId="340"/>
    <cellStyle name="解释性文本 2 2" xfId="341"/>
    <cellStyle name="警告文本 2" xfId="342"/>
    <cellStyle name="警告文本 2 2" xfId="343"/>
    <cellStyle name="链接单元格 2" xfId="344"/>
    <cellStyle name="链接单元格 2 2" xfId="345"/>
    <cellStyle name="千位分隔 2" xfId="346"/>
    <cellStyle name="强调文字颜色 1 2" xfId="347"/>
    <cellStyle name="强调文字颜色 1 2 2" xfId="348"/>
    <cellStyle name="强调文字颜色 2 2" xfId="349"/>
    <cellStyle name="强调文字颜色 2 2 2" xfId="350"/>
    <cellStyle name="强调文字颜色 3 2" xfId="351"/>
    <cellStyle name="强调文字颜色 3 2 2" xfId="352"/>
    <cellStyle name="强调文字颜色 4 2" xfId="353"/>
    <cellStyle name="强调文字颜色 4 2 2" xfId="354"/>
    <cellStyle name="强调文字颜色 5 2" xfId="355"/>
    <cellStyle name="强调文字颜色 5 2 2" xfId="356"/>
    <cellStyle name="强调文字颜色 6 2" xfId="357"/>
    <cellStyle name="强调文字颜色 6 2 2" xfId="358"/>
    <cellStyle name="适中 2" xfId="359"/>
    <cellStyle name="适中 2 2" xfId="360"/>
    <cellStyle name="输出 2" xfId="361"/>
    <cellStyle name="输出 2 2" xfId="362"/>
    <cellStyle name="输入 2" xfId="363"/>
    <cellStyle name="输入 2 2" xfId="364"/>
    <cellStyle name="注释 2" xfId="365"/>
    <cellStyle name="注释 2 2" xfId="366"/>
  </cellStyles>
  <dxfs count="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 patternType="solid">
          <bgColor theme="0" tint="-0.14993743705557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二铵价格走势图</a:t>
            </a:r>
            <a:endParaRPr lang="zh-CN" altLang="en-US" sz="2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229834852946"/>
          <c:y val="0.170092112838227"/>
          <c:w val="0.899031431878273"/>
          <c:h val="0.740126494604841"/>
        </c:manualLayout>
      </c:layout>
      <c:lineChart>
        <c:grouping val="standard"/>
        <c:varyColors val="0"/>
        <c:ser>
          <c:idx val="0"/>
          <c:order val="0"/>
          <c:tx>
            <c:strRef>
              <c:f>'打印-走势图（4张18-22）'!$A$3:$B$3</c:f>
              <c:strCache>
                <c:ptCount val="1"/>
                <c:pt idx="0">
                  <c:v>二铵 18年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2827994189311e-16"/>
                  <c:y val="-0.006622516556291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18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'打印-走势图（4张18-22）'!$C$3:$N$3</c:f>
              <c:numCache>
                <c:formatCode>0</c:formatCode>
                <c:ptCount val="12"/>
                <c:pt idx="0">
                  <c:v>2501.27733994969</c:v>
                </c:pt>
                <c:pt idx="1">
                  <c:v>2526.66487491209</c:v>
                </c:pt>
                <c:pt idx="2">
                  <c:v>2597.13533556329</c:v>
                </c:pt>
                <c:pt idx="3">
                  <c:v>2548.62846129866</c:v>
                </c:pt>
                <c:pt idx="4">
                  <c:v>2565.61944262039</c:v>
                </c:pt>
                <c:pt idx="5">
                  <c:v>2575.92776325538</c:v>
                </c:pt>
                <c:pt idx="6">
                  <c:v>2678.8684330737</c:v>
                </c:pt>
                <c:pt idx="7">
                  <c:v>2733.19732199673</c:v>
                </c:pt>
                <c:pt idx="8">
                  <c:v>2745.26197429751</c:v>
                </c:pt>
                <c:pt idx="9">
                  <c:v>2742.63429292559</c:v>
                </c:pt>
                <c:pt idx="10">
                  <c:v>2700</c:v>
                </c:pt>
                <c:pt idx="11">
                  <c:v>2700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'打印-走势图（4张18-22）'!$A$4:$B$4</c:f>
              <c:strCache>
                <c:ptCount val="1"/>
                <c:pt idx="0">
                  <c:v>二铵 19年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2827994189311e-16"/>
                  <c:y val="0.01986754966887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19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'打印-走势图（4张18-22）'!$C$4:$N$4</c:f>
              <c:numCache>
                <c:formatCode>0</c:formatCode>
                <c:ptCount val="12"/>
                <c:pt idx="0">
                  <c:v>2614</c:v>
                </c:pt>
                <c:pt idx="1">
                  <c:v>2625</c:v>
                </c:pt>
                <c:pt idx="2">
                  <c:v>2520.39182203737</c:v>
                </c:pt>
                <c:pt idx="3">
                  <c:v>2512.13068830001</c:v>
                </c:pt>
                <c:pt idx="4">
                  <c:v>2429.00920272917</c:v>
                </c:pt>
                <c:pt idx="5">
                  <c:v>2407.32579117454</c:v>
                </c:pt>
                <c:pt idx="6">
                  <c:v>2214.27488235976</c:v>
                </c:pt>
                <c:pt idx="7">
                  <c:v>2214.17373230795</c:v>
                </c:pt>
                <c:pt idx="8">
                  <c:v>2187.03721640631</c:v>
                </c:pt>
                <c:pt idx="9">
                  <c:v>2139.20731562574</c:v>
                </c:pt>
                <c:pt idx="10">
                  <c:v>2103.83873158189</c:v>
                </c:pt>
                <c:pt idx="11">
                  <c:v>2061.2315180595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'打印-走势图（4张18-22）'!$A$5:$B$5</c:f>
              <c:strCache>
                <c:ptCount val="1"/>
                <c:pt idx="0">
                  <c:v>二铵 20年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2827994189311e-16"/>
                  <c:y val="-1.21411400977144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20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'打印-走势图（4张18-22）'!$C$5:$N$5</c:f>
              <c:numCache>
                <c:formatCode>0</c:formatCode>
                <c:ptCount val="12"/>
                <c:pt idx="0">
                  <c:v>2085.85646546543</c:v>
                </c:pt>
                <c:pt idx="1">
                  <c:v>1986.99049986103</c:v>
                </c:pt>
                <c:pt idx="2">
                  <c:v>1986.99049986103</c:v>
                </c:pt>
                <c:pt idx="3">
                  <c:v>2071.54970299319</c:v>
                </c:pt>
                <c:pt idx="4">
                  <c:v>2060.86989188714</c:v>
                </c:pt>
                <c:pt idx="5">
                  <c:v>2071.91942244851</c:v>
                </c:pt>
                <c:pt idx="6">
                  <c:v>2098.81534256527</c:v>
                </c:pt>
                <c:pt idx="7">
                  <c:v>2082.68201288914</c:v>
                </c:pt>
                <c:pt idx="8">
                  <c:v>2176.04544673005</c:v>
                </c:pt>
                <c:pt idx="9">
                  <c:v>2238.37267542502</c:v>
                </c:pt>
                <c:pt idx="10">
                  <c:v>2273.71492390218</c:v>
                </c:pt>
                <c:pt idx="11">
                  <c:v>2310.92311103161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'打印-走势图（4张18-22）'!$A$6:$B$6</c:f>
              <c:strCache>
                <c:ptCount val="1"/>
                <c:pt idx="0">
                  <c:v>二铵 21年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21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'打印-走势图（4张18-22）'!$C$6:$N$6</c:f>
              <c:numCache>
                <c:formatCode>0</c:formatCode>
                <c:ptCount val="12"/>
                <c:pt idx="0">
                  <c:v>2365.12277264168</c:v>
                </c:pt>
                <c:pt idx="1">
                  <c:v>2471.1848190443</c:v>
                </c:pt>
                <c:pt idx="2">
                  <c:v>2727.36764923849</c:v>
                </c:pt>
                <c:pt idx="3">
                  <c:v>3293.74390943446</c:v>
                </c:pt>
                <c:pt idx="4">
                  <c:v>3225.76580175787</c:v>
                </c:pt>
                <c:pt idx="5">
                  <c:v>3262.17499294506</c:v>
                </c:pt>
                <c:pt idx="6">
                  <c:v>3373.02009683852</c:v>
                </c:pt>
                <c:pt idx="7">
                  <c:v>3508.28733466809</c:v>
                </c:pt>
                <c:pt idx="8">
                  <c:v>3780.28873276843</c:v>
                </c:pt>
                <c:pt idx="9">
                  <c:v>3742.63740127969</c:v>
                </c:pt>
                <c:pt idx="10">
                  <c:v>3536.15387237605</c:v>
                </c:pt>
                <c:pt idx="11">
                  <c:v>3536.09939443262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'打印-走势图（4张18-22）'!$A$7:$B$7</c:f>
              <c:strCache>
                <c:ptCount val="1"/>
                <c:pt idx="0">
                  <c:v>二铵 22年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layout>
                <c:manualLayout>
                  <c:x val="0"/>
                  <c:y val="-0.006693440428380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22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'打印-走势图（4张18-22）'!$C$7:$N$7</c:f>
              <c:numCache>
                <c:formatCode>0</c:formatCode>
                <c:ptCount val="12"/>
                <c:pt idx="0">
                  <c:v>3635.94254687299</c:v>
                </c:pt>
                <c:pt idx="1">
                  <c:v>3566.13213614648</c:v>
                </c:pt>
                <c:pt idx="2">
                  <c:v>4271.26059306314</c:v>
                </c:pt>
                <c:pt idx="3">
                  <c:v>4362</c:v>
                </c:pt>
                <c:pt idx="4">
                  <c:v>5029</c:v>
                </c:pt>
                <c:pt idx="5">
                  <c:v>5280</c:v>
                </c:pt>
                <c:pt idx="6">
                  <c:v>5705</c:v>
                </c:pt>
                <c:pt idx="7">
                  <c:v>5154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351624"/>
        <c:axId val="612350312"/>
      </c:lineChart>
      <c:catAx>
        <c:axId val="6123516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350312"/>
        <c:crosses val="autoZero"/>
        <c:auto val="1"/>
        <c:lblAlgn val="ctr"/>
        <c:lblOffset val="100"/>
        <c:noMultiLvlLbl val="0"/>
      </c:catAx>
      <c:valAx>
        <c:axId val="612350312"/>
        <c:scaling>
          <c:orientation val="minMax"/>
          <c:max val="5710"/>
          <c:min val="19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35162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7699743882265"/>
          <c:y val="0.109420885642307"/>
          <c:w val="0.490310591928047"/>
          <c:h val="0.0279019810023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6c967d-25d5-4a2c-81db-5c7ba455d5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磷矿</a:t>
            </a:r>
            <a:r>
              <a:rPr lang="en-US" altLang="zh-CN" sz="2000" b="1"/>
              <a:t>(</a:t>
            </a:r>
            <a:r>
              <a:rPr lang="zh-CN" altLang="en-US" sz="2000" b="1"/>
              <a:t>股份</a:t>
            </a:r>
            <a:r>
              <a:rPr lang="en-US" altLang="zh-CN" sz="2000" b="1"/>
              <a:t>27)</a:t>
            </a:r>
            <a:r>
              <a:rPr lang="zh-CN" altLang="en-US" sz="2000" b="1"/>
              <a:t>价格走势图</a:t>
            </a:r>
            <a:endParaRPr lang="zh-CN" altLang="en-US" sz="2000" b="1"/>
          </a:p>
        </c:rich>
      </c:tx>
      <c:layout>
        <c:manualLayout>
          <c:xMode val="edge"/>
          <c:yMode val="edge"/>
          <c:x val="0.362042750492764"/>
          <c:y val="0.023654642223536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11605747725114"/>
          <c:y val="0.125101009478667"/>
          <c:w val="0.900333854182624"/>
          <c:h val="0.812407154113561"/>
        </c:manualLayout>
      </c:layout>
      <c:lineChart>
        <c:grouping val="standard"/>
        <c:varyColors val="0"/>
        <c:ser>
          <c:idx val="0"/>
          <c:order val="0"/>
          <c:tx>
            <c:strRef>
              <c:f>'打印-走势图（4张18-22）'!$A$13:$B$13</c:f>
              <c:strCache>
                <c:ptCount val="1"/>
                <c:pt idx="0">
                  <c:v>磷矿 18年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2355758456320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18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'打印-走势图（4张18-22）'!$C$13:$N$13</c:f>
              <c:numCache>
                <c:formatCode>0</c:formatCode>
                <c:ptCount val="12"/>
                <c:pt idx="0">
                  <c:v>430</c:v>
                </c:pt>
                <c:pt idx="1">
                  <c:v>430</c:v>
                </c:pt>
                <c:pt idx="2">
                  <c:v>430</c:v>
                </c:pt>
                <c:pt idx="3">
                  <c:v>430</c:v>
                </c:pt>
                <c:pt idx="4">
                  <c:v>430</c:v>
                </c:pt>
                <c:pt idx="5">
                  <c:v>430</c:v>
                </c:pt>
                <c:pt idx="6">
                  <c:v>430</c:v>
                </c:pt>
                <c:pt idx="7">
                  <c:v>430</c:v>
                </c:pt>
                <c:pt idx="8">
                  <c:v>430</c:v>
                </c:pt>
                <c:pt idx="9">
                  <c:v>430</c:v>
                </c:pt>
                <c:pt idx="10">
                  <c:v>450</c:v>
                </c:pt>
                <c:pt idx="11">
                  <c:v>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'打印-走势图（4张18-22）'!$A$14:$B$14</c:f>
              <c:strCache>
                <c:ptCount val="1"/>
                <c:pt idx="0">
                  <c:v>磷矿 19年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0226942127614e-16"/>
                  <c:y val="-0.01852711528595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19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'打印-走势图（4张18-22）'!$C$14:$N$14</c:f>
              <c:numCache>
                <c:formatCode>0</c:formatCode>
                <c:ptCount val="12"/>
                <c:pt idx="0">
                  <c:v>470</c:v>
                </c:pt>
                <c:pt idx="1">
                  <c:v>470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400</c:v>
                </c:pt>
                <c:pt idx="7">
                  <c:v>400</c:v>
                </c:pt>
                <c:pt idx="8">
                  <c:v>380</c:v>
                </c:pt>
                <c:pt idx="9">
                  <c:v>380</c:v>
                </c:pt>
                <c:pt idx="10">
                  <c:v>370</c:v>
                </c:pt>
                <c:pt idx="11">
                  <c:v>370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'打印-走势图（4张18-22）'!$A$15:$B$15</c:f>
              <c:strCache>
                <c:ptCount val="1"/>
                <c:pt idx="0">
                  <c:v>磷矿 20年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0.0094964104862650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20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'打印-走势图（4张18-22）'!$C$15:$N$15</c:f>
              <c:numCache>
                <c:formatCode>0</c:formatCode>
                <c:ptCount val="12"/>
                <c:pt idx="0">
                  <c:v>370</c:v>
                </c:pt>
                <c:pt idx="1">
                  <c:v>370</c:v>
                </c:pt>
                <c:pt idx="2">
                  <c:v>370</c:v>
                </c:pt>
                <c:pt idx="3">
                  <c:v>338</c:v>
                </c:pt>
                <c:pt idx="4">
                  <c:v>338</c:v>
                </c:pt>
                <c:pt idx="5">
                  <c:v>338</c:v>
                </c:pt>
                <c:pt idx="6">
                  <c:v>338</c:v>
                </c:pt>
                <c:pt idx="7">
                  <c:v>338</c:v>
                </c:pt>
                <c:pt idx="8">
                  <c:v>328</c:v>
                </c:pt>
                <c:pt idx="9">
                  <c:v>328</c:v>
                </c:pt>
                <c:pt idx="10">
                  <c:v>358</c:v>
                </c:pt>
                <c:pt idx="11">
                  <c:v>358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'打印-走势图（4张18-22）'!$A$16:$B$16</c:f>
              <c:strCache>
                <c:ptCount val="1"/>
                <c:pt idx="0">
                  <c:v>磷矿 21年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03173595683909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21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'打印-走势图（4张18-22）'!$C$16:$N$16</c:f>
              <c:numCache>
                <c:formatCode>0</c:formatCode>
                <c:ptCount val="12"/>
                <c:pt idx="0">
                  <c:v>358</c:v>
                </c:pt>
                <c:pt idx="1">
                  <c:v>358</c:v>
                </c:pt>
                <c:pt idx="2">
                  <c:v>358</c:v>
                </c:pt>
                <c:pt idx="3">
                  <c:v>408</c:v>
                </c:pt>
                <c:pt idx="4">
                  <c:v>458</c:v>
                </c:pt>
                <c:pt idx="5">
                  <c:v>488</c:v>
                </c:pt>
                <c:pt idx="6">
                  <c:v>508</c:v>
                </c:pt>
                <c:pt idx="7">
                  <c:v>558</c:v>
                </c:pt>
                <c:pt idx="8">
                  <c:v>608</c:v>
                </c:pt>
                <c:pt idx="9">
                  <c:v>608</c:v>
                </c:pt>
                <c:pt idx="10">
                  <c:v>608</c:v>
                </c:pt>
                <c:pt idx="11">
                  <c:v>608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'打印-走势图（4张18-22）'!$A$17:$B$17</c:f>
              <c:strCache>
                <c:ptCount val="1"/>
                <c:pt idx="0">
                  <c:v>磷矿 22年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>
                <c:manualLayout>
                  <c:x val="0.163424175577275"/>
                  <c:y val="-0.1047559187094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22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475091767173571"/>
                      <c:h val="0.0539036476359211"/>
                    </c:manualLayout>
                  </c15:layout>
                </c:ext>
              </c:extLst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'打印-走势图（4张18-22）'!$C$17:$N$17</c:f>
              <c:numCache>
                <c:formatCode>0</c:formatCode>
                <c:ptCount val="12"/>
                <c:pt idx="0">
                  <c:v>608</c:v>
                </c:pt>
                <c:pt idx="1">
                  <c:v>608</c:v>
                </c:pt>
                <c:pt idx="2">
                  <c:v>608</c:v>
                </c:pt>
                <c:pt idx="3">
                  <c:v>645.6</c:v>
                </c:pt>
                <c:pt idx="4">
                  <c:v>745.6</c:v>
                </c:pt>
                <c:pt idx="5">
                  <c:v>858</c:v>
                </c:pt>
                <c:pt idx="6">
                  <c:v>958</c:v>
                </c:pt>
                <c:pt idx="7">
                  <c:v>958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882544"/>
        <c:axId val="924878936"/>
      </c:lineChart>
      <c:catAx>
        <c:axId val="92488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78936"/>
        <c:crosses val="autoZero"/>
        <c:auto val="1"/>
        <c:lblAlgn val="ctr"/>
        <c:lblOffset val="100"/>
        <c:noMultiLvlLbl val="0"/>
      </c:catAx>
      <c:valAx>
        <c:axId val="924878936"/>
        <c:scaling>
          <c:orientation val="minMax"/>
          <c:max val="960"/>
          <c:min val="3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8254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71773032262"/>
          <c:y val="0.0733224074690194"/>
          <c:w val="0.48369680443641"/>
          <c:h val="0.0293429283780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2a6830-98d4-4108-b73c-8c5c499060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硫磺价格走势图</a:t>
            </a:r>
            <a:endParaRPr lang="zh-CN" altLang="en-US" sz="2000" b="1"/>
          </a:p>
        </c:rich>
      </c:tx>
      <c:layout>
        <c:manualLayout>
          <c:xMode val="edge"/>
          <c:yMode val="edge"/>
          <c:x val="0.399536321483771"/>
          <c:y val="0.0115009908400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7688434550077"/>
          <c:y val="0.119324146981627"/>
          <c:w val="0.893725612595129"/>
          <c:h val="0.82356156911109"/>
        </c:manualLayout>
      </c:layout>
      <c:lineChart>
        <c:grouping val="standard"/>
        <c:varyColors val="0"/>
        <c:ser>
          <c:idx val="0"/>
          <c:order val="0"/>
          <c:tx>
            <c:strRef>
              <c:f>'打印-走势图（4张18-22）'!$A$8:$B$8</c:f>
              <c:strCache>
                <c:ptCount val="1"/>
                <c:pt idx="0">
                  <c:v>硫磺 18年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13963821009203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18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'打印-走势图（4张18-22）'!$C$8:$N$8</c:f>
              <c:numCache>
                <c:formatCode>0</c:formatCode>
                <c:ptCount val="12"/>
                <c:pt idx="0">
                  <c:v>1214</c:v>
                </c:pt>
                <c:pt idx="1">
                  <c:v>1229</c:v>
                </c:pt>
                <c:pt idx="2">
                  <c:v>1147</c:v>
                </c:pt>
                <c:pt idx="3">
                  <c:v>1089</c:v>
                </c:pt>
                <c:pt idx="4">
                  <c:v>1157</c:v>
                </c:pt>
                <c:pt idx="5">
                  <c:v>1178</c:v>
                </c:pt>
                <c:pt idx="6">
                  <c:v>1223</c:v>
                </c:pt>
                <c:pt idx="7">
                  <c:v>1358</c:v>
                </c:pt>
                <c:pt idx="8">
                  <c:v>1517</c:v>
                </c:pt>
                <c:pt idx="9">
                  <c:v>1489</c:v>
                </c:pt>
                <c:pt idx="10">
                  <c:v>1428</c:v>
                </c:pt>
                <c:pt idx="11">
                  <c:v>1260.5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'打印-走势图（4张18-22）'!$A$9:$B$9</c:f>
              <c:strCache>
                <c:ptCount val="1"/>
                <c:pt idx="0">
                  <c:v>硫磺 19年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17986366019927"/>
                  <c:y val="-1.17256933466893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19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'打印-走势图（4张18-22）'!$C$9:$N$9</c:f>
              <c:numCache>
                <c:formatCode>0</c:formatCode>
                <c:ptCount val="12"/>
                <c:pt idx="0">
                  <c:v>1163.57</c:v>
                </c:pt>
                <c:pt idx="1">
                  <c:v>1116</c:v>
                </c:pt>
                <c:pt idx="2">
                  <c:v>1035.9</c:v>
                </c:pt>
                <c:pt idx="3">
                  <c:v>1027.73</c:v>
                </c:pt>
                <c:pt idx="4">
                  <c:v>1002.85714285714</c:v>
                </c:pt>
                <c:pt idx="5">
                  <c:v>993.684210526316</c:v>
                </c:pt>
                <c:pt idx="6">
                  <c:v>871.086956521739</c:v>
                </c:pt>
                <c:pt idx="7">
                  <c:v>782.272727272727</c:v>
                </c:pt>
                <c:pt idx="8">
                  <c:v>672.6</c:v>
                </c:pt>
                <c:pt idx="9">
                  <c:v>632.368421052632</c:v>
                </c:pt>
                <c:pt idx="10">
                  <c:v>553.571428571429</c:v>
                </c:pt>
                <c:pt idx="11">
                  <c:v>569.090909090909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'打印-走势图（4张18-22）'!$A$10:$B$10</c:f>
              <c:strCache>
                <c:ptCount val="1"/>
                <c:pt idx="0">
                  <c:v>硫磺 20年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17986366019927"/>
                  <c:y val="-9.74494433798589e-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20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'打印-走势图（4张18-22）'!$C$10:$N$10</c:f>
              <c:numCache>
                <c:formatCode>0</c:formatCode>
                <c:ptCount val="12"/>
                <c:pt idx="0">
                  <c:v>626.5625</c:v>
                </c:pt>
                <c:pt idx="1">
                  <c:v>641.136363636364</c:v>
                </c:pt>
                <c:pt idx="2">
                  <c:v>698.863636363636</c:v>
                </c:pt>
                <c:pt idx="3">
                  <c:v>628.409090909091</c:v>
                </c:pt>
                <c:pt idx="4">
                  <c:v>671.052631578947</c:v>
                </c:pt>
                <c:pt idx="5">
                  <c:v>691.190476190476</c:v>
                </c:pt>
                <c:pt idx="6">
                  <c:v>660.869565217391</c:v>
                </c:pt>
                <c:pt idx="7">
                  <c:v>681.904761904762</c:v>
                </c:pt>
                <c:pt idx="8">
                  <c:v>732.173913043478</c:v>
                </c:pt>
                <c:pt idx="9">
                  <c:v>776.176470588235</c:v>
                </c:pt>
                <c:pt idx="10">
                  <c:v>836.363636363636</c:v>
                </c:pt>
                <c:pt idx="11">
                  <c:v>950.47619047619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'打印-走势图（4张18-22）'!$A$11:$B$11</c:f>
              <c:strCache>
                <c:ptCount val="1"/>
                <c:pt idx="0">
                  <c:v>硫磺 21年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03173595683909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21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'打印-走势图（4张18-22）'!$C$11:$N$11</c:f>
              <c:numCache>
                <c:formatCode>0</c:formatCode>
                <c:ptCount val="12"/>
                <c:pt idx="0">
                  <c:v>1122.75</c:v>
                </c:pt>
                <c:pt idx="1">
                  <c:v>1468.23529411765</c:v>
                </c:pt>
                <c:pt idx="2">
                  <c:v>1379.5652173913</c:v>
                </c:pt>
                <c:pt idx="3">
                  <c:v>1450</c:v>
                </c:pt>
                <c:pt idx="4">
                  <c:v>1584.47368421053</c:v>
                </c:pt>
                <c:pt idx="5">
                  <c:v>1627.85714285714</c:v>
                </c:pt>
                <c:pt idx="6">
                  <c:v>1614.31818181818</c:v>
                </c:pt>
                <c:pt idx="7">
                  <c:v>1804.09090909091</c:v>
                </c:pt>
                <c:pt idx="8">
                  <c:v>1938.40909090909</c:v>
                </c:pt>
                <c:pt idx="9">
                  <c:v>1967.05882352941</c:v>
                </c:pt>
                <c:pt idx="10">
                  <c:v>2031.81818181818</c:v>
                </c:pt>
                <c:pt idx="11">
                  <c:v>2343.04347826087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'打印-走势图（4张18-22）'!$A$12:$B$12</c:f>
              <c:strCache>
                <c:ptCount val="1"/>
                <c:pt idx="0">
                  <c:v>硫磺 22年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22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475091767173571"/>
                      <c:h val="0.0539036476359211"/>
                    </c:manualLayout>
                  </c15:layout>
                </c:ext>
              </c:extLst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'打印-走势图（4张18-22）'!$C$2:$N$2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'打印-走势图（4张18-22）'!$C$12:$N$12</c:f>
              <c:numCache>
                <c:formatCode>0</c:formatCode>
                <c:ptCount val="12"/>
                <c:pt idx="0">
                  <c:v>2491.25</c:v>
                </c:pt>
                <c:pt idx="1">
                  <c:v>2599.33333333333</c:v>
                </c:pt>
                <c:pt idx="2">
                  <c:v>3266</c:v>
                </c:pt>
                <c:pt idx="3">
                  <c:v>3540.47619047619</c:v>
                </c:pt>
                <c:pt idx="4">
                  <c:v>4064</c:v>
                </c:pt>
                <c:pt idx="5">
                  <c:v>3568.09523809524</c:v>
                </c:pt>
                <c:pt idx="6">
                  <c:v>1894.28571428571</c:v>
                </c:pt>
                <c:pt idx="7">
                  <c:v>1086.52173913043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882544"/>
        <c:axId val="924878936"/>
      </c:lineChart>
      <c:catAx>
        <c:axId val="92488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78936"/>
        <c:crosses val="autoZero"/>
        <c:auto val="1"/>
        <c:lblAlgn val="ctr"/>
        <c:lblOffset val="100"/>
        <c:noMultiLvlLbl val="0"/>
      </c:catAx>
      <c:valAx>
        <c:axId val="924878936"/>
        <c:scaling>
          <c:orientation val="minMax"/>
          <c:max val="410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8254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690722778663"/>
          <c:y val="0.0625907830798259"/>
          <c:w val="0.488896481673404"/>
          <c:h val="0.05396583981527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8b5a7c-5b5e-48d7-888f-8a806632aa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二铵价格走势图</a:t>
            </a:r>
            <a:endParaRPr lang="zh-CN" altLang="en-US" sz="2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229834852946"/>
          <c:y val="0.117182097029538"/>
          <c:w val="0.893772425830416"/>
          <c:h val="0.793036547514894"/>
        </c:manualLayout>
      </c:layout>
      <c:lineChart>
        <c:grouping val="standard"/>
        <c:varyColors val="0"/>
        <c:ser>
          <c:idx val="0"/>
          <c:order val="0"/>
          <c:tx>
            <c:strRef>
              <c:f>'打印-走势图（4张17-21)'!$A$3:$B$3</c:f>
              <c:strCache>
                <c:ptCount val="1"/>
                <c:pt idx="0">
                  <c:v>二铵 17年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2827994189311e-16"/>
                  <c:y val="-0.006622516556291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17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'打印-走势图（4张17-21)'!$C$3:$N$3</c:f>
              <c:numCache>
                <c:formatCode>0</c:formatCode>
                <c:ptCount val="12"/>
                <c:pt idx="0">
                  <c:v>2134.89368553085</c:v>
                </c:pt>
                <c:pt idx="1">
                  <c:v>2300.40239887854</c:v>
                </c:pt>
                <c:pt idx="2">
                  <c:v>2353.51886407236</c:v>
                </c:pt>
                <c:pt idx="3">
                  <c:v>2376.9914041787</c:v>
                </c:pt>
                <c:pt idx="4">
                  <c:v>2370.11097779376</c:v>
                </c:pt>
                <c:pt idx="5">
                  <c:v>2285.11727121911</c:v>
                </c:pt>
                <c:pt idx="6">
                  <c:v>2235.3890116282</c:v>
                </c:pt>
                <c:pt idx="7">
                  <c:v>2225.46747367068</c:v>
                </c:pt>
                <c:pt idx="8">
                  <c:v>2229.89952883193</c:v>
                </c:pt>
                <c:pt idx="9">
                  <c:v>2235.73247647006</c:v>
                </c:pt>
                <c:pt idx="10">
                  <c:v>2329.2131481707</c:v>
                </c:pt>
                <c:pt idx="11">
                  <c:v>2470.30616907957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'打印-走势图（4张17-21)'!$A$4:$B$4</c:f>
              <c:strCache>
                <c:ptCount val="1"/>
                <c:pt idx="0">
                  <c:v>二铵 18年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"/>
                  <c:y val="-0.0016271403574554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18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'打印-走势图（4张17-21)'!$C$4:$N$4</c:f>
              <c:numCache>
                <c:formatCode>0</c:formatCode>
                <c:ptCount val="12"/>
                <c:pt idx="0">
                  <c:v>2501.27733994969</c:v>
                </c:pt>
                <c:pt idx="1">
                  <c:v>2526.66487491209</c:v>
                </c:pt>
                <c:pt idx="2">
                  <c:v>2597.13533556329</c:v>
                </c:pt>
                <c:pt idx="3">
                  <c:v>2548.62846129866</c:v>
                </c:pt>
                <c:pt idx="4">
                  <c:v>2565.61944262039</c:v>
                </c:pt>
                <c:pt idx="5">
                  <c:v>2575.92776325538</c:v>
                </c:pt>
                <c:pt idx="6">
                  <c:v>2678.8684330737</c:v>
                </c:pt>
                <c:pt idx="7">
                  <c:v>2733.19732199673</c:v>
                </c:pt>
                <c:pt idx="8">
                  <c:v>2745.26197429751</c:v>
                </c:pt>
                <c:pt idx="9">
                  <c:v>2742.63429292559</c:v>
                </c:pt>
                <c:pt idx="10">
                  <c:v>2700</c:v>
                </c:pt>
                <c:pt idx="11">
                  <c:v>2700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'打印-走势图（4张17-21)'!$A$5:$B$5</c:f>
              <c:strCache>
                <c:ptCount val="1"/>
                <c:pt idx="0">
                  <c:v>二铵 19年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2827994189311e-16"/>
                  <c:y val="-1.21411400977144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19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'打印-走势图（4张17-21)'!$C$5:$N$5</c:f>
              <c:numCache>
                <c:formatCode>0</c:formatCode>
                <c:ptCount val="12"/>
                <c:pt idx="0">
                  <c:v>2614</c:v>
                </c:pt>
                <c:pt idx="1">
                  <c:v>2625</c:v>
                </c:pt>
                <c:pt idx="2">
                  <c:v>2520.39182203737</c:v>
                </c:pt>
                <c:pt idx="3">
                  <c:v>2512.13068830001</c:v>
                </c:pt>
                <c:pt idx="4">
                  <c:v>2429.00920272917</c:v>
                </c:pt>
                <c:pt idx="5">
                  <c:v>2407.32579117454</c:v>
                </c:pt>
                <c:pt idx="6">
                  <c:v>2214.27488235976</c:v>
                </c:pt>
                <c:pt idx="7">
                  <c:v>2214.17373230795</c:v>
                </c:pt>
                <c:pt idx="8">
                  <c:v>2187.03721640631</c:v>
                </c:pt>
                <c:pt idx="9">
                  <c:v>2139.20731562574</c:v>
                </c:pt>
                <c:pt idx="10">
                  <c:v>2103.83873158189</c:v>
                </c:pt>
                <c:pt idx="11">
                  <c:v>2061.2315180595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'打印-走势图（4张17-21)'!$A$6:$B$6</c:f>
              <c:strCache>
                <c:ptCount val="1"/>
                <c:pt idx="0">
                  <c:v>二铵 20年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20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'打印-走势图（4张17-21)'!$C$6:$N$6</c:f>
              <c:numCache>
                <c:formatCode>0</c:formatCode>
                <c:ptCount val="12"/>
                <c:pt idx="0">
                  <c:v>2085.85646546543</c:v>
                </c:pt>
                <c:pt idx="1">
                  <c:v>1986.99049986103</c:v>
                </c:pt>
                <c:pt idx="2">
                  <c:v>1986.99049986103</c:v>
                </c:pt>
                <c:pt idx="3">
                  <c:v>2071.54970299319</c:v>
                </c:pt>
                <c:pt idx="4">
                  <c:v>2060.86989188714</c:v>
                </c:pt>
                <c:pt idx="5">
                  <c:v>2071.91942244851</c:v>
                </c:pt>
                <c:pt idx="6">
                  <c:v>2098.81534256527</c:v>
                </c:pt>
                <c:pt idx="7">
                  <c:v>2082.68201288914</c:v>
                </c:pt>
                <c:pt idx="8">
                  <c:v>2176.04544673005</c:v>
                </c:pt>
                <c:pt idx="9">
                  <c:v>2238.37267542502</c:v>
                </c:pt>
                <c:pt idx="10">
                  <c:v>2273.71492390218</c:v>
                </c:pt>
                <c:pt idx="11">
                  <c:v>2310.92311103161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'打印-走势图（4张17-21)'!$A$7:$B$7</c:f>
              <c:strCache>
                <c:ptCount val="1"/>
                <c:pt idx="0">
                  <c:v>二铵 21年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layout>
                <c:manualLayout>
                  <c:x val="0.31948461740731"/>
                  <c:y val="-0.01000031246094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21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'打印-走势图（4张17-21)'!$C$7:$N$7</c:f>
              <c:numCache>
                <c:formatCode>0</c:formatCode>
                <c:ptCount val="12"/>
                <c:pt idx="0">
                  <c:v>2365.12277264168</c:v>
                </c:pt>
                <c:pt idx="1">
                  <c:v>2471.1848190443</c:v>
                </c:pt>
                <c:pt idx="2">
                  <c:v>2727.36764923849</c:v>
                </c:pt>
                <c:pt idx="3">
                  <c:v>3293.74390943446</c:v>
                </c:pt>
                <c:pt idx="4">
                  <c:v>3225.76580175787</c:v>
                </c:pt>
                <c:pt idx="5">
                  <c:v>3262.17499294506</c:v>
                </c:pt>
                <c:pt idx="6">
                  <c:v>3373.02009683852</c:v>
                </c:pt>
                <c:pt idx="7">
                  <c:v>3508.28733466809</c:v>
                </c:pt>
                <c:pt idx="8">
                  <c:v>3780.28873276843</c:v>
                </c:pt>
                <c:pt idx="9">
                  <c:v>3742.63740127969</c:v>
                </c:pt>
                <c:pt idx="10">
                  <c:v>3536.15387237605</c:v>
                </c:pt>
                <c:pt idx="11">
                  <c:v>3536.09939443262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351624"/>
        <c:axId val="612350312"/>
      </c:lineChart>
      <c:catAx>
        <c:axId val="6123516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350312"/>
        <c:crosses val="autoZero"/>
        <c:auto val="1"/>
        <c:lblAlgn val="ctr"/>
        <c:lblOffset val="100"/>
        <c:noMultiLvlLbl val="0"/>
      </c:catAx>
      <c:valAx>
        <c:axId val="612350312"/>
        <c:scaling>
          <c:orientation val="minMax"/>
          <c:max val="3800"/>
          <c:min val="19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35162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1643998418157"/>
          <c:y val="0.0697382879223431"/>
          <c:w val="0.490310591928047"/>
          <c:h val="0.0279019810023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58ca04-0337-4ee3-9359-7cda0f3dcb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磷矿</a:t>
            </a:r>
            <a:r>
              <a:rPr lang="en-US" altLang="zh-CN" sz="2000" b="1"/>
              <a:t>(</a:t>
            </a:r>
            <a:r>
              <a:rPr lang="zh-CN" altLang="en-US" sz="2000" b="1"/>
              <a:t>股份</a:t>
            </a:r>
            <a:r>
              <a:rPr lang="en-US" altLang="zh-CN" sz="2000" b="1"/>
              <a:t>27)</a:t>
            </a:r>
            <a:r>
              <a:rPr lang="zh-CN" altLang="en-US" sz="2000" b="1"/>
              <a:t>价格走势图</a:t>
            </a:r>
            <a:endParaRPr lang="zh-CN" altLang="en-US" sz="2000" b="1"/>
          </a:p>
        </c:rich>
      </c:tx>
      <c:layout>
        <c:manualLayout>
          <c:xMode val="edge"/>
          <c:yMode val="edge"/>
          <c:x val="0.362042750492764"/>
          <c:y val="0.023654642223536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11605747725114"/>
          <c:y val="0.135533977658114"/>
          <c:w val="0.900333854182624"/>
          <c:h val="0.801974185934114"/>
        </c:manualLayout>
      </c:layout>
      <c:lineChart>
        <c:grouping val="standard"/>
        <c:varyColors val="0"/>
        <c:ser>
          <c:idx val="0"/>
          <c:order val="0"/>
          <c:tx>
            <c:strRef>
              <c:f>'打印-走势图（4张17-21)'!$A$13:$B$13</c:f>
              <c:strCache>
                <c:ptCount val="1"/>
                <c:pt idx="0">
                  <c:v>磷矿 17年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2355758456320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17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'打印-走势图（4张17-21)'!$C$13:$N$13</c:f>
              <c:numCache>
                <c:formatCode>0</c:formatCode>
                <c:ptCount val="12"/>
                <c:pt idx="0">
                  <c:v>340</c:v>
                </c:pt>
                <c:pt idx="1">
                  <c:v>355</c:v>
                </c:pt>
                <c:pt idx="2">
                  <c:v>355</c:v>
                </c:pt>
                <c:pt idx="3">
                  <c:v>355</c:v>
                </c:pt>
                <c:pt idx="4">
                  <c:v>355</c:v>
                </c:pt>
                <c:pt idx="5">
                  <c:v>355</c:v>
                </c:pt>
                <c:pt idx="6">
                  <c:v>355</c:v>
                </c:pt>
                <c:pt idx="7">
                  <c:v>355</c:v>
                </c:pt>
                <c:pt idx="8">
                  <c:v>355</c:v>
                </c:pt>
                <c:pt idx="9">
                  <c:v>355</c:v>
                </c:pt>
                <c:pt idx="10">
                  <c:v>355</c:v>
                </c:pt>
                <c:pt idx="11">
                  <c:v>430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'打印-走势图（4张17-21)'!$A$14:$B$14</c:f>
              <c:strCache>
                <c:ptCount val="1"/>
                <c:pt idx="0">
                  <c:v>磷矿 18年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0226942127614e-16"/>
                  <c:y val="-0.01852711528595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18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'打印-走势图（4张17-21)'!$C$14:$N$14</c:f>
              <c:numCache>
                <c:formatCode>0</c:formatCode>
                <c:ptCount val="12"/>
                <c:pt idx="0">
                  <c:v>430</c:v>
                </c:pt>
                <c:pt idx="1">
                  <c:v>430</c:v>
                </c:pt>
                <c:pt idx="2">
                  <c:v>430</c:v>
                </c:pt>
                <c:pt idx="3">
                  <c:v>430</c:v>
                </c:pt>
                <c:pt idx="4">
                  <c:v>430</c:v>
                </c:pt>
                <c:pt idx="5">
                  <c:v>430</c:v>
                </c:pt>
                <c:pt idx="6">
                  <c:v>430</c:v>
                </c:pt>
                <c:pt idx="7">
                  <c:v>430</c:v>
                </c:pt>
                <c:pt idx="8">
                  <c:v>430</c:v>
                </c:pt>
                <c:pt idx="9">
                  <c:v>430</c:v>
                </c:pt>
                <c:pt idx="10">
                  <c:v>450</c:v>
                </c:pt>
                <c:pt idx="11">
                  <c:v>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'打印-走势图（4张17-21)'!$A$15:$B$15</c:f>
              <c:strCache>
                <c:ptCount val="1"/>
                <c:pt idx="0">
                  <c:v>磷矿 19年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-1.90226942127614e-16"/>
                  <c:y val="-0.0009365026554780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19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'打印-走势图（4张17-21)'!$C$15:$N$15</c:f>
              <c:numCache>
                <c:formatCode>0</c:formatCode>
                <c:ptCount val="12"/>
                <c:pt idx="0">
                  <c:v>470</c:v>
                </c:pt>
                <c:pt idx="1">
                  <c:v>470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400</c:v>
                </c:pt>
                <c:pt idx="7">
                  <c:v>400</c:v>
                </c:pt>
                <c:pt idx="8">
                  <c:v>380</c:v>
                </c:pt>
                <c:pt idx="9">
                  <c:v>380</c:v>
                </c:pt>
                <c:pt idx="10">
                  <c:v>370</c:v>
                </c:pt>
                <c:pt idx="11">
                  <c:v>370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'打印-走势图（4张17-21)'!$A$16:$B$16</c:f>
              <c:strCache>
                <c:ptCount val="1"/>
                <c:pt idx="0">
                  <c:v>磷矿 20年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03173595683909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20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'打印-走势图（4张17-21)'!$C$16:$N$16</c:f>
              <c:numCache>
                <c:formatCode>0</c:formatCode>
                <c:ptCount val="12"/>
                <c:pt idx="0">
                  <c:v>370</c:v>
                </c:pt>
                <c:pt idx="1">
                  <c:v>370</c:v>
                </c:pt>
                <c:pt idx="2">
                  <c:v>370</c:v>
                </c:pt>
                <c:pt idx="3">
                  <c:v>338</c:v>
                </c:pt>
                <c:pt idx="4">
                  <c:v>338</c:v>
                </c:pt>
                <c:pt idx="5">
                  <c:v>338</c:v>
                </c:pt>
                <c:pt idx="6">
                  <c:v>338</c:v>
                </c:pt>
                <c:pt idx="7">
                  <c:v>338</c:v>
                </c:pt>
                <c:pt idx="8">
                  <c:v>328</c:v>
                </c:pt>
                <c:pt idx="9">
                  <c:v>328</c:v>
                </c:pt>
                <c:pt idx="10">
                  <c:v>358</c:v>
                </c:pt>
                <c:pt idx="11">
                  <c:v>358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'打印-走势图（4张17-21)'!$A$17:$B$17</c:f>
              <c:strCache>
                <c:ptCount val="1"/>
                <c:pt idx="0">
                  <c:v>磷矿 21年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>
                <c:manualLayout>
                  <c:x val="0.483787340298416"/>
                  <c:y val="-0.32037064420155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21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475091767173571"/>
                      <c:h val="0.0539036476359211"/>
                    </c:manualLayout>
                  </c15:layout>
                </c:ext>
              </c:extLst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'打印-走势图（4张17-21)'!$C$17:$N$17</c:f>
              <c:numCache>
                <c:formatCode>0</c:formatCode>
                <c:ptCount val="12"/>
                <c:pt idx="0">
                  <c:v>358</c:v>
                </c:pt>
                <c:pt idx="1">
                  <c:v>358</c:v>
                </c:pt>
                <c:pt idx="2">
                  <c:v>358</c:v>
                </c:pt>
                <c:pt idx="3">
                  <c:v>408</c:v>
                </c:pt>
                <c:pt idx="4">
                  <c:v>458</c:v>
                </c:pt>
                <c:pt idx="5">
                  <c:v>488</c:v>
                </c:pt>
                <c:pt idx="6">
                  <c:v>508</c:v>
                </c:pt>
                <c:pt idx="7">
                  <c:v>558</c:v>
                </c:pt>
                <c:pt idx="8">
                  <c:v>608</c:v>
                </c:pt>
                <c:pt idx="9">
                  <c:v>608</c:v>
                </c:pt>
                <c:pt idx="10">
                  <c:v>608</c:v>
                </c:pt>
                <c:pt idx="11">
                  <c:v>608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882544"/>
        <c:axId val="924878936"/>
      </c:lineChart>
      <c:catAx>
        <c:axId val="92488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78936"/>
        <c:crosses val="autoZero"/>
        <c:auto val="1"/>
        <c:lblAlgn val="ctr"/>
        <c:lblOffset val="100"/>
        <c:noMultiLvlLbl val="0"/>
      </c:catAx>
      <c:valAx>
        <c:axId val="924878936"/>
        <c:scaling>
          <c:orientation val="minMax"/>
          <c:max val="620"/>
          <c:min val="3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8254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71773032262"/>
          <c:y val="0.0854942036783743"/>
          <c:w val="0.48369680443641"/>
          <c:h val="0.0293429283780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f8508e-1079-4ae5-bfe6-5e299fced6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硫磺价格走势图</a:t>
            </a:r>
            <a:endParaRPr lang="zh-CN" altLang="en-US" sz="2000" b="1"/>
          </a:p>
        </c:rich>
      </c:tx>
      <c:layout>
        <c:manualLayout>
          <c:xMode val="edge"/>
          <c:yMode val="edge"/>
          <c:x val="0.399536321483771"/>
          <c:y val="0.0115009908400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7688434550077"/>
          <c:y val="0.112630706553247"/>
          <c:w val="0.893725612595129"/>
          <c:h val="0.83025500953947"/>
        </c:manualLayout>
      </c:layout>
      <c:lineChart>
        <c:grouping val="standard"/>
        <c:varyColors val="0"/>
        <c:ser>
          <c:idx val="0"/>
          <c:order val="0"/>
          <c:tx>
            <c:strRef>
              <c:f>'打印-走势图（4张17-21)'!$A$8:$B$8</c:f>
              <c:strCache>
                <c:ptCount val="1"/>
                <c:pt idx="0">
                  <c:v>硫磺 17年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13963821009203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17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'打印-走势图（4张17-21)'!$C$8:$N$8</c:f>
              <c:numCache>
                <c:formatCode>0</c:formatCode>
                <c:ptCount val="12"/>
                <c:pt idx="0">
                  <c:v>917</c:v>
                </c:pt>
                <c:pt idx="1">
                  <c:v>937</c:v>
                </c:pt>
                <c:pt idx="2">
                  <c:v>923</c:v>
                </c:pt>
                <c:pt idx="3">
                  <c:v>833</c:v>
                </c:pt>
                <c:pt idx="4">
                  <c:v>843</c:v>
                </c:pt>
                <c:pt idx="5">
                  <c:v>867</c:v>
                </c:pt>
                <c:pt idx="6">
                  <c:v>932</c:v>
                </c:pt>
                <c:pt idx="7">
                  <c:v>1013</c:v>
                </c:pt>
                <c:pt idx="8">
                  <c:v>1075</c:v>
                </c:pt>
                <c:pt idx="9">
                  <c:v>1416</c:v>
                </c:pt>
                <c:pt idx="10">
                  <c:v>1632</c:v>
                </c:pt>
                <c:pt idx="11">
                  <c:v>1331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'打印-走势图（4张17-21)'!$A$9:$B$9</c:f>
              <c:strCache>
                <c:ptCount val="1"/>
                <c:pt idx="0">
                  <c:v>硫磺 18年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17986366019927"/>
                  <c:y val="-1.17256933466893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18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'打印-走势图（4张17-21)'!$C$9:$N$9</c:f>
              <c:numCache>
                <c:formatCode>0</c:formatCode>
                <c:ptCount val="12"/>
                <c:pt idx="0">
                  <c:v>1214</c:v>
                </c:pt>
                <c:pt idx="1">
                  <c:v>1229</c:v>
                </c:pt>
                <c:pt idx="2">
                  <c:v>1147</c:v>
                </c:pt>
                <c:pt idx="3">
                  <c:v>1089</c:v>
                </c:pt>
                <c:pt idx="4">
                  <c:v>1157</c:v>
                </c:pt>
                <c:pt idx="5">
                  <c:v>1178</c:v>
                </c:pt>
                <c:pt idx="6">
                  <c:v>1223</c:v>
                </c:pt>
                <c:pt idx="7">
                  <c:v>1358</c:v>
                </c:pt>
                <c:pt idx="8">
                  <c:v>1517</c:v>
                </c:pt>
                <c:pt idx="9">
                  <c:v>1489</c:v>
                </c:pt>
                <c:pt idx="10">
                  <c:v>1428</c:v>
                </c:pt>
                <c:pt idx="11">
                  <c:v>1260.5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'打印-走势图（4张17-21)'!$A$10:$B$10</c:f>
              <c:strCache>
                <c:ptCount val="1"/>
                <c:pt idx="0">
                  <c:v>硫磺 19年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17986366019927"/>
                  <c:y val="-9.74494433798589e-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19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'打印-走势图（4张17-21)'!$C$10:$N$10</c:f>
              <c:numCache>
                <c:formatCode>0</c:formatCode>
                <c:ptCount val="12"/>
                <c:pt idx="0">
                  <c:v>1163.57</c:v>
                </c:pt>
                <c:pt idx="1">
                  <c:v>1116</c:v>
                </c:pt>
                <c:pt idx="2">
                  <c:v>1035.9</c:v>
                </c:pt>
                <c:pt idx="3">
                  <c:v>1027.73</c:v>
                </c:pt>
                <c:pt idx="4">
                  <c:v>1002.85714285714</c:v>
                </c:pt>
                <c:pt idx="5">
                  <c:v>993.684210526316</c:v>
                </c:pt>
                <c:pt idx="6">
                  <c:v>871.086956521739</c:v>
                </c:pt>
                <c:pt idx="7">
                  <c:v>782.272727272727</c:v>
                </c:pt>
                <c:pt idx="8">
                  <c:v>672.6</c:v>
                </c:pt>
                <c:pt idx="9">
                  <c:v>632.368421052632</c:v>
                </c:pt>
                <c:pt idx="10">
                  <c:v>553.571428571429</c:v>
                </c:pt>
                <c:pt idx="11">
                  <c:v>569.090909090909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'打印-走势图（4张17-21)'!$A$11:$B$11</c:f>
              <c:strCache>
                <c:ptCount val="1"/>
                <c:pt idx="0">
                  <c:v>硫磺 20年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>
                <c:manualLayout>
                  <c:x val="0.010487676979549"/>
                  <c:y val="-0.003173595683909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20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'打印-走势图（4张17-21)'!$C$11:$N$11</c:f>
              <c:numCache>
                <c:formatCode>0</c:formatCode>
                <c:ptCount val="12"/>
                <c:pt idx="0">
                  <c:v>626.5625</c:v>
                </c:pt>
                <c:pt idx="1">
                  <c:v>641.136363636364</c:v>
                </c:pt>
                <c:pt idx="2">
                  <c:v>698.863636363636</c:v>
                </c:pt>
                <c:pt idx="3">
                  <c:v>628.409090909091</c:v>
                </c:pt>
                <c:pt idx="4">
                  <c:v>671.052631578947</c:v>
                </c:pt>
                <c:pt idx="5">
                  <c:v>691.190476190476</c:v>
                </c:pt>
                <c:pt idx="6">
                  <c:v>660.869565217391</c:v>
                </c:pt>
                <c:pt idx="7">
                  <c:v>681.904761904762</c:v>
                </c:pt>
                <c:pt idx="8">
                  <c:v>732.173913043478</c:v>
                </c:pt>
                <c:pt idx="9">
                  <c:v>776.176470588235</c:v>
                </c:pt>
                <c:pt idx="10">
                  <c:v>836.363636363636</c:v>
                </c:pt>
                <c:pt idx="11">
                  <c:v>950.47619047619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'打印-走势图（4张17-21)'!$A$12:$B$12</c:f>
              <c:strCache>
                <c:ptCount val="1"/>
                <c:pt idx="0">
                  <c:v>硫磺 21年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>
                <c:manualLayout>
                  <c:x val="0.480422513356619"/>
                  <c:y val="-0.331325235324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>
                        <a:latin typeface="+mn-ea"/>
                        <a:ea typeface="+mn-ea"/>
                      </a:rPr>
                      <a:t>21</a:t>
                    </a:r>
                    <a:r>
                      <a:rPr lang="zh-CN" altLang="en-US" sz="1400" b="1">
                        <a:latin typeface="+mn-ea"/>
                        <a:ea typeface="+mn-ea"/>
                      </a:rPr>
                      <a:t>年</a:t>
                    </a:r>
                    <a:endParaRPr lang="zh-CN" altLang="en-US" sz="1400" b="1">
                      <a:latin typeface="+mn-ea"/>
                      <a:ea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475091767173571"/>
                      <c:h val="0.0539036476359211"/>
                    </c:manualLayout>
                  </c15:layout>
                </c:ext>
              </c:extLst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'打印-走势图（4张17-21)'!$C$2:$N$2</c:f>
              <c:strCache>
                <c:ptCount val="12"/>
                <c:pt idx="0" c:formatCode="@">
                  <c:v>1月</c:v>
                </c:pt>
                <c:pt idx="1" c:formatCode="@">
                  <c:v>2月</c:v>
                </c:pt>
                <c:pt idx="2" c:formatCode="@">
                  <c:v>3月</c:v>
                </c:pt>
                <c:pt idx="3" c:formatCode="@">
                  <c:v>4月</c:v>
                </c:pt>
                <c:pt idx="4" c:formatCode="@">
                  <c:v>5月</c:v>
                </c:pt>
                <c:pt idx="5" c:formatCode="@">
                  <c:v>6月</c:v>
                </c:pt>
                <c:pt idx="6" c:formatCode="@">
                  <c:v>7月</c:v>
                </c:pt>
                <c:pt idx="7" c:formatCode="@">
                  <c:v>8月</c:v>
                </c:pt>
                <c:pt idx="8" c:formatCode="@">
                  <c:v>9月</c:v>
                </c:pt>
                <c:pt idx="9" c:formatCode="@">
                  <c:v>10月</c:v>
                </c:pt>
                <c:pt idx="10" c:formatCode="@">
                  <c:v>11月</c:v>
                </c:pt>
                <c:pt idx="11" c:formatCode="@">
                  <c:v>12月</c:v>
                </c:pt>
              </c:strCache>
            </c:strRef>
          </c:cat>
          <c:val>
            <c:numRef>
              <c:f>'打印-走势图（4张17-21)'!$C$12:$N$12</c:f>
              <c:numCache>
                <c:formatCode>0</c:formatCode>
                <c:ptCount val="12"/>
                <c:pt idx="0">
                  <c:v>1122.75</c:v>
                </c:pt>
                <c:pt idx="1">
                  <c:v>1468.23529411765</c:v>
                </c:pt>
                <c:pt idx="2">
                  <c:v>1379.5652173913</c:v>
                </c:pt>
                <c:pt idx="3">
                  <c:v>1450</c:v>
                </c:pt>
                <c:pt idx="4">
                  <c:v>1584.47368421053</c:v>
                </c:pt>
                <c:pt idx="5">
                  <c:v>1627.85714285714</c:v>
                </c:pt>
                <c:pt idx="6">
                  <c:v>1614.31818181818</c:v>
                </c:pt>
                <c:pt idx="7">
                  <c:v>1804.09090909091</c:v>
                </c:pt>
                <c:pt idx="8">
                  <c:v>1938.40909090909</c:v>
                </c:pt>
                <c:pt idx="9">
                  <c:v>1967.05882352941</c:v>
                </c:pt>
                <c:pt idx="10">
                  <c:v>2031.81818181818</c:v>
                </c:pt>
                <c:pt idx="11">
                  <c:v>2343.04347826087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882544"/>
        <c:axId val="924878936"/>
      </c:lineChart>
      <c:catAx>
        <c:axId val="92488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78936"/>
        <c:crosses val="autoZero"/>
        <c:auto val="1"/>
        <c:lblAlgn val="ctr"/>
        <c:lblOffset val="100"/>
        <c:noMultiLvlLbl val="0"/>
      </c:catAx>
      <c:valAx>
        <c:axId val="924878936"/>
        <c:scaling>
          <c:orientation val="minMax"/>
          <c:max val="235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88254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690722778663"/>
          <c:y val="0.0625907830798259"/>
          <c:w val="0.488896481673404"/>
          <c:h val="0.05396583981527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76e5af-9e4c-45a7-aa7d-4528cdbef1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二铵、硫磺价格走势图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>
        <c:manualLayout>
          <c:xMode val="edge"/>
          <c:yMode val="edge"/>
          <c:x val="0.294810139783332"/>
          <c:y val="0.0123266563944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79252187263425"/>
          <c:y val="0.107750506533371"/>
          <c:w val="0.866198079424278"/>
          <c:h val="0.816153015541778"/>
        </c:manualLayout>
      </c:layout>
      <c:lineChart>
        <c:grouping val="standard"/>
        <c:varyColors val="0"/>
        <c:ser>
          <c:idx val="1"/>
          <c:order val="0"/>
          <c:tx>
            <c:strRef>
              <c:f>'走势图 (近5年3张)'!$A$2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layout>
                <c:manualLayout>
                  <c:x val="-0.0488297693214347"/>
                  <c:y val="-0.039511482633298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CN" altLang="zh-CN" sz="16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r>
                      <a:rPr lang="zh-CN" altLang="en-US" sz="1400"/>
                      <a:t>二铵</a:t>
                    </a:r>
                    <a:endParaRPr lang="zh-CN" altLang="en-US" sz="14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(近5年3张)'!$AX$1:$DA$1</c15:sqref>
                  </c15:fullRef>
                </c:ext>
              </c:extLst>
              <c:f>'走势图 (近5年3张)'!$AY$1:$DA$1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(近5年3张)'!$B$2:$DA$2</c15:sqref>
                  </c15:fullRef>
                </c:ext>
              </c:extLst>
              <c:f>'走势图 (近5年3张)'!$C$2:$DA$2</c:f>
              <c:numCache>
                <c:formatCode>0_);[Red]\(0\)</c:formatCode>
                <c:ptCount val="55"/>
                <c:pt idx="0">
                  <c:v>2526.66487491209</c:v>
                </c:pt>
                <c:pt idx="1">
                  <c:v>2597.13533556329</c:v>
                </c:pt>
                <c:pt idx="2">
                  <c:v>2548.62846129866</c:v>
                </c:pt>
                <c:pt idx="3">
                  <c:v>2565.61944262039</c:v>
                </c:pt>
                <c:pt idx="4">
                  <c:v>2575.92776325538</c:v>
                </c:pt>
                <c:pt idx="5">
                  <c:v>2678.8684330737</c:v>
                </c:pt>
                <c:pt idx="6">
                  <c:v>2733.19732199673</c:v>
                </c:pt>
                <c:pt idx="7">
                  <c:v>2745.26197429751</c:v>
                </c:pt>
                <c:pt idx="8">
                  <c:v>2742.63429292559</c:v>
                </c:pt>
                <c:pt idx="9">
                  <c:v>2700</c:v>
                </c:pt>
                <c:pt idx="10">
                  <c:v>2700</c:v>
                </c:pt>
                <c:pt idx="11">
                  <c:v>2614</c:v>
                </c:pt>
                <c:pt idx="12">
                  <c:v>2625</c:v>
                </c:pt>
                <c:pt idx="13">
                  <c:v>2520.39182203737</c:v>
                </c:pt>
                <c:pt idx="14">
                  <c:v>2512.13068830001</c:v>
                </c:pt>
                <c:pt idx="15">
                  <c:v>2429.00920272917</c:v>
                </c:pt>
                <c:pt idx="16">
                  <c:v>2407.32579117454</c:v>
                </c:pt>
                <c:pt idx="17">
                  <c:v>2214.27488235976</c:v>
                </c:pt>
                <c:pt idx="18">
                  <c:v>2214.17373230795</c:v>
                </c:pt>
                <c:pt idx="19">
                  <c:v>2187.03721640631</c:v>
                </c:pt>
                <c:pt idx="20">
                  <c:v>2139.20731562574</c:v>
                </c:pt>
                <c:pt idx="21">
                  <c:v>2103.83873158189</c:v>
                </c:pt>
                <c:pt idx="22">
                  <c:v>2061.2315180595</c:v>
                </c:pt>
                <c:pt idx="23">
                  <c:v>2085.85646546543</c:v>
                </c:pt>
                <c:pt idx="24">
                  <c:v>1986.99049986103</c:v>
                </c:pt>
                <c:pt idx="25">
                  <c:v>1986.99049986103</c:v>
                </c:pt>
                <c:pt idx="26">
                  <c:v>2071.54970299319</c:v>
                </c:pt>
                <c:pt idx="27">
                  <c:v>2060.86989188714</c:v>
                </c:pt>
                <c:pt idx="28">
                  <c:v>2071.91942244851</c:v>
                </c:pt>
                <c:pt idx="29">
                  <c:v>2098.81534256527</c:v>
                </c:pt>
                <c:pt idx="30">
                  <c:v>2082.68201288914</c:v>
                </c:pt>
                <c:pt idx="31">
                  <c:v>2176.04544673005</c:v>
                </c:pt>
                <c:pt idx="32">
                  <c:v>2238.37267542502</c:v>
                </c:pt>
                <c:pt idx="33">
                  <c:v>2273.71492390218</c:v>
                </c:pt>
                <c:pt idx="34">
                  <c:v>2310.92311103161</c:v>
                </c:pt>
                <c:pt idx="35">
                  <c:v>2365.12277264168</c:v>
                </c:pt>
                <c:pt idx="36">
                  <c:v>2471.1848190443</c:v>
                </c:pt>
                <c:pt idx="37">
                  <c:v>2727.36764923849</c:v>
                </c:pt>
                <c:pt idx="38">
                  <c:v>3293.74390943446</c:v>
                </c:pt>
                <c:pt idx="39">
                  <c:v>3225.76580175787</c:v>
                </c:pt>
                <c:pt idx="40">
                  <c:v>3262.17499294506</c:v>
                </c:pt>
                <c:pt idx="41">
                  <c:v>3373.02009683852</c:v>
                </c:pt>
                <c:pt idx="42">
                  <c:v>3508.28733466809</c:v>
                </c:pt>
                <c:pt idx="43">
                  <c:v>3780.28873276843</c:v>
                </c:pt>
                <c:pt idx="44">
                  <c:v>3742.63740127969</c:v>
                </c:pt>
                <c:pt idx="45">
                  <c:v>3536.15387237605</c:v>
                </c:pt>
                <c:pt idx="46">
                  <c:v>3536.09939443262</c:v>
                </c:pt>
                <c:pt idx="47">
                  <c:v>3635.94254687299</c:v>
                </c:pt>
                <c:pt idx="48">
                  <c:v>3566.13213614648</c:v>
                </c:pt>
                <c:pt idx="49">
                  <c:v>4271.26059306314</c:v>
                </c:pt>
                <c:pt idx="50">
                  <c:v>4362</c:v>
                </c:pt>
                <c:pt idx="51">
                  <c:v>5029</c:v>
                </c:pt>
                <c:pt idx="52">
                  <c:v>5280</c:v>
                </c:pt>
                <c:pt idx="53">
                  <c:v>5705</c:v>
                </c:pt>
                <c:pt idx="54">
                  <c:v>5154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'走势图 (近5年3张)'!$A$5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(近5年3张)'!$AX$1:$DA$1</c15:sqref>
                  </c15:fullRef>
                </c:ext>
              </c:extLst>
              <c:f>'走势图 (近5年3张)'!$AY$1:$DA$1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(近5年3张)'!$B$5:$DK$5</c15:sqref>
                  </c15:fullRef>
                </c:ext>
              </c:extLst>
              <c:f>'走势图 (近5年3张)'!$C$5:$DK$5</c:f>
            </c:numRef>
          </c:val>
          <c:smooth val="0"/>
        </c:ser>
        <c:ser>
          <c:idx val="4"/>
          <c:order val="3"/>
          <c:tx>
            <c:strRef>
              <c:f>'走势图 (近5年3张)'!$A$6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(近5年3张)'!$AX$1:$DA$1</c15:sqref>
                  </c15:fullRef>
                </c:ext>
              </c:extLst>
              <c:f>'走势图 (近5年3张)'!$AY$1:$DA$1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(近5年3张)'!$B$6:$DK$6</c15:sqref>
                  </c15:fullRef>
                </c:ext>
              </c:extLst>
              <c:f>'走势图 (近5年3张)'!$C$6:$DK$6</c:f>
            </c:numRef>
          </c:val>
          <c:smooth val="0"/>
        </c:ser>
        <c:ser>
          <c:idx val="0"/>
          <c:order val="4"/>
          <c:tx>
            <c:strRef>
              <c:f>'走势图 (近5年3张)'!$A$3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(近5年3张)'!$AX$1:$DA$1</c15:sqref>
                  </c15:fullRef>
                </c:ext>
              </c:extLst>
              <c:f>'走势图 (近5年3张)'!$AY$1:$DA$1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(近5年3张)'!$B$3:$DK$3</c15:sqref>
                  </c15:fullRef>
                </c:ext>
              </c:extLst>
              <c:f>'走势图 (近5年3张)'!$C$3:$DK$3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lineChart>
        <c:grouping val="standard"/>
        <c:varyColors val="0"/>
        <c:ser>
          <c:idx val="2"/>
          <c:order val="1"/>
          <c:tx>
            <c:strRef>
              <c:f>'走势图 (近5年3张)'!$A$4</c:f>
              <c:strCache>
                <c:ptCount val="1"/>
                <c:pt idx="0">
                  <c:v>硫磺到厂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layout>
                <c:manualLayout>
                  <c:x val="-0.0521973396194647"/>
                  <c:y val="-0.02690644061649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ea"/>
                        <a:ea typeface="+mn-ea"/>
                        <a:cs typeface="+mn-cs"/>
                      </a:defRPr>
                    </a:pPr>
                    <a:r>
                      <a:rPr lang="zh-CN" altLang="en-US" sz="1400"/>
                      <a:t>硫磺</a:t>
                    </a:r>
                    <a:endParaRPr lang="zh-CN" altLang="en-US" sz="14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(近5年3张)'!$AX$1:$DA$1</c15:sqref>
                  </c15:fullRef>
                </c:ext>
              </c:extLst>
              <c:f>'走势图 (近5年3张)'!$AY$1:$DA$1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(近5年3张)'!$B$4:$DA$4</c15:sqref>
                  </c15:fullRef>
                </c:ext>
              </c:extLst>
              <c:f>'走势图 (近5年3张)'!$C$4:$DA$4</c:f>
              <c:numCache>
                <c:formatCode>0_);[Red]\(0\)</c:formatCode>
                <c:ptCount val="55"/>
                <c:pt idx="0">
                  <c:v>1229</c:v>
                </c:pt>
                <c:pt idx="1">
                  <c:v>1147</c:v>
                </c:pt>
                <c:pt idx="2">
                  <c:v>1089</c:v>
                </c:pt>
                <c:pt idx="3">
                  <c:v>1157</c:v>
                </c:pt>
                <c:pt idx="4">
                  <c:v>1178</c:v>
                </c:pt>
                <c:pt idx="5">
                  <c:v>1223</c:v>
                </c:pt>
                <c:pt idx="6">
                  <c:v>1358</c:v>
                </c:pt>
                <c:pt idx="7">
                  <c:v>1517</c:v>
                </c:pt>
                <c:pt idx="8">
                  <c:v>1489</c:v>
                </c:pt>
                <c:pt idx="9">
                  <c:v>1428</c:v>
                </c:pt>
                <c:pt idx="10">
                  <c:v>1260.5</c:v>
                </c:pt>
                <c:pt idx="11">
                  <c:v>1163.57</c:v>
                </c:pt>
                <c:pt idx="12">
                  <c:v>1116</c:v>
                </c:pt>
                <c:pt idx="13">
                  <c:v>1035.9</c:v>
                </c:pt>
                <c:pt idx="14">
                  <c:v>1027.73</c:v>
                </c:pt>
                <c:pt idx="15">
                  <c:v>1002.85714285714</c:v>
                </c:pt>
                <c:pt idx="16">
                  <c:v>993.684210526316</c:v>
                </c:pt>
                <c:pt idx="17">
                  <c:v>871.086956521739</c:v>
                </c:pt>
                <c:pt idx="18">
                  <c:v>782.272727272727</c:v>
                </c:pt>
                <c:pt idx="19">
                  <c:v>672.6</c:v>
                </c:pt>
                <c:pt idx="20">
                  <c:v>632.368421052632</c:v>
                </c:pt>
                <c:pt idx="21">
                  <c:v>553.571428571429</c:v>
                </c:pt>
                <c:pt idx="22">
                  <c:v>569.090909090909</c:v>
                </c:pt>
                <c:pt idx="23">
                  <c:v>626.5625</c:v>
                </c:pt>
                <c:pt idx="24">
                  <c:v>641.136363636364</c:v>
                </c:pt>
                <c:pt idx="25">
                  <c:v>698.863636363636</c:v>
                </c:pt>
                <c:pt idx="26">
                  <c:v>628.409090909091</c:v>
                </c:pt>
                <c:pt idx="27">
                  <c:v>671.052631578947</c:v>
                </c:pt>
                <c:pt idx="28">
                  <c:v>691.190476190476</c:v>
                </c:pt>
                <c:pt idx="29">
                  <c:v>660.869565217391</c:v>
                </c:pt>
                <c:pt idx="30">
                  <c:v>681.904761904762</c:v>
                </c:pt>
                <c:pt idx="31">
                  <c:v>732.173913043478</c:v>
                </c:pt>
                <c:pt idx="32">
                  <c:v>776.176470588235</c:v>
                </c:pt>
                <c:pt idx="33">
                  <c:v>836.363636363636</c:v>
                </c:pt>
                <c:pt idx="34">
                  <c:v>950.47619047619</c:v>
                </c:pt>
                <c:pt idx="35">
                  <c:v>1122.75</c:v>
                </c:pt>
                <c:pt idx="36">
                  <c:v>1468.23529411765</c:v>
                </c:pt>
                <c:pt idx="37">
                  <c:v>1379.5652173913</c:v>
                </c:pt>
                <c:pt idx="38">
                  <c:v>1450</c:v>
                </c:pt>
                <c:pt idx="39">
                  <c:v>1584.47368421053</c:v>
                </c:pt>
                <c:pt idx="40">
                  <c:v>1627.85714285714</c:v>
                </c:pt>
                <c:pt idx="41">
                  <c:v>1614.31818181818</c:v>
                </c:pt>
                <c:pt idx="42">
                  <c:v>1804.09090909091</c:v>
                </c:pt>
                <c:pt idx="43">
                  <c:v>1938.40909090909</c:v>
                </c:pt>
                <c:pt idx="44">
                  <c:v>1967.05882352941</c:v>
                </c:pt>
                <c:pt idx="45">
                  <c:v>2031.81818181818</c:v>
                </c:pt>
                <c:pt idx="46">
                  <c:v>2343.04347826087</c:v>
                </c:pt>
                <c:pt idx="47">
                  <c:v>2491.25</c:v>
                </c:pt>
                <c:pt idx="48">
                  <c:v>2599.33333333333</c:v>
                </c:pt>
                <c:pt idx="49">
                  <c:v>3266</c:v>
                </c:pt>
                <c:pt idx="50">
                  <c:v>3540.47619047619</c:v>
                </c:pt>
                <c:pt idx="51">
                  <c:v>4064</c:v>
                </c:pt>
                <c:pt idx="52">
                  <c:v>3568.09523809524</c:v>
                </c:pt>
                <c:pt idx="53">
                  <c:v>1894.28571428571</c:v>
                </c:pt>
                <c:pt idx="54">
                  <c:v>1086.52173913043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2862360"/>
        <c:axId val="402864328"/>
      </c:lineChart>
      <c:catAx>
        <c:axId val="1719521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5024"/>
        <c:crosses val="autoZero"/>
        <c:auto val="1"/>
        <c:lblAlgn val="ctr"/>
        <c:lblOffset val="100"/>
        <c:tickLblSkip val="5"/>
        <c:noMultiLvlLbl val="0"/>
      </c:catAx>
      <c:valAx>
        <c:axId val="1719525024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1280"/>
        <c:crosses val="autoZero"/>
        <c:crossBetween val="between"/>
        <c:majorUnit val="500"/>
      </c:valAx>
      <c:catAx>
        <c:axId val="402862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864328"/>
        <c:crosses val="autoZero"/>
        <c:auto val="1"/>
        <c:lblAlgn val="ctr"/>
        <c:lblOffset val="100"/>
        <c:noMultiLvlLbl val="0"/>
      </c:catAx>
      <c:valAx>
        <c:axId val="402864328"/>
        <c:scaling>
          <c:orientation val="minMax"/>
          <c:min val="30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86236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7a26fc-74b0-4519-b83f-1b499e0ad5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二铵、磷矿价格走势图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>
        <c:manualLayout>
          <c:xMode val="edge"/>
          <c:yMode val="edge"/>
          <c:x val="0.335491071428571"/>
          <c:y val="0.0123266563944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0018892565965"/>
          <c:y val="0.11379116826083"/>
          <c:w val="0.874052645593214"/>
          <c:h val="0.805202674010895"/>
        </c:manualLayout>
      </c:layout>
      <c:lineChart>
        <c:grouping val="standard"/>
        <c:varyColors val="0"/>
        <c:ser>
          <c:idx val="6"/>
          <c:order val="0"/>
          <c:tx>
            <c:strRef>
              <c:f>'走势图 (近5年3张)'!$A$3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(近5年3张)'!$A$1:$DA$1</c15:sqref>
                  </c15:fullRef>
                </c:ext>
              </c:extLst>
              <c:f>'走势图 (近5年3张)'!$B$1:$DA$1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(近5年3张)'!$B$3:$DK$3</c15:sqref>
                  </c15:fullRef>
                </c:ext>
              </c:extLst>
              <c:f>'走势图 (近5年3张)'!$C$3:$DK$3</c:f>
            </c:numRef>
          </c:val>
          <c:smooth val="0"/>
        </c:ser>
        <c:ser>
          <c:idx val="0"/>
          <c:order val="1"/>
          <c:tx>
            <c:strRef>
              <c:f>'走势图 (近5年3张)'!$A$2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layout>
                <c:manualLayout>
                  <c:x val="-0.0611916264090177"/>
                  <c:y val="-0.019926920899593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CN" alt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r>
                      <a:rPr lang="zh-CN" altLang="en-US" sz="1400"/>
                      <a:t>二铵</a:t>
                    </a:r>
                    <a:endParaRPr lang="zh-CN" altLang="en-US" sz="14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(近5年3张)'!$A$1:$DA$1</c15:sqref>
                  </c15:fullRef>
                </c:ext>
              </c:extLst>
              <c:f>'走势图 (近5年3张)'!$B$1:$DA$1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(近5年3张)'!$B$2:$DA$2</c15:sqref>
                  </c15:fullRef>
                </c:ext>
              </c:extLst>
              <c:f>'走势图 (近5年3张)'!$C$2:$DA$2</c:f>
              <c:numCache>
                <c:formatCode>0_);[Red]\(0\)</c:formatCode>
                <c:ptCount val="55"/>
                <c:pt idx="0">
                  <c:v>2526.66487491209</c:v>
                </c:pt>
                <c:pt idx="1">
                  <c:v>2597.13533556329</c:v>
                </c:pt>
                <c:pt idx="2">
                  <c:v>2548.62846129866</c:v>
                </c:pt>
                <c:pt idx="3">
                  <c:v>2565.61944262039</c:v>
                </c:pt>
                <c:pt idx="4">
                  <c:v>2575.92776325538</c:v>
                </c:pt>
                <c:pt idx="5">
                  <c:v>2678.8684330737</c:v>
                </c:pt>
                <c:pt idx="6">
                  <c:v>2733.19732199673</c:v>
                </c:pt>
                <c:pt idx="7">
                  <c:v>2745.26197429751</c:v>
                </c:pt>
                <c:pt idx="8">
                  <c:v>2742.63429292559</c:v>
                </c:pt>
                <c:pt idx="9">
                  <c:v>2700</c:v>
                </c:pt>
                <c:pt idx="10">
                  <c:v>2700</c:v>
                </c:pt>
                <c:pt idx="11">
                  <c:v>2614</c:v>
                </c:pt>
                <c:pt idx="12">
                  <c:v>2625</c:v>
                </c:pt>
                <c:pt idx="13">
                  <c:v>2520.39182203737</c:v>
                </c:pt>
                <c:pt idx="14">
                  <c:v>2512.13068830001</c:v>
                </c:pt>
                <c:pt idx="15">
                  <c:v>2429.00920272917</c:v>
                </c:pt>
                <c:pt idx="16">
                  <c:v>2407.32579117454</c:v>
                </c:pt>
                <c:pt idx="17">
                  <c:v>2214.27488235976</c:v>
                </c:pt>
                <c:pt idx="18">
                  <c:v>2214.17373230795</c:v>
                </c:pt>
                <c:pt idx="19">
                  <c:v>2187.03721640631</c:v>
                </c:pt>
                <c:pt idx="20">
                  <c:v>2139.20731562574</c:v>
                </c:pt>
                <c:pt idx="21">
                  <c:v>2103.83873158189</c:v>
                </c:pt>
                <c:pt idx="22">
                  <c:v>2061.2315180595</c:v>
                </c:pt>
                <c:pt idx="23">
                  <c:v>2085.85646546543</c:v>
                </c:pt>
                <c:pt idx="24">
                  <c:v>1986.99049986103</c:v>
                </c:pt>
                <c:pt idx="25">
                  <c:v>1986.99049986103</c:v>
                </c:pt>
                <c:pt idx="26">
                  <c:v>2071.54970299319</c:v>
                </c:pt>
                <c:pt idx="27">
                  <c:v>2060.86989188714</c:v>
                </c:pt>
                <c:pt idx="28">
                  <c:v>2071.91942244851</c:v>
                </c:pt>
                <c:pt idx="29">
                  <c:v>2098.81534256527</c:v>
                </c:pt>
                <c:pt idx="30">
                  <c:v>2082.68201288914</c:v>
                </c:pt>
                <c:pt idx="31">
                  <c:v>2176.04544673005</c:v>
                </c:pt>
                <c:pt idx="32">
                  <c:v>2238.37267542502</c:v>
                </c:pt>
                <c:pt idx="33">
                  <c:v>2273.71492390218</c:v>
                </c:pt>
                <c:pt idx="34">
                  <c:v>2310.92311103161</c:v>
                </c:pt>
                <c:pt idx="35">
                  <c:v>2365.12277264168</c:v>
                </c:pt>
                <c:pt idx="36">
                  <c:v>2471.1848190443</c:v>
                </c:pt>
                <c:pt idx="37">
                  <c:v>2727.36764923849</c:v>
                </c:pt>
                <c:pt idx="38">
                  <c:v>3293.74390943446</c:v>
                </c:pt>
                <c:pt idx="39">
                  <c:v>3225.76580175787</c:v>
                </c:pt>
                <c:pt idx="40">
                  <c:v>3262.17499294506</c:v>
                </c:pt>
                <c:pt idx="41">
                  <c:v>3373.02009683852</c:v>
                </c:pt>
                <c:pt idx="42">
                  <c:v>3508.28733466809</c:v>
                </c:pt>
                <c:pt idx="43">
                  <c:v>3780.28873276843</c:v>
                </c:pt>
                <c:pt idx="44">
                  <c:v>3742.63740127969</c:v>
                </c:pt>
                <c:pt idx="45">
                  <c:v>3536.15387237605</c:v>
                </c:pt>
                <c:pt idx="46">
                  <c:v>3536.09939443262</c:v>
                </c:pt>
                <c:pt idx="47">
                  <c:v>3635.94254687299</c:v>
                </c:pt>
                <c:pt idx="48">
                  <c:v>3566.13213614648</c:v>
                </c:pt>
                <c:pt idx="49">
                  <c:v>4271.26059306314</c:v>
                </c:pt>
                <c:pt idx="50">
                  <c:v>4362</c:v>
                </c:pt>
                <c:pt idx="51">
                  <c:v>5029</c:v>
                </c:pt>
                <c:pt idx="52">
                  <c:v>5280</c:v>
                </c:pt>
                <c:pt idx="53">
                  <c:v>5705</c:v>
                </c:pt>
                <c:pt idx="54">
                  <c:v>5154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lineChart>
        <c:grouping val="standard"/>
        <c:varyColors val="0"/>
        <c:ser>
          <c:idx val="2"/>
          <c:order val="2"/>
          <c:tx>
            <c:strRef>
              <c:f>'走势图 (近5年3张)'!$A$9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layout>
                <c:manualLayout>
                  <c:x val="-0.0289855072463769"/>
                  <c:y val="-0.046685340802987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CN" alt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ea"/>
                        <a:ea typeface="+mn-ea"/>
                        <a:cs typeface="+mn-cs"/>
                      </a:defRPr>
                    </a:pPr>
                    <a:r>
                      <a:rPr lang="zh-CN" altLang="en-US" sz="1400"/>
                      <a:t>磷矿</a:t>
                    </a:r>
                    <a:endParaRPr lang="zh-CN" altLang="en-US" sz="14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(近5年3张)'!$B$1:$DK$1</c15:sqref>
                  </c15:fullRef>
                </c:ext>
              </c:extLst>
              <c:f>'走势图 (近5年3张)'!$C$1:$DK$1</c:f>
              <c:strCache>
                <c:ptCount val="6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  <c:pt idx="59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(近5年3张)'!$B$9:$DA$9</c15:sqref>
                  </c15:fullRef>
                </c:ext>
              </c:extLst>
              <c:f>'走势图 (近5年3张)'!$C$9:$DA$9</c:f>
              <c:numCache>
                <c:formatCode>0_);[Red]\(0\)</c:formatCode>
                <c:ptCount val="55"/>
                <c:pt idx="0">
                  <c:v>430</c:v>
                </c:pt>
                <c:pt idx="1">
                  <c:v>430</c:v>
                </c:pt>
                <c:pt idx="2">
                  <c:v>430</c:v>
                </c:pt>
                <c:pt idx="3">
                  <c:v>430</c:v>
                </c:pt>
                <c:pt idx="4">
                  <c:v>430</c:v>
                </c:pt>
                <c:pt idx="5">
                  <c:v>430</c:v>
                </c:pt>
                <c:pt idx="6">
                  <c:v>430</c:v>
                </c:pt>
                <c:pt idx="7">
                  <c:v>430</c:v>
                </c:pt>
                <c:pt idx="8">
                  <c:v>430</c:v>
                </c:pt>
                <c:pt idx="9">
                  <c:v>450</c:v>
                </c:pt>
                <c:pt idx="10">
                  <c:v>500</c:v>
                </c:pt>
                <c:pt idx="11">
                  <c:v>470</c:v>
                </c:pt>
                <c:pt idx="12">
                  <c:v>470</c:v>
                </c:pt>
                <c:pt idx="13">
                  <c:v>420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400</c:v>
                </c:pt>
                <c:pt idx="18">
                  <c:v>400</c:v>
                </c:pt>
                <c:pt idx="19">
                  <c:v>380</c:v>
                </c:pt>
                <c:pt idx="20">
                  <c:v>380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  <c:pt idx="24">
                  <c:v>370</c:v>
                </c:pt>
                <c:pt idx="25">
                  <c:v>370</c:v>
                </c:pt>
                <c:pt idx="26">
                  <c:v>338</c:v>
                </c:pt>
                <c:pt idx="27">
                  <c:v>338</c:v>
                </c:pt>
                <c:pt idx="28">
                  <c:v>338</c:v>
                </c:pt>
                <c:pt idx="29">
                  <c:v>338</c:v>
                </c:pt>
                <c:pt idx="30">
                  <c:v>338</c:v>
                </c:pt>
                <c:pt idx="31">
                  <c:v>328</c:v>
                </c:pt>
                <c:pt idx="32">
                  <c:v>328</c:v>
                </c:pt>
                <c:pt idx="33">
                  <c:v>358</c:v>
                </c:pt>
                <c:pt idx="34">
                  <c:v>358</c:v>
                </c:pt>
                <c:pt idx="35">
                  <c:v>358</c:v>
                </c:pt>
                <c:pt idx="36">
                  <c:v>358</c:v>
                </c:pt>
                <c:pt idx="37">
                  <c:v>358</c:v>
                </c:pt>
                <c:pt idx="38">
                  <c:v>408</c:v>
                </c:pt>
                <c:pt idx="39">
                  <c:v>458</c:v>
                </c:pt>
                <c:pt idx="40">
                  <c:v>488</c:v>
                </c:pt>
                <c:pt idx="41">
                  <c:v>508</c:v>
                </c:pt>
                <c:pt idx="42">
                  <c:v>558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645.6</c:v>
                </c:pt>
                <c:pt idx="51">
                  <c:v>745.6</c:v>
                </c:pt>
                <c:pt idx="52">
                  <c:v>858</c:v>
                </c:pt>
                <c:pt idx="53">
                  <c:v>958</c:v>
                </c:pt>
                <c:pt idx="54">
                  <c:v>958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'走势图 (近5年3张)'!$A$10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(近5年3张)'!$B$1:$DK$1</c15:sqref>
                  </c15:fullRef>
                </c:ext>
              </c:extLst>
              <c:f>'走势图 (近5年3张)'!$C$1:$DK$1</c:f>
              <c:strCache>
                <c:ptCount val="6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  <c:pt idx="59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(近5年3张)'!$B$10:$DK$10</c15:sqref>
                  </c15:fullRef>
                </c:ext>
              </c:extLst>
              <c:f>'走势图 (近5年3张)'!$C$10:$DK$10</c:f>
            </c:numRef>
          </c:val>
          <c:smooth val="0"/>
        </c:ser>
        <c:ser>
          <c:idx val="7"/>
          <c:order val="4"/>
          <c:tx>
            <c:strRef>
              <c:f>'走势图 (近5年3张)'!$A$11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(近5年3张)'!$B$1:$DK$1</c15:sqref>
                  </c15:fullRef>
                </c:ext>
              </c:extLst>
              <c:f>'走势图 (近5年3张)'!$C$1:$DK$1</c:f>
              <c:strCache>
                <c:ptCount val="6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  <c:pt idx="59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(近5年3张)'!$B$11:$DK$11</c15:sqref>
                  </c15:fullRef>
                </c:ext>
              </c:extLst>
              <c:f>'走势图 (近5年3张)'!$C$11:$DK$11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36728208"/>
        <c:axId val="1836720720"/>
      </c:lineChart>
      <c:catAx>
        <c:axId val="1719521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9525024"/>
        <c:crosses val="autoZero"/>
        <c:auto val="1"/>
        <c:lblAlgn val="ctr"/>
        <c:lblOffset val="100"/>
        <c:tickLblSkip val="5"/>
        <c:noMultiLvlLbl val="0"/>
      </c:catAx>
      <c:valAx>
        <c:axId val="1719525024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9521280"/>
        <c:crosses val="autoZero"/>
        <c:crossBetween val="between"/>
        <c:majorUnit val="500"/>
      </c:valAx>
      <c:catAx>
        <c:axId val="1836728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6720720"/>
        <c:crosses val="autoZero"/>
        <c:auto val="1"/>
        <c:lblAlgn val="ctr"/>
        <c:lblOffset val="100"/>
        <c:noMultiLvlLbl val="0"/>
      </c:catAx>
      <c:valAx>
        <c:axId val="1836720720"/>
        <c:scaling>
          <c:orientation val="minMax"/>
          <c:max val="1200"/>
          <c:min val="300"/>
        </c:scaling>
        <c:delete val="0"/>
        <c:axPos val="r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672820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f4ca4c-85b9-4336-84c4-beb1d454f2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</a:t>
            </a:r>
            <a:r>
              <a:rPr lang="zh-CN" altLang="en-US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北方煤</a:t>
            </a: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价格走势图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>
        <c:manualLayout>
          <c:xMode val="edge"/>
          <c:yMode val="edge"/>
          <c:x val="0.335491071428571"/>
          <c:y val="0.0123266563944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3915832984645"/>
          <c:y val="0.12624049112505"/>
          <c:w val="0.872385915528675"/>
          <c:h val="0.805202674010895"/>
        </c:manualLayout>
      </c:layout>
      <c:lineChart>
        <c:grouping val="standard"/>
        <c:varyColors val="0"/>
        <c:ser>
          <c:idx val="6"/>
          <c:order val="0"/>
          <c:tx>
            <c:strRef>
              <c:f>'走势图 (近5年3张)'!$A$3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(近5年3张)'!$A$1:$DK$1</c15:sqref>
                  </c15:fullRef>
                </c:ext>
              </c:extLst>
              <c:f>'走势图 (近5年3张)'!$B$1:$DK$1</c:f>
              <c:strCache>
                <c:ptCount val="6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  <c:pt idx="60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(近5年3张)'!$B$3:$DK$3</c15:sqref>
                  </c15:fullRef>
                </c:ext>
              </c:extLst>
              <c:f>'走势图 (近5年3张)'!$C$3:$DK$3</c:f>
            </c:numRef>
          </c:val>
          <c:smooth val="0"/>
        </c:ser>
        <c:ser>
          <c:idx val="0"/>
          <c:order val="1"/>
          <c:tx>
            <c:strRef>
              <c:f>'走势图 (近5年3张)'!$A$2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layout>
                <c:manualLayout>
                  <c:x val="-0.0450885668276974"/>
                  <c:y val="-0.040460628695922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altLang="zh-CN"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r>
                      <a:rPr lang="zh-CN" altLang="en-US" sz="1400"/>
                      <a:t>二铵</a:t>
                    </a:r>
                    <a:endParaRPr lang="zh-CN" altLang="en-US" sz="1400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altLang="zh-CN"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(近5年3张)'!$A$1:$DK$1</c15:sqref>
                  </c15:fullRef>
                </c:ext>
              </c:extLst>
              <c:f>'走势图 (近5年3张)'!$B$1:$DK$1</c:f>
              <c:strCache>
                <c:ptCount val="6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  <c:pt idx="60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(近5年3张)'!$B$2:$DA$2</c15:sqref>
                  </c15:fullRef>
                </c:ext>
              </c:extLst>
              <c:f>'走势图 (近5年3张)'!$C$2:$DA$2</c:f>
              <c:numCache>
                <c:formatCode>0_);[Red]\(0\)</c:formatCode>
                <c:ptCount val="55"/>
                <c:pt idx="0">
                  <c:v>2526.66487491209</c:v>
                </c:pt>
                <c:pt idx="1">
                  <c:v>2597.13533556329</c:v>
                </c:pt>
                <c:pt idx="2">
                  <c:v>2548.62846129866</c:v>
                </c:pt>
                <c:pt idx="3">
                  <c:v>2565.61944262039</c:v>
                </c:pt>
                <c:pt idx="4">
                  <c:v>2575.92776325538</c:v>
                </c:pt>
                <c:pt idx="5">
                  <c:v>2678.8684330737</c:v>
                </c:pt>
                <c:pt idx="6">
                  <c:v>2733.19732199673</c:v>
                </c:pt>
                <c:pt idx="7">
                  <c:v>2745.26197429751</c:v>
                </c:pt>
                <c:pt idx="8">
                  <c:v>2742.63429292559</c:v>
                </c:pt>
                <c:pt idx="9">
                  <c:v>2700</c:v>
                </c:pt>
                <c:pt idx="10">
                  <c:v>2700</c:v>
                </c:pt>
                <c:pt idx="11">
                  <c:v>2614</c:v>
                </c:pt>
                <c:pt idx="12">
                  <c:v>2625</c:v>
                </c:pt>
                <c:pt idx="13">
                  <c:v>2520.39182203737</c:v>
                </c:pt>
                <c:pt idx="14">
                  <c:v>2512.13068830001</c:v>
                </c:pt>
                <c:pt idx="15">
                  <c:v>2429.00920272917</c:v>
                </c:pt>
                <c:pt idx="16">
                  <c:v>2407.32579117454</c:v>
                </c:pt>
                <c:pt idx="17">
                  <c:v>2214.27488235976</c:v>
                </c:pt>
                <c:pt idx="18">
                  <c:v>2214.17373230795</c:v>
                </c:pt>
                <c:pt idx="19">
                  <c:v>2187.03721640631</c:v>
                </c:pt>
                <c:pt idx="20">
                  <c:v>2139.20731562574</c:v>
                </c:pt>
                <c:pt idx="21">
                  <c:v>2103.83873158189</c:v>
                </c:pt>
                <c:pt idx="22">
                  <c:v>2061.2315180595</c:v>
                </c:pt>
                <c:pt idx="23">
                  <c:v>2085.85646546543</c:v>
                </c:pt>
                <c:pt idx="24">
                  <c:v>1986.99049986103</c:v>
                </c:pt>
                <c:pt idx="25">
                  <c:v>1986.99049986103</c:v>
                </c:pt>
                <c:pt idx="26">
                  <c:v>2071.54970299319</c:v>
                </c:pt>
                <c:pt idx="27">
                  <c:v>2060.86989188714</c:v>
                </c:pt>
                <c:pt idx="28">
                  <c:v>2071.91942244851</c:v>
                </c:pt>
                <c:pt idx="29">
                  <c:v>2098.81534256527</c:v>
                </c:pt>
                <c:pt idx="30">
                  <c:v>2082.68201288914</c:v>
                </c:pt>
                <c:pt idx="31">
                  <c:v>2176.04544673005</c:v>
                </c:pt>
                <c:pt idx="32">
                  <c:v>2238.37267542502</c:v>
                </c:pt>
                <c:pt idx="33">
                  <c:v>2273.71492390218</c:v>
                </c:pt>
                <c:pt idx="34">
                  <c:v>2310.92311103161</c:v>
                </c:pt>
                <c:pt idx="35">
                  <c:v>2365.12277264168</c:v>
                </c:pt>
                <c:pt idx="36">
                  <c:v>2471.1848190443</c:v>
                </c:pt>
                <c:pt idx="37">
                  <c:v>2727.36764923849</c:v>
                </c:pt>
                <c:pt idx="38">
                  <c:v>3293.74390943446</c:v>
                </c:pt>
                <c:pt idx="39">
                  <c:v>3225.76580175787</c:v>
                </c:pt>
                <c:pt idx="40">
                  <c:v>3262.17499294506</c:v>
                </c:pt>
                <c:pt idx="41">
                  <c:v>3373.02009683852</c:v>
                </c:pt>
                <c:pt idx="42">
                  <c:v>3508.28733466809</c:v>
                </c:pt>
                <c:pt idx="43">
                  <c:v>3780.28873276843</c:v>
                </c:pt>
                <c:pt idx="44">
                  <c:v>3742.63740127969</c:v>
                </c:pt>
                <c:pt idx="45">
                  <c:v>3536.15387237605</c:v>
                </c:pt>
                <c:pt idx="46">
                  <c:v>3536.09939443262</c:v>
                </c:pt>
                <c:pt idx="47">
                  <c:v>3635.94254687299</c:v>
                </c:pt>
                <c:pt idx="48">
                  <c:v>3566.13213614648</c:v>
                </c:pt>
                <c:pt idx="49">
                  <c:v>4271.26059306314</c:v>
                </c:pt>
                <c:pt idx="50">
                  <c:v>4362</c:v>
                </c:pt>
                <c:pt idx="51">
                  <c:v>5029</c:v>
                </c:pt>
                <c:pt idx="52">
                  <c:v>5280</c:v>
                </c:pt>
                <c:pt idx="53">
                  <c:v>5705</c:v>
                </c:pt>
                <c:pt idx="54">
                  <c:v>5154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lineChart>
        <c:grouping val="standard"/>
        <c:varyColors val="0"/>
        <c:ser>
          <c:idx val="2"/>
          <c:order val="2"/>
          <c:tx>
            <c:strRef>
              <c:f>'走势图 (近5年3张)'!$A$14</c:f>
              <c:strCache>
                <c:ptCount val="1"/>
                <c:pt idx="0">
                  <c:v>北方煤（兰花）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layout/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CN" altLang="zh-CN"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ea"/>
                        <a:ea typeface="+mn-ea"/>
                        <a:cs typeface="+mn-cs"/>
                      </a:defRPr>
                    </a:pPr>
                    <a:r>
                      <a:rPr lang="zh-CN" altLang="en-US"/>
                      <a:t>北方煤</a:t>
                    </a:r>
                    <a:endParaRPr lang="zh-CN" alt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(近5年3张)'!$B$1:$DA$1</c15:sqref>
                  </c15:fullRef>
                </c:ext>
              </c:extLst>
              <c:f>'走势图 (近5年3张)'!$C$1:$DA$1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(近5年3张)'!$AX$14:$DA$14</c15:sqref>
                  </c15:fullRef>
                </c:ext>
              </c:extLst>
              <c:f>'走势图 (近5年3张)'!$AY$14:$DA$14</c:f>
              <c:numCache>
                <c:formatCode>0_);[Red]\(0\)</c:formatCode>
                <c:ptCount val="55"/>
                <c:pt idx="0">
                  <c:v>984</c:v>
                </c:pt>
                <c:pt idx="1">
                  <c:v>984</c:v>
                </c:pt>
                <c:pt idx="2">
                  <c:v>964</c:v>
                </c:pt>
                <c:pt idx="3">
                  <c:v>914</c:v>
                </c:pt>
                <c:pt idx="4">
                  <c:v>911</c:v>
                </c:pt>
                <c:pt idx="5">
                  <c:v>911</c:v>
                </c:pt>
                <c:pt idx="6">
                  <c:v>901</c:v>
                </c:pt>
                <c:pt idx="7">
                  <c:v>896</c:v>
                </c:pt>
                <c:pt idx="8">
                  <c:v>974</c:v>
                </c:pt>
                <c:pt idx="9">
                  <c:v>974</c:v>
                </c:pt>
                <c:pt idx="10">
                  <c:v>967</c:v>
                </c:pt>
                <c:pt idx="11">
                  <c:v>917</c:v>
                </c:pt>
                <c:pt idx="12">
                  <c:v>917</c:v>
                </c:pt>
                <c:pt idx="13">
                  <c:v>903.67</c:v>
                </c:pt>
                <c:pt idx="14">
                  <c:v>886</c:v>
                </c:pt>
                <c:pt idx="15">
                  <c:v>876</c:v>
                </c:pt>
                <c:pt idx="16">
                  <c:v>866</c:v>
                </c:pt>
                <c:pt idx="17">
                  <c:v>839</c:v>
                </c:pt>
                <c:pt idx="18">
                  <c:v>802.53</c:v>
                </c:pt>
                <c:pt idx="19">
                  <c:v>802.53</c:v>
                </c:pt>
                <c:pt idx="20">
                  <c:v>802.53</c:v>
                </c:pt>
                <c:pt idx="21">
                  <c:v>752.53</c:v>
                </c:pt>
                <c:pt idx="22">
                  <c:v>752.5</c:v>
                </c:pt>
                <c:pt idx="23">
                  <c:v>752.33</c:v>
                </c:pt>
                <c:pt idx="24">
                  <c:v>772.33</c:v>
                </c:pt>
                <c:pt idx="25">
                  <c:v>772.33</c:v>
                </c:pt>
                <c:pt idx="26">
                  <c:v>732.33</c:v>
                </c:pt>
                <c:pt idx="27">
                  <c:v>702.33</c:v>
                </c:pt>
                <c:pt idx="28">
                  <c:v>755.67</c:v>
                </c:pt>
                <c:pt idx="29">
                  <c:v>755.67</c:v>
                </c:pt>
                <c:pt idx="30">
                  <c:v>692.666666666667</c:v>
                </c:pt>
                <c:pt idx="31">
                  <c:v>692.666666666667</c:v>
                </c:pt>
                <c:pt idx="32">
                  <c:v>769.333333333333</c:v>
                </c:pt>
                <c:pt idx="33">
                  <c:v>823</c:v>
                </c:pt>
                <c:pt idx="34">
                  <c:v>902.666666666667</c:v>
                </c:pt>
                <c:pt idx="35">
                  <c:v>1003</c:v>
                </c:pt>
                <c:pt idx="36">
                  <c:v>1003</c:v>
                </c:pt>
                <c:pt idx="37">
                  <c:v>859</c:v>
                </c:pt>
                <c:pt idx="38">
                  <c:v>956</c:v>
                </c:pt>
                <c:pt idx="39">
                  <c:v>1125</c:v>
                </c:pt>
                <c:pt idx="40">
                  <c:v>1125</c:v>
                </c:pt>
                <c:pt idx="41">
                  <c:v>1203</c:v>
                </c:pt>
                <c:pt idx="42">
                  <c:v>1388</c:v>
                </c:pt>
                <c:pt idx="43">
                  <c:v>1588</c:v>
                </c:pt>
                <c:pt idx="44">
                  <c:v>2309</c:v>
                </c:pt>
                <c:pt idx="45">
                  <c:v>1489</c:v>
                </c:pt>
                <c:pt idx="46">
                  <c:v>1416</c:v>
                </c:pt>
                <c:pt idx="47">
                  <c:v>1564.761568</c:v>
                </c:pt>
                <c:pt idx="48">
                  <c:v>1707.354545</c:v>
                </c:pt>
                <c:pt idx="49">
                  <c:v>1531.446555</c:v>
                </c:pt>
                <c:pt idx="50">
                  <c:v>1631.932225</c:v>
                </c:pt>
                <c:pt idx="51">
                  <c:v>1574.097596</c:v>
                </c:pt>
                <c:pt idx="52">
                  <c:v>1554.386728</c:v>
                </c:pt>
                <c:pt idx="53">
                  <c:v>1491</c:v>
                </c:pt>
                <c:pt idx="54">
                  <c:v>1443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'走势图 (近5年3张)'!$A$10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(近5年3张)'!$B$1:$DA$1</c15:sqref>
                  </c15:fullRef>
                </c:ext>
              </c:extLst>
              <c:f>'走势图 (近5年3张)'!$C$1:$DA$1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(近5年3张)'!$B$10:$DK$10</c15:sqref>
                  </c15:fullRef>
                </c:ext>
              </c:extLst>
              <c:f>'走势图 (近5年3张)'!$C$10:$DK$10</c:f>
            </c:numRef>
          </c:val>
          <c:smooth val="0"/>
        </c:ser>
        <c:ser>
          <c:idx val="7"/>
          <c:order val="4"/>
          <c:tx>
            <c:strRef>
              <c:f>'走势图 (近5年3张)'!$A$11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(近5年3张)'!$B$1:$DA$1</c15:sqref>
                  </c15:fullRef>
                </c:ext>
              </c:extLst>
              <c:f>'走势图 (近5年3张)'!$C$1:$DA$1</c:f>
              <c:strCache>
                <c:ptCount val="55"/>
                <c:pt idx="0" c:formatCode="@">
                  <c:v>18年2月</c:v>
                </c:pt>
                <c:pt idx="1" c:formatCode="@">
                  <c:v>18年3月</c:v>
                </c:pt>
                <c:pt idx="2" c:formatCode="@">
                  <c:v>18年4月</c:v>
                </c:pt>
                <c:pt idx="3" c:formatCode="@">
                  <c:v>18年5月</c:v>
                </c:pt>
                <c:pt idx="4" c:formatCode="@">
                  <c:v>18年6月</c:v>
                </c:pt>
                <c:pt idx="5" c:formatCode="@">
                  <c:v>18年7月</c:v>
                </c:pt>
                <c:pt idx="6" c:formatCode="@">
                  <c:v>18年8月</c:v>
                </c:pt>
                <c:pt idx="7" c:formatCode="@">
                  <c:v>18年9月</c:v>
                </c:pt>
                <c:pt idx="8" c:formatCode="@">
                  <c:v>18年10月</c:v>
                </c:pt>
                <c:pt idx="9" c:formatCode="@">
                  <c:v>18年11月</c:v>
                </c:pt>
                <c:pt idx="10" c:formatCode="@">
                  <c:v>18年12月</c:v>
                </c:pt>
                <c:pt idx="11" c:formatCode="@">
                  <c:v>19年1月</c:v>
                </c:pt>
                <c:pt idx="12" c:formatCode="@">
                  <c:v>19年2月</c:v>
                </c:pt>
                <c:pt idx="13" c:formatCode="@">
                  <c:v>19年3月</c:v>
                </c:pt>
                <c:pt idx="14" c:formatCode="@">
                  <c:v>19年4月</c:v>
                </c:pt>
                <c:pt idx="15" c:formatCode="@">
                  <c:v>19年5月</c:v>
                </c:pt>
                <c:pt idx="16" c:formatCode="@">
                  <c:v>19年6月</c:v>
                </c:pt>
                <c:pt idx="17" c:formatCode="@">
                  <c:v>19年7月</c:v>
                </c:pt>
                <c:pt idx="18" c:formatCode="@">
                  <c:v>19年8月</c:v>
                </c:pt>
                <c:pt idx="19" c:formatCode="@">
                  <c:v>19年9月</c:v>
                </c:pt>
                <c:pt idx="20" c:formatCode="@">
                  <c:v>19年10月</c:v>
                </c:pt>
                <c:pt idx="21" c:formatCode="@">
                  <c:v>19年11月</c:v>
                </c:pt>
                <c:pt idx="22" c:formatCode="@">
                  <c:v>19年12月</c:v>
                </c:pt>
                <c:pt idx="23" c:formatCode="@">
                  <c:v>20年1月</c:v>
                </c:pt>
                <c:pt idx="24" c:formatCode="@">
                  <c:v>20年2月</c:v>
                </c:pt>
                <c:pt idx="25" c:formatCode="@">
                  <c:v>20年3月</c:v>
                </c:pt>
                <c:pt idx="26" c:formatCode="@">
                  <c:v>20年4月</c:v>
                </c:pt>
                <c:pt idx="27" c:formatCode="@">
                  <c:v>20年5月</c:v>
                </c:pt>
                <c:pt idx="28" c:formatCode="@">
                  <c:v>20年6月</c:v>
                </c:pt>
                <c:pt idx="29" c:formatCode="@">
                  <c:v>20年7月</c:v>
                </c:pt>
                <c:pt idx="30" c:formatCode="@">
                  <c:v>20年8月</c:v>
                </c:pt>
                <c:pt idx="31" c:formatCode="@">
                  <c:v>20年9月</c:v>
                </c:pt>
                <c:pt idx="32" c:formatCode="@">
                  <c:v>20年10月</c:v>
                </c:pt>
                <c:pt idx="33" c:formatCode="@">
                  <c:v>20年11月</c:v>
                </c:pt>
                <c:pt idx="34" c:formatCode="@">
                  <c:v>20年12月</c:v>
                </c:pt>
                <c:pt idx="35" c:formatCode="@">
                  <c:v>21年1月</c:v>
                </c:pt>
                <c:pt idx="36" c:formatCode="@">
                  <c:v>21年2月</c:v>
                </c:pt>
                <c:pt idx="37" c:formatCode="@">
                  <c:v>21年3月</c:v>
                </c:pt>
                <c:pt idx="38" c:formatCode="@">
                  <c:v>21年4月</c:v>
                </c:pt>
                <c:pt idx="39" c:formatCode="@">
                  <c:v>21年5月</c:v>
                </c:pt>
                <c:pt idx="40" c:formatCode="@">
                  <c:v>21年6月</c:v>
                </c:pt>
                <c:pt idx="41" c:formatCode="@">
                  <c:v>21年7月</c:v>
                </c:pt>
                <c:pt idx="42" c:formatCode="@">
                  <c:v>21年8月</c:v>
                </c:pt>
                <c:pt idx="43" c:formatCode="@">
                  <c:v>21年9月</c:v>
                </c:pt>
                <c:pt idx="44" c:formatCode="@">
                  <c:v>21年10月</c:v>
                </c:pt>
                <c:pt idx="45" c:formatCode="@">
                  <c:v>21年11月</c:v>
                </c:pt>
                <c:pt idx="46" c:formatCode="@">
                  <c:v>21年12月</c:v>
                </c:pt>
                <c:pt idx="47" c:formatCode="@">
                  <c:v>22年1月</c:v>
                </c:pt>
                <c:pt idx="48" c:formatCode="@">
                  <c:v>22年2月</c:v>
                </c:pt>
                <c:pt idx="49" c:formatCode="@">
                  <c:v>22年3月</c:v>
                </c:pt>
                <c:pt idx="50" c:formatCode="@">
                  <c:v>22年4月</c:v>
                </c:pt>
                <c:pt idx="51" c:formatCode="@">
                  <c:v>22年5月</c:v>
                </c:pt>
                <c:pt idx="52" c:formatCode="@">
                  <c:v>22年6月</c:v>
                </c:pt>
                <c:pt idx="53" c:formatCode="@">
                  <c:v>22年7月</c:v>
                </c:pt>
                <c:pt idx="54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(近5年3张)'!$B$11:$DK$11</c15:sqref>
                  </c15:fullRef>
                </c:ext>
              </c:extLst>
              <c:f>'走势图 (近5年3张)'!$C$11:$DK$11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36728208"/>
        <c:axId val="1836720720"/>
      </c:lineChart>
      <c:catAx>
        <c:axId val="1719521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9525024"/>
        <c:crosses val="autoZero"/>
        <c:auto val="1"/>
        <c:lblAlgn val="ctr"/>
        <c:lblOffset val="100"/>
        <c:tickLblSkip val="5"/>
        <c:noMultiLvlLbl val="0"/>
      </c:catAx>
      <c:valAx>
        <c:axId val="1719525024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9521280"/>
        <c:crosses val="autoZero"/>
        <c:crossBetween val="between"/>
        <c:majorUnit val="500"/>
      </c:valAx>
      <c:catAx>
        <c:axId val="1836728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6720720"/>
        <c:crosses val="autoZero"/>
        <c:auto val="1"/>
        <c:lblAlgn val="ctr"/>
        <c:lblOffset val="100"/>
        <c:noMultiLvlLbl val="0"/>
      </c:catAx>
      <c:valAx>
        <c:axId val="1836720720"/>
        <c:scaling>
          <c:orientation val="minMax"/>
          <c:max val="2500"/>
          <c:min val="200"/>
        </c:scaling>
        <c:delete val="0"/>
        <c:axPos val="r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6728208"/>
        <c:crosses val="max"/>
        <c:crossBetween val="between"/>
        <c:majorUnit val="3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a22317-5fc1-4e1b-bdd1-8b82c63dee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二铵、硫磺价格走势图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>
        <c:manualLayout>
          <c:xMode val="edge"/>
          <c:yMode val="edge"/>
          <c:x val="0.294810139783332"/>
          <c:y val="0.0123266563944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88523114623992"/>
          <c:y val="0.129536994150241"/>
          <c:w val="0.858261984022668"/>
          <c:h val="0.816153015541778"/>
        </c:manualLayout>
      </c:layout>
      <c:lineChart>
        <c:grouping val="standard"/>
        <c:varyColors val="0"/>
        <c:ser>
          <c:idx val="1"/>
          <c:order val="0"/>
          <c:tx>
            <c:strRef>
              <c:f>'走势图 (近5年1张)'!$A$2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(近5年1张)'!$A$1:$DA$1</c15:sqref>
                  </c15:fullRef>
                </c:ext>
              </c:extLst>
              <c:f>'走势图 (近5年1张)'!$B$1:$DA$1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(近5年1张)'!$B$2:$DA$2</c15:sqref>
                  </c15:fullRef>
                </c:ext>
              </c:extLst>
              <c:f>'走势图 (近5年1张)'!$C$2:$DA$2</c:f>
              <c:numCache>
                <c:formatCode>0_);[Red]\(0\)</c:formatCode>
                <c:ptCount val="55"/>
                <c:pt idx="0">
                  <c:v>2526.66487491209</c:v>
                </c:pt>
                <c:pt idx="1">
                  <c:v>2597.13533556329</c:v>
                </c:pt>
                <c:pt idx="2">
                  <c:v>2548.62846129866</c:v>
                </c:pt>
                <c:pt idx="3">
                  <c:v>2565.61944262039</c:v>
                </c:pt>
                <c:pt idx="4">
                  <c:v>2575.92776325538</c:v>
                </c:pt>
                <c:pt idx="5">
                  <c:v>2678.8684330737</c:v>
                </c:pt>
                <c:pt idx="6">
                  <c:v>2733.19732199673</c:v>
                </c:pt>
                <c:pt idx="7">
                  <c:v>2745.26197429751</c:v>
                </c:pt>
                <c:pt idx="8">
                  <c:v>2742.63429292559</c:v>
                </c:pt>
                <c:pt idx="9">
                  <c:v>2700</c:v>
                </c:pt>
                <c:pt idx="10">
                  <c:v>2700</c:v>
                </c:pt>
                <c:pt idx="11">
                  <c:v>2614</c:v>
                </c:pt>
                <c:pt idx="12">
                  <c:v>2625</c:v>
                </c:pt>
                <c:pt idx="13">
                  <c:v>2520.39182203737</c:v>
                </c:pt>
                <c:pt idx="14">
                  <c:v>2512.13068830001</c:v>
                </c:pt>
                <c:pt idx="15">
                  <c:v>2429.00920272917</c:v>
                </c:pt>
                <c:pt idx="16">
                  <c:v>2407.32579117454</c:v>
                </c:pt>
                <c:pt idx="17">
                  <c:v>2214.27488235976</c:v>
                </c:pt>
                <c:pt idx="18">
                  <c:v>2214.17373230795</c:v>
                </c:pt>
                <c:pt idx="19">
                  <c:v>2187.03721640631</c:v>
                </c:pt>
                <c:pt idx="20">
                  <c:v>2139.20731562574</c:v>
                </c:pt>
                <c:pt idx="21">
                  <c:v>2103.83873158189</c:v>
                </c:pt>
                <c:pt idx="22">
                  <c:v>2061.2315180595</c:v>
                </c:pt>
                <c:pt idx="23">
                  <c:v>2085.85646546543</c:v>
                </c:pt>
                <c:pt idx="24">
                  <c:v>1986.99049986103</c:v>
                </c:pt>
                <c:pt idx="25">
                  <c:v>1986.99049986103</c:v>
                </c:pt>
                <c:pt idx="26">
                  <c:v>2071.54970299319</c:v>
                </c:pt>
                <c:pt idx="27">
                  <c:v>2060.86989188714</c:v>
                </c:pt>
                <c:pt idx="28">
                  <c:v>2071.91942244851</c:v>
                </c:pt>
                <c:pt idx="29">
                  <c:v>2098.81534256527</c:v>
                </c:pt>
                <c:pt idx="30">
                  <c:v>2082.68201288914</c:v>
                </c:pt>
                <c:pt idx="31">
                  <c:v>2176.04544673005</c:v>
                </c:pt>
                <c:pt idx="32">
                  <c:v>2238.37267542502</c:v>
                </c:pt>
                <c:pt idx="33">
                  <c:v>2273.71492390218</c:v>
                </c:pt>
                <c:pt idx="34">
                  <c:v>2310.92311103161</c:v>
                </c:pt>
                <c:pt idx="35">
                  <c:v>2365.12277264168</c:v>
                </c:pt>
                <c:pt idx="36">
                  <c:v>2471.1848190443</c:v>
                </c:pt>
                <c:pt idx="37">
                  <c:v>2727.36764923849</c:v>
                </c:pt>
                <c:pt idx="38">
                  <c:v>3293.74390943446</c:v>
                </c:pt>
                <c:pt idx="39">
                  <c:v>3225.76580175787</c:v>
                </c:pt>
                <c:pt idx="40">
                  <c:v>3262.17499294506</c:v>
                </c:pt>
                <c:pt idx="41">
                  <c:v>3373.02009683852</c:v>
                </c:pt>
                <c:pt idx="42">
                  <c:v>3508.28733466809</c:v>
                </c:pt>
                <c:pt idx="43">
                  <c:v>3780.28873276843</c:v>
                </c:pt>
                <c:pt idx="44">
                  <c:v>3742.63740127969</c:v>
                </c:pt>
                <c:pt idx="45">
                  <c:v>3536.15387237605</c:v>
                </c:pt>
                <c:pt idx="46">
                  <c:v>3536.09939443262</c:v>
                </c:pt>
                <c:pt idx="47">
                  <c:v>3635.94254687299</c:v>
                </c:pt>
                <c:pt idx="48">
                  <c:v>3566.13213614648</c:v>
                </c:pt>
                <c:pt idx="49">
                  <c:v>4271.26059306314</c:v>
                </c:pt>
                <c:pt idx="50">
                  <c:v>4362</c:v>
                </c:pt>
                <c:pt idx="51">
                  <c:v>5029</c:v>
                </c:pt>
                <c:pt idx="52">
                  <c:v>5280</c:v>
                </c:pt>
                <c:pt idx="53">
                  <c:v>5705</c:v>
                </c:pt>
                <c:pt idx="54">
                  <c:v>5460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'走势图 (近5年1张)'!$A$4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(近5年1张)'!$A$1:$DA$1</c15:sqref>
                  </c15:fullRef>
                </c:ext>
              </c:extLst>
              <c:f>'走势图 (近5年1张)'!$B$1:$DA$1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(近5年1张)'!$B$4:$DA$4</c15:sqref>
                  </c15:fullRef>
                </c:ext>
              </c:extLst>
              <c:f>'走势图 (近5年1张)'!$C$4:$DA$4</c:f>
              <c:numCache>
                <c:formatCode>0_);[Red]\(0\)</c:formatCode>
                <c:ptCount val="55"/>
                <c:pt idx="0">
                  <c:v>1199</c:v>
                </c:pt>
                <c:pt idx="1">
                  <c:v>1117</c:v>
                </c:pt>
                <c:pt idx="2">
                  <c:v>1059</c:v>
                </c:pt>
                <c:pt idx="3">
                  <c:v>1127</c:v>
                </c:pt>
                <c:pt idx="4">
                  <c:v>1148</c:v>
                </c:pt>
                <c:pt idx="5">
                  <c:v>1193</c:v>
                </c:pt>
                <c:pt idx="6">
                  <c:v>1328</c:v>
                </c:pt>
                <c:pt idx="7">
                  <c:v>1487</c:v>
                </c:pt>
                <c:pt idx="8">
                  <c:v>1459</c:v>
                </c:pt>
                <c:pt idx="9">
                  <c:v>1398</c:v>
                </c:pt>
                <c:pt idx="10">
                  <c:v>1230.5</c:v>
                </c:pt>
                <c:pt idx="11">
                  <c:v>1133.57</c:v>
                </c:pt>
                <c:pt idx="12">
                  <c:v>1086</c:v>
                </c:pt>
                <c:pt idx="13">
                  <c:v>1005.9</c:v>
                </c:pt>
                <c:pt idx="14">
                  <c:v>997.73</c:v>
                </c:pt>
                <c:pt idx="15">
                  <c:v>972.857142857143</c:v>
                </c:pt>
                <c:pt idx="16">
                  <c:v>963.684210526316</c:v>
                </c:pt>
                <c:pt idx="17">
                  <c:v>841.086956521739</c:v>
                </c:pt>
                <c:pt idx="18">
                  <c:v>752.272727272727</c:v>
                </c:pt>
                <c:pt idx="19">
                  <c:v>642.6</c:v>
                </c:pt>
                <c:pt idx="20">
                  <c:v>602.368421052632</c:v>
                </c:pt>
                <c:pt idx="21">
                  <c:v>523.571428571429</c:v>
                </c:pt>
                <c:pt idx="22">
                  <c:v>539.090909090909</c:v>
                </c:pt>
                <c:pt idx="23">
                  <c:v>596.5625</c:v>
                </c:pt>
                <c:pt idx="24">
                  <c:v>611.136363636364</c:v>
                </c:pt>
                <c:pt idx="25">
                  <c:v>668.863636363636</c:v>
                </c:pt>
                <c:pt idx="26">
                  <c:v>598.409090909091</c:v>
                </c:pt>
                <c:pt idx="27">
                  <c:v>641.052631578947</c:v>
                </c:pt>
                <c:pt idx="28">
                  <c:v>661.190476190476</c:v>
                </c:pt>
                <c:pt idx="29">
                  <c:v>630.869565217391</c:v>
                </c:pt>
                <c:pt idx="30">
                  <c:v>651.904761904762</c:v>
                </c:pt>
                <c:pt idx="31">
                  <c:v>702.173913043478</c:v>
                </c:pt>
                <c:pt idx="32">
                  <c:v>746.176470588235</c:v>
                </c:pt>
                <c:pt idx="33">
                  <c:v>806.363636363636</c:v>
                </c:pt>
                <c:pt idx="34">
                  <c:v>920.47619047619</c:v>
                </c:pt>
                <c:pt idx="35">
                  <c:v>1092.75</c:v>
                </c:pt>
                <c:pt idx="36">
                  <c:v>1438.23529411765</c:v>
                </c:pt>
                <c:pt idx="37">
                  <c:v>1349.5652173913</c:v>
                </c:pt>
                <c:pt idx="38">
                  <c:v>1420</c:v>
                </c:pt>
                <c:pt idx="39">
                  <c:v>1554.47368421053</c:v>
                </c:pt>
                <c:pt idx="40">
                  <c:v>1597.85714285714</c:v>
                </c:pt>
                <c:pt idx="41">
                  <c:v>1584.31818181818</c:v>
                </c:pt>
                <c:pt idx="42">
                  <c:v>1774.09090909091</c:v>
                </c:pt>
                <c:pt idx="43">
                  <c:v>1908.40909090909</c:v>
                </c:pt>
                <c:pt idx="44">
                  <c:v>1937.05882352941</c:v>
                </c:pt>
                <c:pt idx="45">
                  <c:v>2001.81818181818</c:v>
                </c:pt>
                <c:pt idx="46">
                  <c:v>2313.04347826087</c:v>
                </c:pt>
                <c:pt idx="47">
                  <c:v>2461.25</c:v>
                </c:pt>
                <c:pt idx="48">
                  <c:v>2569.33333333333</c:v>
                </c:pt>
                <c:pt idx="49">
                  <c:v>3236</c:v>
                </c:pt>
                <c:pt idx="50">
                  <c:v>3510.47619047619</c:v>
                </c:pt>
                <c:pt idx="51">
                  <c:v>4034</c:v>
                </c:pt>
                <c:pt idx="52">
                  <c:v>3538.09523809524</c:v>
                </c:pt>
                <c:pt idx="53">
                  <c:v>1864.28571428571</c:v>
                </c:pt>
                <c:pt idx="54">
                  <c:v>1056.52173913043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'走势图 (近5年1张)'!$A$5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(近5年1张)'!$A$1:$DA$1</c15:sqref>
                  </c15:fullRef>
                </c:ext>
              </c:extLst>
              <c:f>'走势图 (近5年1张)'!$B$1:$DA$1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(近5年1张)'!$B$5:$DA$5</c15:sqref>
                  </c15:fullRef>
                </c:ext>
              </c:extLst>
              <c:f>'走势图 (近5年1张)'!$C$5:$DA$5</c:f>
            </c:numRef>
          </c:val>
          <c:smooth val="0"/>
        </c:ser>
        <c:ser>
          <c:idx val="4"/>
          <c:order val="3"/>
          <c:tx>
            <c:strRef>
              <c:f>'走势图 (近5年1张)'!$A$6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'走势图 (近5年1张)'!$A$1:$DA$1</c15:sqref>
                  </c15:fullRef>
                </c:ext>
              </c:extLst>
              <c:f>'走势图 (近5年1张)'!$B$1:$DA$1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(近5年1张)'!$B$6:$DA$6</c15:sqref>
                  </c15:fullRef>
                </c:ext>
              </c:extLst>
              <c:f>'走势图 (近5年1张)'!$C$6:$DA$6</c:f>
            </c:numRef>
          </c:val>
          <c:smooth val="0"/>
        </c:ser>
        <c:ser>
          <c:idx val="0"/>
          <c:order val="4"/>
          <c:tx>
            <c:strRef>
              <c:f>'走势图 (近5年1张)'!$A$3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5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'走势图 (近5年1张)'!$B$3:$DA$3</c15:sqref>
                  </c15:fullRef>
                </c:ext>
              </c:extLst>
              <c:f>'走势图 (近5年1张)'!$C$3:$DA$3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dateAx>
        <c:axId val="17195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5024"/>
        <c:crosses val="autoZero"/>
        <c:auto val="0"/>
        <c:lblAlgn val="ctr"/>
        <c:lblOffset val="100"/>
        <c:baseTimeUnit val="days"/>
      </c:dateAx>
      <c:valAx>
        <c:axId val="1719525024"/>
        <c:scaling>
          <c:orientation val="minMax"/>
          <c:max val="5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1280"/>
        <c:crossesAt val="3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e1cb53-7e2d-4af9-9fe2-6dd88d086e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磷酸二铵、尿素、氯化铵</a:t>
            </a:r>
            <a:r>
              <a:rPr lang="en-US"/>
              <a:t>2014-2020</a:t>
            </a:r>
            <a:r>
              <a:rPr lang="zh-CN"/>
              <a:t>年分析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58782652168479"/>
          <c:y val="0.0715218398211732"/>
          <c:w val="0.913680189976253"/>
          <c:h val="0.742983667962221"/>
        </c:manualLayout>
      </c:layout>
      <c:lineChart>
        <c:grouping val="standard"/>
        <c:varyColors val="0"/>
        <c:ser>
          <c:idx val="0"/>
          <c:order val="0"/>
          <c:tx>
            <c:strRef>
              <c:f>'二铵、煤炭、硫磺、磷矿14年-22年'!$B$2</c:f>
              <c:strCache>
                <c:ptCount val="1"/>
                <c:pt idx="0">
                  <c:v>二铵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</c:dLbl>
            <c:dLbl>
              <c:idx val="12"/>
              <c:delete val="1"/>
            </c:dLbl>
            <c:dLbl>
              <c:idx val="17"/>
              <c:delete val="1"/>
            </c:dLbl>
            <c:dLbl>
              <c:idx val="19"/>
              <c:delete val="1"/>
            </c:dLbl>
            <c:dLbl>
              <c:idx val="23"/>
              <c:delete val="1"/>
            </c:dLbl>
            <c:dLbl>
              <c:idx val="25"/>
              <c:delete val="1"/>
            </c:dLbl>
            <c:dLbl>
              <c:idx val="29"/>
              <c:delete val="1"/>
            </c:dLbl>
            <c:dLbl>
              <c:idx val="39"/>
              <c:delete val="1"/>
            </c:dLbl>
            <c:dLbl>
              <c:idx val="44"/>
              <c:delete val="1"/>
            </c:dLbl>
            <c:dLbl>
              <c:idx val="49"/>
              <c:delete val="1"/>
            </c:dLbl>
            <c:dLbl>
              <c:idx val="52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60"/>
              <c:delete val="1"/>
            </c:dLbl>
            <c:dLbl>
              <c:idx val="67"/>
              <c:delete val="1"/>
            </c:dLbl>
            <c:dLbl>
              <c:idx val="71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numFmt formatCode="0_);[Red]\(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'二铵、煤炭、硫磺、磷矿14年-22年'!$A$3:$A$82</c:f>
              <c:strCache>
                <c:ptCount val="80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</c:strCache>
            </c:strRef>
          </c:cat>
          <c:val>
            <c:numRef>
              <c:f>'二铵、煤炭、硫磺、磷矿14年-22年'!$B$3:$B$81</c:f>
              <c:numCache>
                <c:formatCode>0_);[Red]\(0\)</c:formatCode>
                <c:ptCount val="79"/>
                <c:pt idx="0">
                  <c:v>2214.84253724686</c:v>
                </c:pt>
                <c:pt idx="1">
                  <c:v>2336.52802664836</c:v>
                </c:pt>
                <c:pt idx="2">
                  <c:v>2486.73561701201</c:v>
                </c:pt>
                <c:pt idx="3">
                  <c:v>2463.6406471757</c:v>
                </c:pt>
                <c:pt idx="4">
                  <c:v>2421.16058906031</c:v>
                </c:pt>
                <c:pt idx="5">
                  <c:v>2389.98441831522</c:v>
                </c:pt>
                <c:pt idx="6">
                  <c:v>2517.10202679492</c:v>
                </c:pt>
                <c:pt idx="7">
                  <c:v>2610.32495749103</c:v>
                </c:pt>
                <c:pt idx="8">
                  <c:v>2740.58145892879</c:v>
                </c:pt>
                <c:pt idx="9">
                  <c:v>2534.15628220744</c:v>
                </c:pt>
                <c:pt idx="10">
                  <c:v>2670.66059399294</c:v>
                </c:pt>
                <c:pt idx="11">
                  <c:v>2577.81847622475</c:v>
                </c:pt>
                <c:pt idx="12">
                  <c:v>2589.44395831942</c:v>
                </c:pt>
                <c:pt idx="13">
                  <c:v>2675.03974390694</c:v>
                </c:pt>
                <c:pt idx="14">
                  <c:v>2661.9709258682</c:v>
                </c:pt>
                <c:pt idx="15">
                  <c:v>2677.49744307477</c:v>
                </c:pt>
                <c:pt idx="16">
                  <c:v>2720.9215171283</c:v>
                </c:pt>
                <c:pt idx="17">
                  <c:v>2716.1916328704</c:v>
                </c:pt>
                <c:pt idx="18">
                  <c:v>2717.93069292358</c:v>
                </c:pt>
                <c:pt idx="19">
                  <c:v>2742.67950489356</c:v>
                </c:pt>
                <c:pt idx="20">
                  <c:v>2730.55121921408</c:v>
                </c:pt>
                <c:pt idx="21">
                  <c:v>2667.02778840469</c:v>
                </c:pt>
                <c:pt idx="22">
                  <c:v>2482.10788631239</c:v>
                </c:pt>
                <c:pt idx="23">
                  <c:v>2479.72486912659</c:v>
                </c:pt>
                <c:pt idx="24">
                  <c:v>2369.13681408076</c:v>
                </c:pt>
                <c:pt idx="25">
                  <c:v>2389.92058776453</c:v>
                </c:pt>
                <c:pt idx="26">
                  <c:v>2353.80782960241</c:v>
                </c:pt>
                <c:pt idx="27">
                  <c:v>2228.75944609667</c:v>
                </c:pt>
                <c:pt idx="28">
                  <c:v>2057.65408377272</c:v>
                </c:pt>
                <c:pt idx="29">
                  <c:v>2037.73913355371</c:v>
                </c:pt>
                <c:pt idx="30">
                  <c:v>2060.64942722881</c:v>
                </c:pt>
                <c:pt idx="31">
                  <c:v>2102.88971363419</c:v>
                </c:pt>
                <c:pt idx="32">
                  <c:v>2033.45865565588</c:v>
                </c:pt>
                <c:pt idx="33">
                  <c:v>1899.75616124342</c:v>
                </c:pt>
                <c:pt idx="34">
                  <c:v>1955.91103711065</c:v>
                </c:pt>
                <c:pt idx="35">
                  <c:v>1983.90829028131</c:v>
                </c:pt>
                <c:pt idx="36">
                  <c:v>2134.89368553085</c:v>
                </c:pt>
                <c:pt idx="37">
                  <c:v>2300.40239887854</c:v>
                </c:pt>
                <c:pt idx="38">
                  <c:v>2353.51886407236</c:v>
                </c:pt>
                <c:pt idx="39">
                  <c:v>2376.9914041787</c:v>
                </c:pt>
                <c:pt idx="40">
                  <c:v>2370.11097779376</c:v>
                </c:pt>
                <c:pt idx="41">
                  <c:v>2285.11727121911</c:v>
                </c:pt>
                <c:pt idx="42">
                  <c:v>2235.3890116282</c:v>
                </c:pt>
                <c:pt idx="43">
                  <c:v>2225.46747367068</c:v>
                </c:pt>
                <c:pt idx="44">
                  <c:v>2229.89952883193</c:v>
                </c:pt>
                <c:pt idx="45">
                  <c:v>2235.73247647006</c:v>
                </c:pt>
                <c:pt idx="46">
                  <c:v>2329.2131481707</c:v>
                </c:pt>
                <c:pt idx="47">
                  <c:v>2470.30616907957</c:v>
                </c:pt>
                <c:pt idx="48">
                  <c:v>2501.27733994969</c:v>
                </c:pt>
                <c:pt idx="49">
                  <c:v>2526.66487491209</c:v>
                </c:pt>
                <c:pt idx="50">
                  <c:v>2597.13533556329</c:v>
                </c:pt>
                <c:pt idx="51">
                  <c:v>2548.62846129866</c:v>
                </c:pt>
                <c:pt idx="52">
                  <c:v>2565.61944262039</c:v>
                </c:pt>
                <c:pt idx="53">
                  <c:v>2575.92776325538</c:v>
                </c:pt>
                <c:pt idx="54">
                  <c:v>2678.8684330737</c:v>
                </c:pt>
                <c:pt idx="55">
                  <c:v>2733.19732199673</c:v>
                </c:pt>
                <c:pt idx="56">
                  <c:v>2745.26197429751</c:v>
                </c:pt>
                <c:pt idx="57">
                  <c:v>2742.63429292559</c:v>
                </c:pt>
                <c:pt idx="58">
                  <c:v>2700</c:v>
                </c:pt>
                <c:pt idx="59">
                  <c:v>2700</c:v>
                </c:pt>
                <c:pt idx="60">
                  <c:v>2614</c:v>
                </c:pt>
                <c:pt idx="61">
                  <c:v>2625</c:v>
                </c:pt>
                <c:pt idx="62">
                  <c:v>2520.39182203737</c:v>
                </c:pt>
                <c:pt idx="63">
                  <c:v>2512.13068830001</c:v>
                </c:pt>
                <c:pt idx="64">
                  <c:v>2429.00920272917</c:v>
                </c:pt>
                <c:pt idx="65">
                  <c:v>2407.32579117454</c:v>
                </c:pt>
                <c:pt idx="66">
                  <c:v>2214.27488235976</c:v>
                </c:pt>
                <c:pt idx="67">
                  <c:v>2214.17373230795</c:v>
                </c:pt>
                <c:pt idx="68">
                  <c:v>2187.03721640631</c:v>
                </c:pt>
                <c:pt idx="69">
                  <c:v>2139.20731562574</c:v>
                </c:pt>
                <c:pt idx="70">
                  <c:v>2103.83873158189</c:v>
                </c:pt>
                <c:pt idx="71">
                  <c:v>2061.2315180595</c:v>
                </c:pt>
                <c:pt idx="72">
                  <c:v>2085.85646546543</c:v>
                </c:pt>
                <c:pt idx="73">
                  <c:v>1986.99049986103</c:v>
                </c:pt>
                <c:pt idx="74">
                  <c:v>1986.99049986103</c:v>
                </c:pt>
                <c:pt idx="75">
                  <c:v>2071.54970299319</c:v>
                </c:pt>
                <c:pt idx="76">
                  <c:v>2060.86989188714</c:v>
                </c:pt>
                <c:pt idx="77">
                  <c:v>2071.91942244851</c:v>
                </c:pt>
                <c:pt idx="78">
                  <c:v>2098.81534256527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'二铵、煤炭、硫磺、磷矿14年-22年'!$C$2</c:f>
              <c:strCache>
                <c:ptCount val="1"/>
                <c:pt idx="0">
                  <c:v>尿素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_);[Red]\(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'二铵、煤炭、硫磺、磷矿14年-22年'!$A$3:$A$82</c:f>
              <c:strCache>
                <c:ptCount val="80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</c:strCache>
            </c:strRef>
          </c:cat>
          <c:val>
            <c:numRef>
              <c:f>'二铵、煤炭、硫磺、磷矿14年-22年'!$C$3:$C$82</c:f>
            </c:numRef>
          </c:val>
          <c:smooth val="0"/>
        </c:ser>
        <c:ser>
          <c:idx val="2"/>
          <c:order val="2"/>
          <c:tx>
            <c:strRef>
              <c:f>'二铵、煤炭、硫磺、磷矿14年-22年'!$D$2</c:f>
              <c:strCache>
                <c:ptCount val="1"/>
                <c:pt idx="0">
                  <c:v>氯化铵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0_);[Red]\(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'二铵、煤炭、硫磺、磷矿14年-22年'!$A$3:$A$82</c:f>
              <c:strCache>
                <c:ptCount val="80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</c:strCache>
            </c:strRef>
          </c:cat>
          <c:val>
            <c:numRef>
              <c:f>'二铵、煤炭、硫磺、磷矿14年-22年'!$D$3:$D$82</c:f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540762296"/>
        <c:axId val="540762936"/>
      </c:lineChart>
      <c:catAx>
        <c:axId val="54076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762936"/>
        <c:crosses val="autoZero"/>
        <c:auto val="1"/>
        <c:lblAlgn val="ctr"/>
        <c:lblOffset val="100"/>
        <c:tickLblSkip val="1"/>
        <c:noMultiLvlLbl val="0"/>
      </c:catAx>
      <c:valAx>
        <c:axId val="540762936"/>
        <c:scaling>
          <c:orientation val="minMax"/>
          <c:min val="0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7622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3ef84a-ddeb-44a0-9faf-ee8e4d3e56dc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二铵、硫磺价格走势图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>
        <c:manualLayout>
          <c:xMode val="edge"/>
          <c:yMode val="edge"/>
          <c:x val="0.294810139783332"/>
          <c:y val="0.0123266563944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26455407620641"/>
          <c:y val="0.107750506533371"/>
          <c:w val="0.935260867496387"/>
          <c:h val="0.816153015541778"/>
        </c:manualLayout>
      </c:layout>
      <c:lineChart>
        <c:grouping val="standard"/>
        <c:varyColors val="0"/>
        <c:ser>
          <c:idx val="1"/>
          <c:order val="0"/>
          <c:tx>
            <c:strRef>
              <c:f>走势图!$A$2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0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dPt>
          <c:dPt>
            <c:idx val="10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</c:dPt>
          <c:dPt>
            <c:idx val="10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</c:dPt>
          <c:dPt>
            <c:idx val="10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layout>
                <c:manualLayout>
                  <c:x val="-0.00313111507390294"/>
                  <c:y val="-0.01540832049306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alt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r>
                      <a:rPr lang="zh-CN" altLang="en-US" sz="1200"/>
                      <a:t>二铵</a:t>
                    </a:r>
                    <a:endParaRPr lang="zh-CN" altLang="en-US" sz="1200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altLang="zh-CN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layout>
                <c:manualLayout>
                  <c:x val="-0.0203522479803691"/>
                  <c:y val="-0.003081664098613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走势图!$A$1:$DK$1</c15:sqref>
                  </c15:fullRef>
                </c:ext>
              </c:extLst>
              <c:f>走势图!$B$1:$DK$1</c:f>
              <c:strCache>
                <c:ptCount val="114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  <c:pt idx="80" c:formatCode="@">
                  <c:v>20年9月</c:v>
                </c:pt>
                <c:pt idx="81" c:formatCode="@">
                  <c:v>20年10月</c:v>
                </c:pt>
                <c:pt idx="82" c:formatCode="@">
                  <c:v>20年11月</c:v>
                </c:pt>
                <c:pt idx="83" c:formatCode="@">
                  <c:v>20年12月</c:v>
                </c:pt>
                <c:pt idx="84" c:formatCode="@">
                  <c:v>21年1月</c:v>
                </c:pt>
                <c:pt idx="85" c:formatCode="@">
                  <c:v>21年2月</c:v>
                </c:pt>
                <c:pt idx="86" c:formatCode="@">
                  <c:v>21年3月</c:v>
                </c:pt>
                <c:pt idx="87" c:formatCode="@">
                  <c:v>21年4月</c:v>
                </c:pt>
                <c:pt idx="88" c:formatCode="@">
                  <c:v>21年5月</c:v>
                </c:pt>
                <c:pt idx="89" c:formatCode="@">
                  <c:v>21年6月</c:v>
                </c:pt>
                <c:pt idx="90" c:formatCode="@">
                  <c:v>21年7月</c:v>
                </c:pt>
                <c:pt idx="91" c:formatCode="@">
                  <c:v>21年8月</c:v>
                </c:pt>
                <c:pt idx="92" c:formatCode="@">
                  <c:v>21年9月</c:v>
                </c:pt>
                <c:pt idx="93" c:formatCode="@">
                  <c:v>21年10月</c:v>
                </c:pt>
                <c:pt idx="94" c:formatCode="@">
                  <c:v>21年11月</c:v>
                </c:pt>
                <c:pt idx="95" c:formatCode="@">
                  <c:v>21年12月</c:v>
                </c:pt>
                <c:pt idx="96" c:formatCode="@">
                  <c:v>22年1月</c:v>
                </c:pt>
                <c:pt idx="97" c:formatCode="@">
                  <c:v>22年2月</c:v>
                </c:pt>
                <c:pt idx="98" c:formatCode="@">
                  <c:v>22年3月</c:v>
                </c:pt>
                <c:pt idx="99" c:formatCode="@">
                  <c:v>22年4月</c:v>
                </c:pt>
                <c:pt idx="100" c:formatCode="@">
                  <c:v>22年5月</c:v>
                </c:pt>
                <c:pt idx="101" c:formatCode="@">
                  <c:v>22年6月</c:v>
                </c:pt>
                <c:pt idx="102" c:formatCode="@">
                  <c:v>22年7月</c:v>
                </c:pt>
                <c:pt idx="108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走势图!$B$2:$DK$2</c15:sqref>
                  </c15:fullRef>
                </c:ext>
              </c:extLst>
              <c:f>走势图!$C$2:$DK$2</c:f>
              <c:numCache>
                <c:formatCode>0_);[Red]\(0\)</c:formatCode>
                <c:ptCount val="113"/>
                <c:pt idx="0">
                  <c:v>2336.52802664836</c:v>
                </c:pt>
                <c:pt idx="1">
                  <c:v>2486.73561701201</c:v>
                </c:pt>
                <c:pt idx="2">
                  <c:v>2463.6406471757</c:v>
                </c:pt>
                <c:pt idx="3">
                  <c:v>2421.16058906031</c:v>
                </c:pt>
                <c:pt idx="4">
                  <c:v>2389.98441831522</c:v>
                </c:pt>
                <c:pt idx="5">
                  <c:v>2517.10202679492</c:v>
                </c:pt>
                <c:pt idx="6">
                  <c:v>2610.32495749103</c:v>
                </c:pt>
                <c:pt idx="7">
                  <c:v>2740.58145892879</c:v>
                </c:pt>
                <c:pt idx="8">
                  <c:v>2534.15628220744</c:v>
                </c:pt>
                <c:pt idx="9">
                  <c:v>2670.66059399294</c:v>
                </c:pt>
                <c:pt idx="10">
                  <c:v>2577.81847622475</c:v>
                </c:pt>
                <c:pt idx="11">
                  <c:v>2589.44395831942</c:v>
                </c:pt>
                <c:pt idx="12">
                  <c:v>2675.03974390694</c:v>
                </c:pt>
                <c:pt idx="13">
                  <c:v>2661.9709258682</c:v>
                </c:pt>
                <c:pt idx="14">
                  <c:v>2677.49744307477</c:v>
                </c:pt>
                <c:pt idx="15">
                  <c:v>2720.9215171283</c:v>
                </c:pt>
                <c:pt idx="16">
                  <c:v>2716.1916328704</c:v>
                </c:pt>
                <c:pt idx="17">
                  <c:v>2717.93069292358</c:v>
                </c:pt>
                <c:pt idx="18">
                  <c:v>2742.67950489356</c:v>
                </c:pt>
                <c:pt idx="19">
                  <c:v>2730.55121921408</c:v>
                </c:pt>
                <c:pt idx="20">
                  <c:v>2667.02778840469</c:v>
                </c:pt>
                <c:pt idx="21">
                  <c:v>2482.10788631239</c:v>
                </c:pt>
                <c:pt idx="22">
                  <c:v>2479.72486912659</c:v>
                </c:pt>
                <c:pt idx="23">
                  <c:v>2369.13681408076</c:v>
                </c:pt>
                <c:pt idx="24">
                  <c:v>2389.92058776453</c:v>
                </c:pt>
                <c:pt idx="25">
                  <c:v>2353.80782960241</c:v>
                </c:pt>
                <c:pt idx="26">
                  <c:v>2228.75944609667</c:v>
                </c:pt>
                <c:pt idx="27">
                  <c:v>2057.65408377272</c:v>
                </c:pt>
                <c:pt idx="28">
                  <c:v>2037.73913355371</c:v>
                </c:pt>
                <c:pt idx="29">
                  <c:v>2060.64942722881</c:v>
                </c:pt>
                <c:pt idx="30">
                  <c:v>2102.88971363419</c:v>
                </c:pt>
                <c:pt idx="31">
                  <c:v>2033.45865565588</c:v>
                </c:pt>
                <c:pt idx="32">
                  <c:v>1899.75616124342</c:v>
                </c:pt>
                <c:pt idx="33">
                  <c:v>1955.91103711065</c:v>
                </c:pt>
                <c:pt idx="34">
                  <c:v>1983.90829028131</c:v>
                </c:pt>
                <c:pt idx="35">
                  <c:v>2134.89368553085</c:v>
                </c:pt>
                <c:pt idx="36">
                  <c:v>2300.40239887854</c:v>
                </c:pt>
                <c:pt idx="37">
                  <c:v>2353.51886407236</c:v>
                </c:pt>
                <c:pt idx="38">
                  <c:v>2376.9914041787</c:v>
                </c:pt>
                <c:pt idx="39">
                  <c:v>2370.11097779376</c:v>
                </c:pt>
                <c:pt idx="40">
                  <c:v>2285.11727121911</c:v>
                </c:pt>
                <c:pt idx="41">
                  <c:v>2235.3890116282</c:v>
                </c:pt>
                <c:pt idx="42">
                  <c:v>2225.46747367068</c:v>
                </c:pt>
                <c:pt idx="43">
                  <c:v>2229.89952883193</c:v>
                </c:pt>
                <c:pt idx="44">
                  <c:v>2235.73247647006</c:v>
                </c:pt>
                <c:pt idx="45">
                  <c:v>2329.2131481707</c:v>
                </c:pt>
                <c:pt idx="46">
                  <c:v>2470.30616907957</c:v>
                </c:pt>
                <c:pt idx="47">
                  <c:v>2501.27733994969</c:v>
                </c:pt>
                <c:pt idx="48">
                  <c:v>2526.66487491209</c:v>
                </c:pt>
                <c:pt idx="49">
                  <c:v>2597.13533556329</c:v>
                </c:pt>
                <c:pt idx="50">
                  <c:v>2548.62846129866</c:v>
                </c:pt>
                <c:pt idx="51">
                  <c:v>2565.61944262039</c:v>
                </c:pt>
                <c:pt idx="52">
                  <c:v>2575.92776325538</c:v>
                </c:pt>
                <c:pt idx="53">
                  <c:v>2678.8684330737</c:v>
                </c:pt>
                <c:pt idx="54">
                  <c:v>2733.19732199673</c:v>
                </c:pt>
                <c:pt idx="55">
                  <c:v>2745.26197429751</c:v>
                </c:pt>
                <c:pt idx="56">
                  <c:v>2742.63429292559</c:v>
                </c:pt>
                <c:pt idx="57">
                  <c:v>2700</c:v>
                </c:pt>
                <c:pt idx="58">
                  <c:v>2700</c:v>
                </c:pt>
                <c:pt idx="59">
                  <c:v>2614</c:v>
                </c:pt>
                <c:pt idx="60">
                  <c:v>2625</c:v>
                </c:pt>
                <c:pt idx="61">
                  <c:v>2520.39182203737</c:v>
                </c:pt>
                <c:pt idx="62">
                  <c:v>2512.13068830001</c:v>
                </c:pt>
                <c:pt idx="63">
                  <c:v>2429.00920272917</c:v>
                </c:pt>
                <c:pt idx="64">
                  <c:v>2407.32579117454</c:v>
                </c:pt>
                <c:pt idx="65">
                  <c:v>2214.27488235976</c:v>
                </c:pt>
                <c:pt idx="66">
                  <c:v>2214.17373230795</c:v>
                </c:pt>
                <c:pt idx="67">
                  <c:v>2187.03721640631</c:v>
                </c:pt>
                <c:pt idx="68">
                  <c:v>2139.20731562574</c:v>
                </c:pt>
                <c:pt idx="69">
                  <c:v>2103.83873158189</c:v>
                </c:pt>
                <c:pt idx="70">
                  <c:v>2061.2315180595</c:v>
                </c:pt>
                <c:pt idx="71">
                  <c:v>2085.85646546543</c:v>
                </c:pt>
                <c:pt idx="72">
                  <c:v>1986.99049986103</c:v>
                </c:pt>
                <c:pt idx="73">
                  <c:v>1986.99049986103</c:v>
                </c:pt>
                <c:pt idx="74">
                  <c:v>2071.54970299319</c:v>
                </c:pt>
                <c:pt idx="75">
                  <c:v>2060.86989188714</c:v>
                </c:pt>
                <c:pt idx="76">
                  <c:v>2071.91942244851</c:v>
                </c:pt>
                <c:pt idx="77">
                  <c:v>2098.81534256527</c:v>
                </c:pt>
                <c:pt idx="78">
                  <c:v>2082.68201288914</c:v>
                </c:pt>
                <c:pt idx="79">
                  <c:v>2176.04544673005</c:v>
                </c:pt>
                <c:pt idx="80">
                  <c:v>2238.37267542502</c:v>
                </c:pt>
                <c:pt idx="81">
                  <c:v>2273.71492390218</c:v>
                </c:pt>
                <c:pt idx="82">
                  <c:v>2310.92311103161</c:v>
                </c:pt>
                <c:pt idx="83">
                  <c:v>2365.12277264168</c:v>
                </c:pt>
                <c:pt idx="84">
                  <c:v>2471.1848190443</c:v>
                </c:pt>
                <c:pt idx="85">
                  <c:v>2727.36764923849</c:v>
                </c:pt>
                <c:pt idx="86">
                  <c:v>3293.74390943446</c:v>
                </c:pt>
                <c:pt idx="87">
                  <c:v>3225.76580175787</c:v>
                </c:pt>
                <c:pt idx="88">
                  <c:v>3262.17499294506</c:v>
                </c:pt>
                <c:pt idx="89">
                  <c:v>3373.02009683852</c:v>
                </c:pt>
                <c:pt idx="90">
                  <c:v>3508.28733466809</c:v>
                </c:pt>
                <c:pt idx="91">
                  <c:v>3780.28873276843</c:v>
                </c:pt>
                <c:pt idx="92">
                  <c:v>3742.63740127969</c:v>
                </c:pt>
                <c:pt idx="93">
                  <c:v>3536.15387237605</c:v>
                </c:pt>
                <c:pt idx="94">
                  <c:v>3536.09939443262</c:v>
                </c:pt>
                <c:pt idx="95">
                  <c:v>3635.94254687299</c:v>
                </c:pt>
                <c:pt idx="96">
                  <c:v>3566.13213614648</c:v>
                </c:pt>
                <c:pt idx="97">
                  <c:v>4271.26059306314</c:v>
                </c:pt>
                <c:pt idx="98">
                  <c:v>4362</c:v>
                </c:pt>
                <c:pt idx="99">
                  <c:v>5029</c:v>
                </c:pt>
                <c:pt idx="100">
                  <c:v>5280</c:v>
                </c:pt>
                <c:pt idx="101">
                  <c:v>5074.32941176471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走势图!$A$4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ea"/>
                        <a:ea typeface="+mn-ea"/>
                        <a:cs typeface="+mn-cs"/>
                      </a:defRPr>
                    </a:pPr>
                    <a:r>
                      <a:rPr lang="zh-CN" altLang="en-US" sz="1200"/>
                      <a:t>硫磺</a:t>
                    </a:r>
                    <a:endParaRPr lang="zh-CN" altLang="en-US" sz="12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走势图!$A$1:$DK$1</c15:sqref>
                  </c15:fullRef>
                </c:ext>
              </c:extLst>
              <c:f>走势图!$B$1:$DK$1</c:f>
              <c:strCache>
                <c:ptCount val="114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  <c:pt idx="80" c:formatCode="@">
                  <c:v>20年9月</c:v>
                </c:pt>
                <c:pt idx="81" c:formatCode="@">
                  <c:v>20年10月</c:v>
                </c:pt>
                <c:pt idx="82" c:formatCode="@">
                  <c:v>20年11月</c:v>
                </c:pt>
                <c:pt idx="83" c:formatCode="@">
                  <c:v>20年12月</c:v>
                </c:pt>
                <c:pt idx="84" c:formatCode="@">
                  <c:v>21年1月</c:v>
                </c:pt>
                <c:pt idx="85" c:formatCode="@">
                  <c:v>21年2月</c:v>
                </c:pt>
                <c:pt idx="86" c:formatCode="@">
                  <c:v>21年3月</c:v>
                </c:pt>
                <c:pt idx="87" c:formatCode="@">
                  <c:v>21年4月</c:v>
                </c:pt>
                <c:pt idx="88" c:formatCode="@">
                  <c:v>21年5月</c:v>
                </c:pt>
                <c:pt idx="89" c:formatCode="@">
                  <c:v>21年6月</c:v>
                </c:pt>
                <c:pt idx="90" c:formatCode="@">
                  <c:v>21年7月</c:v>
                </c:pt>
                <c:pt idx="91" c:formatCode="@">
                  <c:v>21年8月</c:v>
                </c:pt>
                <c:pt idx="92" c:formatCode="@">
                  <c:v>21年9月</c:v>
                </c:pt>
                <c:pt idx="93" c:formatCode="@">
                  <c:v>21年10月</c:v>
                </c:pt>
                <c:pt idx="94" c:formatCode="@">
                  <c:v>21年11月</c:v>
                </c:pt>
                <c:pt idx="95" c:formatCode="@">
                  <c:v>21年12月</c:v>
                </c:pt>
                <c:pt idx="96" c:formatCode="@">
                  <c:v>22年1月</c:v>
                </c:pt>
                <c:pt idx="97" c:formatCode="@">
                  <c:v>22年2月</c:v>
                </c:pt>
                <c:pt idx="98" c:formatCode="@">
                  <c:v>22年3月</c:v>
                </c:pt>
                <c:pt idx="99" c:formatCode="@">
                  <c:v>22年4月</c:v>
                </c:pt>
                <c:pt idx="100" c:formatCode="@">
                  <c:v>22年5月</c:v>
                </c:pt>
                <c:pt idx="101" c:formatCode="@">
                  <c:v>22年6月</c:v>
                </c:pt>
                <c:pt idx="102" c:formatCode="@">
                  <c:v>22年7月</c:v>
                </c:pt>
                <c:pt idx="108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走势图!$B$4:$DK$4</c15:sqref>
                  </c15:fullRef>
                </c:ext>
              </c:extLst>
              <c:f>走势图!$C$4:$DK$4</c:f>
              <c:numCache>
                <c:formatCode>0_);[Red]\(0\)</c:formatCode>
                <c:ptCount val="113"/>
                <c:pt idx="0">
                  <c:v>1491</c:v>
                </c:pt>
                <c:pt idx="1">
                  <c:v>1408</c:v>
                </c:pt>
                <c:pt idx="2">
                  <c:v>1104</c:v>
                </c:pt>
                <c:pt idx="3">
                  <c:v>1307</c:v>
                </c:pt>
                <c:pt idx="4">
                  <c:v>1315</c:v>
                </c:pt>
                <c:pt idx="5">
                  <c:v>1361</c:v>
                </c:pt>
                <c:pt idx="6">
                  <c:v>1291</c:v>
                </c:pt>
                <c:pt idx="7">
                  <c:v>1197</c:v>
                </c:pt>
                <c:pt idx="8">
                  <c:v>1024</c:v>
                </c:pt>
                <c:pt idx="9">
                  <c:v>1145</c:v>
                </c:pt>
                <c:pt idx="10">
                  <c:v>1314</c:v>
                </c:pt>
                <c:pt idx="11">
                  <c:v>1372</c:v>
                </c:pt>
                <c:pt idx="12">
                  <c:v>1354</c:v>
                </c:pt>
                <c:pt idx="13">
                  <c:v>1370</c:v>
                </c:pt>
                <c:pt idx="14">
                  <c:v>1171</c:v>
                </c:pt>
                <c:pt idx="15">
                  <c:v>1168</c:v>
                </c:pt>
                <c:pt idx="16">
                  <c:v>1250</c:v>
                </c:pt>
                <c:pt idx="17">
                  <c:v>1268</c:v>
                </c:pt>
                <c:pt idx="18">
                  <c:v>1201</c:v>
                </c:pt>
                <c:pt idx="19">
                  <c:v>1063</c:v>
                </c:pt>
                <c:pt idx="20">
                  <c:v>1048</c:v>
                </c:pt>
                <c:pt idx="21">
                  <c:v>1140</c:v>
                </c:pt>
                <c:pt idx="22">
                  <c:v>1080</c:v>
                </c:pt>
                <c:pt idx="23">
                  <c:v>945</c:v>
                </c:pt>
                <c:pt idx="24">
                  <c:v>841</c:v>
                </c:pt>
                <c:pt idx="25">
                  <c:v>760</c:v>
                </c:pt>
                <c:pt idx="26">
                  <c:v>767</c:v>
                </c:pt>
                <c:pt idx="27">
                  <c:v>753</c:v>
                </c:pt>
                <c:pt idx="28">
                  <c:v>711</c:v>
                </c:pt>
                <c:pt idx="29">
                  <c:v>669</c:v>
                </c:pt>
                <c:pt idx="30">
                  <c:v>689</c:v>
                </c:pt>
                <c:pt idx="31">
                  <c:v>729</c:v>
                </c:pt>
                <c:pt idx="32">
                  <c:v>763</c:v>
                </c:pt>
                <c:pt idx="33">
                  <c:v>870</c:v>
                </c:pt>
                <c:pt idx="34">
                  <c:v>897</c:v>
                </c:pt>
                <c:pt idx="35">
                  <c:v>887</c:v>
                </c:pt>
                <c:pt idx="36">
                  <c:v>907</c:v>
                </c:pt>
                <c:pt idx="37">
                  <c:v>893</c:v>
                </c:pt>
                <c:pt idx="38">
                  <c:v>803</c:v>
                </c:pt>
                <c:pt idx="39">
                  <c:v>813</c:v>
                </c:pt>
                <c:pt idx="40">
                  <c:v>837</c:v>
                </c:pt>
                <c:pt idx="41">
                  <c:v>902</c:v>
                </c:pt>
                <c:pt idx="42">
                  <c:v>983</c:v>
                </c:pt>
                <c:pt idx="43">
                  <c:v>1045</c:v>
                </c:pt>
                <c:pt idx="44">
                  <c:v>1386</c:v>
                </c:pt>
                <c:pt idx="45">
                  <c:v>1602</c:v>
                </c:pt>
                <c:pt idx="46">
                  <c:v>1301</c:v>
                </c:pt>
                <c:pt idx="47">
                  <c:v>1184</c:v>
                </c:pt>
                <c:pt idx="48">
                  <c:v>1199</c:v>
                </c:pt>
                <c:pt idx="49">
                  <c:v>1117</c:v>
                </c:pt>
                <c:pt idx="50">
                  <c:v>1059</c:v>
                </c:pt>
                <c:pt idx="51">
                  <c:v>1127</c:v>
                </c:pt>
                <c:pt idx="52">
                  <c:v>1148</c:v>
                </c:pt>
                <c:pt idx="53">
                  <c:v>1193</c:v>
                </c:pt>
                <c:pt idx="54">
                  <c:v>1328</c:v>
                </c:pt>
                <c:pt idx="55">
                  <c:v>1487</c:v>
                </c:pt>
                <c:pt idx="56">
                  <c:v>1459</c:v>
                </c:pt>
                <c:pt idx="57">
                  <c:v>1398</c:v>
                </c:pt>
                <c:pt idx="58">
                  <c:v>1230.5</c:v>
                </c:pt>
                <c:pt idx="59">
                  <c:v>1133.57</c:v>
                </c:pt>
                <c:pt idx="60">
                  <c:v>1086</c:v>
                </c:pt>
                <c:pt idx="61">
                  <c:v>1005.9</c:v>
                </c:pt>
                <c:pt idx="62">
                  <c:v>997.73</c:v>
                </c:pt>
                <c:pt idx="63">
                  <c:v>972.857142857143</c:v>
                </c:pt>
                <c:pt idx="64">
                  <c:v>963.684210526316</c:v>
                </c:pt>
                <c:pt idx="65">
                  <c:v>841.086956521739</c:v>
                </c:pt>
                <c:pt idx="66">
                  <c:v>752.272727272727</c:v>
                </c:pt>
                <c:pt idx="67">
                  <c:v>642.6</c:v>
                </c:pt>
                <c:pt idx="68">
                  <c:v>602.368421052632</c:v>
                </c:pt>
                <c:pt idx="69">
                  <c:v>523.571428571429</c:v>
                </c:pt>
                <c:pt idx="70">
                  <c:v>539.090909090909</c:v>
                </c:pt>
                <c:pt idx="71">
                  <c:v>596.5625</c:v>
                </c:pt>
                <c:pt idx="72">
                  <c:v>611.136363636364</c:v>
                </c:pt>
                <c:pt idx="73">
                  <c:v>668.863636363636</c:v>
                </c:pt>
                <c:pt idx="74">
                  <c:v>598.409090909091</c:v>
                </c:pt>
                <c:pt idx="75">
                  <c:v>641.052631578947</c:v>
                </c:pt>
                <c:pt idx="76">
                  <c:v>661.190476190476</c:v>
                </c:pt>
                <c:pt idx="77">
                  <c:v>630.869565217391</c:v>
                </c:pt>
                <c:pt idx="78">
                  <c:v>651.904761904762</c:v>
                </c:pt>
                <c:pt idx="79">
                  <c:v>702.173913043478</c:v>
                </c:pt>
                <c:pt idx="80">
                  <c:v>746.176470588235</c:v>
                </c:pt>
                <c:pt idx="81">
                  <c:v>806.363636363636</c:v>
                </c:pt>
                <c:pt idx="82">
                  <c:v>920.47619047619</c:v>
                </c:pt>
                <c:pt idx="83">
                  <c:v>1092.75</c:v>
                </c:pt>
                <c:pt idx="84">
                  <c:v>1438.23529411765</c:v>
                </c:pt>
                <c:pt idx="85">
                  <c:v>1349.5652173913</c:v>
                </c:pt>
                <c:pt idx="86">
                  <c:v>1420</c:v>
                </c:pt>
                <c:pt idx="87">
                  <c:v>1554.47368421053</c:v>
                </c:pt>
                <c:pt idx="88">
                  <c:v>1597.85714285714</c:v>
                </c:pt>
                <c:pt idx="89">
                  <c:v>1584.31818181818</c:v>
                </c:pt>
                <c:pt idx="90">
                  <c:v>1774.09090909091</c:v>
                </c:pt>
                <c:pt idx="91">
                  <c:v>1908.40909090909</c:v>
                </c:pt>
                <c:pt idx="92">
                  <c:v>1937.05882352941</c:v>
                </c:pt>
                <c:pt idx="93">
                  <c:v>2001.81818181818</c:v>
                </c:pt>
                <c:pt idx="94">
                  <c:v>2313.04347826087</c:v>
                </c:pt>
                <c:pt idx="95">
                  <c:v>2461.25</c:v>
                </c:pt>
                <c:pt idx="96">
                  <c:v>2569.33333333333</c:v>
                </c:pt>
                <c:pt idx="97">
                  <c:v>3236</c:v>
                </c:pt>
                <c:pt idx="98">
                  <c:v>3510.47619047619</c:v>
                </c:pt>
                <c:pt idx="99">
                  <c:v>4034</c:v>
                </c:pt>
                <c:pt idx="100">
                  <c:v>3538.09523809524</c:v>
                </c:pt>
                <c:pt idx="101">
                  <c:v>2000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走势图!$A$5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layout>
                <c:manualLayout>
                  <c:x val="-0.0125244602956119"/>
                  <c:y val="-0.04006163328197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走势图!$A$1:$DK$1</c15:sqref>
                  </c15:fullRef>
                </c:ext>
              </c:extLst>
              <c:f>走势图!$B$1:$DK$1</c:f>
              <c:strCache>
                <c:ptCount val="114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  <c:pt idx="80" c:formatCode="@">
                  <c:v>20年9月</c:v>
                </c:pt>
                <c:pt idx="81" c:formatCode="@">
                  <c:v>20年10月</c:v>
                </c:pt>
                <c:pt idx="82" c:formatCode="@">
                  <c:v>20年11月</c:v>
                </c:pt>
                <c:pt idx="83" c:formatCode="@">
                  <c:v>20年12月</c:v>
                </c:pt>
                <c:pt idx="84" c:formatCode="@">
                  <c:v>21年1月</c:v>
                </c:pt>
                <c:pt idx="85" c:formatCode="@">
                  <c:v>21年2月</c:v>
                </c:pt>
                <c:pt idx="86" c:formatCode="@">
                  <c:v>21年3月</c:v>
                </c:pt>
                <c:pt idx="87" c:formatCode="@">
                  <c:v>21年4月</c:v>
                </c:pt>
                <c:pt idx="88" c:formatCode="@">
                  <c:v>21年5月</c:v>
                </c:pt>
                <c:pt idx="89" c:formatCode="@">
                  <c:v>21年6月</c:v>
                </c:pt>
                <c:pt idx="90" c:formatCode="@">
                  <c:v>21年7月</c:v>
                </c:pt>
                <c:pt idx="91" c:formatCode="@">
                  <c:v>21年8月</c:v>
                </c:pt>
                <c:pt idx="92" c:formatCode="@">
                  <c:v>21年9月</c:v>
                </c:pt>
                <c:pt idx="93" c:formatCode="@">
                  <c:v>21年10月</c:v>
                </c:pt>
                <c:pt idx="94" c:formatCode="@">
                  <c:v>21年11月</c:v>
                </c:pt>
                <c:pt idx="95" c:formatCode="@">
                  <c:v>21年12月</c:v>
                </c:pt>
                <c:pt idx="96" c:formatCode="@">
                  <c:v>22年1月</c:v>
                </c:pt>
                <c:pt idx="97" c:formatCode="@">
                  <c:v>22年2月</c:v>
                </c:pt>
                <c:pt idx="98" c:formatCode="@">
                  <c:v>22年3月</c:v>
                </c:pt>
                <c:pt idx="99" c:formatCode="@">
                  <c:v>22年4月</c:v>
                </c:pt>
                <c:pt idx="100" c:formatCode="@">
                  <c:v>22年5月</c:v>
                </c:pt>
                <c:pt idx="101" c:formatCode="@">
                  <c:v>22年6月</c:v>
                </c:pt>
                <c:pt idx="102" c:formatCode="@">
                  <c:v>22年7月</c:v>
                </c:pt>
                <c:pt idx="108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走势图!$B$5:$DK$5</c15:sqref>
                  </c15:fullRef>
                </c:ext>
              </c:extLst>
              <c:f>走势图!$C$5:$DK$5</c:f>
              <c:numCache>
                <c:formatCode>General</c:formatCode>
                <c:ptCount val="113"/>
                <c:pt idx="101" c:formatCode="0_);[Red]\(0\)">
                  <c:v>2000</c:v>
                </c:pt>
                <c:pt idx="102" c:formatCode="0_);[Red]\(0\)">
                  <c:v>1900</c:v>
                </c:pt>
                <c:pt idx="103" c:formatCode="0_);[Red]\(0\)">
                  <c:v>1900</c:v>
                </c:pt>
                <c:pt idx="104" c:formatCode="0_);[Red]\(0\)">
                  <c:v>1900</c:v>
                </c:pt>
                <c:pt idx="105" c:formatCode="0_);[Red]\(0\)">
                  <c:v>1900</c:v>
                </c:pt>
                <c:pt idx="106" c:formatCode="0_);[Red]\(0\)">
                  <c:v>1900</c:v>
                </c:pt>
                <c:pt idx="107" c:formatCode="0_);[Red]\(0\)">
                  <c:v>1900</c:v>
                </c:pt>
                <c:pt idx="108" c:formatCode="0_);[Red]\(0\)">
                  <c:v>1900</c:v>
                </c:pt>
                <c:pt idx="109" c:formatCode="0_);[Red]\(0\)">
                  <c:v>1900</c:v>
                </c:pt>
                <c:pt idx="110" c:formatCode="0_);[Red]\(0\)">
                  <c:v>1900</c:v>
                </c:pt>
                <c:pt idx="111" c:formatCode="0_);[Red]\(0\)">
                  <c:v>1900</c:v>
                </c:pt>
                <c:pt idx="112" c:formatCode="0_);[Red]\(0\)">
                  <c:v>1900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走势图!$A$6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layout>
                <c:manualLayout>
                  <c:x val="-0.0219178055173207"/>
                  <c:y val="-0.040061633281972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6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走势图!$A$1:$DK$1</c15:sqref>
                  </c15:fullRef>
                </c:ext>
              </c:extLst>
              <c:f>走势图!$B$1:$DK$1</c:f>
              <c:strCache>
                <c:ptCount val="114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  <c:pt idx="80" c:formatCode="@">
                  <c:v>20年9月</c:v>
                </c:pt>
                <c:pt idx="81" c:formatCode="@">
                  <c:v>20年10月</c:v>
                </c:pt>
                <c:pt idx="82" c:formatCode="@">
                  <c:v>20年11月</c:v>
                </c:pt>
                <c:pt idx="83" c:formatCode="@">
                  <c:v>20年12月</c:v>
                </c:pt>
                <c:pt idx="84" c:formatCode="@">
                  <c:v>21年1月</c:v>
                </c:pt>
                <c:pt idx="85" c:formatCode="@">
                  <c:v>21年2月</c:v>
                </c:pt>
                <c:pt idx="86" c:formatCode="@">
                  <c:v>21年3月</c:v>
                </c:pt>
                <c:pt idx="87" c:formatCode="@">
                  <c:v>21年4月</c:v>
                </c:pt>
                <c:pt idx="88" c:formatCode="@">
                  <c:v>21年5月</c:v>
                </c:pt>
                <c:pt idx="89" c:formatCode="@">
                  <c:v>21年6月</c:v>
                </c:pt>
                <c:pt idx="90" c:formatCode="@">
                  <c:v>21年7月</c:v>
                </c:pt>
                <c:pt idx="91" c:formatCode="@">
                  <c:v>21年8月</c:v>
                </c:pt>
                <c:pt idx="92" c:formatCode="@">
                  <c:v>21年9月</c:v>
                </c:pt>
                <c:pt idx="93" c:formatCode="@">
                  <c:v>21年10月</c:v>
                </c:pt>
                <c:pt idx="94" c:formatCode="@">
                  <c:v>21年11月</c:v>
                </c:pt>
                <c:pt idx="95" c:formatCode="@">
                  <c:v>21年12月</c:v>
                </c:pt>
                <c:pt idx="96" c:formatCode="@">
                  <c:v>22年1月</c:v>
                </c:pt>
                <c:pt idx="97" c:formatCode="@">
                  <c:v>22年2月</c:v>
                </c:pt>
                <c:pt idx="98" c:formatCode="@">
                  <c:v>22年3月</c:v>
                </c:pt>
                <c:pt idx="99" c:formatCode="@">
                  <c:v>22年4月</c:v>
                </c:pt>
                <c:pt idx="100" c:formatCode="@">
                  <c:v>22年5月</c:v>
                </c:pt>
                <c:pt idx="101" c:formatCode="@">
                  <c:v>22年6月</c:v>
                </c:pt>
                <c:pt idx="102" c:formatCode="@">
                  <c:v>22年7月</c:v>
                </c:pt>
                <c:pt idx="108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走势图!$B$6:$DK$6</c15:sqref>
                  </c15:fullRef>
                </c:ext>
              </c:extLst>
              <c:f>走势图!$C$6:$DK$6</c:f>
              <c:numCache>
                <c:formatCode>General</c:formatCode>
                <c:ptCount val="113"/>
                <c:pt idx="101" c:formatCode="0_);[Red]\(0\)">
                  <c:v>2000</c:v>
                </c:pt>
                <c:pt idx="102" c:formatCode="0_);[Red]\(0\)">
                  <c:v>1200</c:v>
                </c:pt>
                <c:pt idx="103" c:formatCode="0_);[Red]\(0\)">
                  <c:v>1200</c:v>
                </c:pt>
                <c:pt idx="104" c:formatCode="0_);[Red]\(0\)">
                  <c:v>1200</c:v>
                </c:pt>
                <c:pt idx="105" c:formatCode="0_);[Red]\(0\)">
                  <c:v>1200</c:v>
                </c:pt>
                <c:pt idx="106" c:formatCode="0_);[Red]\(0\)">
                  <c:v>1200</c:v>
                </c:pt>
                <c:pt idx="107" c:formatCode="0_);[Red]\(0\)">
                  <c:v>1200</c:v>
                </c:pt>
                <c:pt idx="108" c:formatCode="0_);[Red]\(0\)">
                  <c:v>1200</c:v>
                </c:pt>
                <c:pt idx="109" c:formatCode="0_);[Red]\(0\)">
                  <c:v>1200</c:v>
                </c:pt>
                <c:pt idx="110" c:formatCode="0_);[Red]\(0\)">
                  <c:v>1200</c:v>
                </c:pt>
                <c:pt idx="111" c:formatCode="0_);[Red]\(0\)">
                  <c:v>1200</c:v>
                </c:pt>
                <c:pt idx="112" c:formatCode="0_);[Red]\(0\)">
                  <c:v>1200</c:v>
                </c:pt>
              </c:numCache>
            </c:numRef>
          </c:val>
          <c:smooth val="0"/>
        </c:ser>
        <c:ser>
          <c:idx val="0"/>
          <c:order val="4"/>
          <c:tx>
            <c:strRef>
              <c:f>走势图!$A$3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layout>
                <c:manualLayout>
                  <c:x val="-0.0234833630542722"/>
                  <c:y val="-0.03081664098613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8">
                <c:v>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走势图!$B$3:$DK$3</c15:sqref>
                  </c15:fullRef>
                </c:ext>
              </c:extLst>
              <c:f>走势图!$C$3:$DK$3</c:f>
              <c:numCache>
                <c:formatCode>General</c:formatCode>
                <c:ptCount val="113"/>
                <c:pt idx="101" c:formatCode="0_);[Red]\(0\)">
                  <c:v>5074.32941176471</c:v>
                </c:pt>
                <c:pt idx="102" c:formatCode="0_);[Red]\(0\)">
                  <c:v>4400</c:v>
                </c:pt>
                <c:pt idx="103" c:formatCode="0_);[Red]\(0\)">
                  <c:v>4400</c:v>
                </c:pt>
                <c:pt idx="104" c:formatCode="0_);[Red]\(0\)">
                  <c:v>4400</c:v>
                </c:pt>
                <c:pt idx="105" c:formatCode="0_);[Red]\(0\)">
                  <c:v>4400</c:v>
                </c:pt>
                <c:pt idx="106" c:formatCode="0_);[Red]\(0\)">
                  <c:v>4400</c:v>
                </c:pt>
                <c:pt idx="107" c:formatCode="0_);[Red]\(0\)">
                  <c:v>4400</c:v>
                </c:pt>
                <c:pt idx="108" c:formatCode="0_);[Red]\(0\)">
                  <c:v>4400</c:v>
                </c:pt>
                <c:pt idx="109" c:formatCode="0_);[Red]\(0\)">
                  <c:v>4400</c:v>
                </c:pt>
                <c:pt idx="110" c:formatCode="0_);[Red]\(0\)">
                  <c:v>4400</c:v>
                </c:pt>
                <c:pt idx="111" c:formatCode="0_);[Red]\(0\)">
                  <c:v>4400</c:v>
                </c:pt>
                <c:pt idx="112" c:formatCode="0_);[Red]\(0\)">
                  <c:v>4400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dateAx>
        <c:axId val="17195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5024"/>
        <c:crosses val="autoZero"/>
        <c:auto val="0"/>
        <c:lblAlgn val="ctr"/>
        <c:lblOffset val="100"/>
        <c:baseTimeUnit val="days"/>
      </c:dateAx>
      <c:valAx>
        <c:axId val="1719525024"/>
        <c:scaling>
          <c:orientation val="minMax"/>
          <c:max val="5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1280"/>
        <c:crossesAt val="3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0164f5-348d-40e5-a221-9aa111f6fb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二铵、磷矿价格走势图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>
        <c:manualLayout>
          <c:xMode val="edge"/>
          <c:yMode val="edge"/>
          <c:x val="0.335491071428571"/>
          <c:y val="0.0123266563944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63448818897638"/>
          <c:y val="0.12624049112505"/>
          <c:w val="0.910441066020594"/>
          <c:h val="0.805202674010895"/>
        </c:manualLayout>
      </c:layout>
      <c:lineChart>
        <c:grouping val="standard"/>
        <c:varyColors val="0"/>
        <c:ser>
          <c:idx val="6"/>
          <c:order val="0"/>
          <c:tx>
            <c:strRef>
              <c:f>走势图!$A$3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layout>
                <c:manualLayout>
                  <c:x val="-0.0250489205912237"/>
                  <c:y val="-0.027734976887519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走势图!$A$1:$DK$1</c15:sqref>
                  </c15:fullRef>
                </c:ext>
              </c:extLst>
              <c:f>走势图!$B$1:$DK$1</c:f>
              <c:strCache>
                <c:ptCount val="114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  <c:pt idx="80" c:formatCode="@">
                  <c:v>20年9月</c:v>
                </c:pt>
                <c:pt idx="81" c:formatCode="@">
                  <c:v>20年10月</c:v>
                </c:pt>
                <c:pt idx="82" c:formatCode="@">
                  <c:v>20年11月</c:v>
                </c:pt>
                <c:pt idx="83" c:formatCode="@">
                  <c:v>20年12月</c:v>
                </c:pt>
                <c:pt idx="84" c:formatCode="@">
                  <c:v>21年1月</c:v>
                </c:pt>
                <c:pt idx="85" c:formatCode="@">
                  <c:v>21年2月</c:v>
                </c:pt>
                <c:pt idx="86" c:formatCode="@">
                  <c:v>21年3月</c:v>
                </c:pt>
                <c:pt idx="87" c:formatCode="@">
                  <c:v>21年4月</c:v>
                </c:pt>
                <c:pt idx="88" c:formatCode="@">
                  <c:v>21年5月</c:v>
                </c:pt>
                <c:pt idx="89" c:formatCode="@">
                  <c:v>21年6月</c:v>
                </c:pt>
                <c:pt idx="90" c:formatCode="@">
                  <c:v>21年7月</c:v>
                </c:pt>
                <c:pt idx="91" c:formatCode="@">
                  <c:v>21年8月</c:v>
                </c:pt>
                <c:pt idx="92" c:formatCode="@">
                  <c:v>21年9月</c:v>
                </c:pt>
                <c:pt idx="93" c:formatCode="@">
                  <c:v>21年10月</c:v>
                </c:pt>
                <c:pt idx="94" c:formatCode="@">
                  <c:v>21年11月</c:v>
                </c:pt>
                <c:pt idx="95" c:formatCode="@">
                  <c:v>21年12月</c:v>
                </c:pt>
                <c:pt idx="96" c:formatCode="@">
                  <c:v>22年1月</c:v>
                </c:pt>
                <c:pt idx="97" c:formatCode="@">
                  <c:v>22年2月</c:v>
                </c:pt>
                <c:pt idx="98" c:formatCode="@">
                  <c:v>22年3月</c:v>
                </c:pt>
                <c:pt idx="99" c:formatCode="@">
                  <c:v>22年4月</c:v>
                </c:pt>
                <c:pt idx="100" c:formatCode="@">
                  <c:v>22年5月</c:v>
                </c:pt>
                <c:pt idx="101" c:formatCode="@">
                  <c:v>22年6月</c:v>
                </c:pt>
                <c:pt idx="102" c:formatCode="@">
                  <c:v>22年7月</c:v>
                </c:pt>
                <c:pt idx="108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走势图!$B$3:$DK$3</c15:sqref>
                  </c15:fullRef>
                </c:ext>
              </c:extLst>
              <c:f>走势图!$C$3:$DK$3</c:f>
              <c:numCache>
                <c:formatCode>General</c:formatCode>
                <c:ptCount val="113"/>
                <c:pt idx="101" c:formatCode="0_);[Red]\(0\)">
                  <c:v>5074.32941176471</c:v>
                </c:pt>
                <c:pt idx="102" c:formatCode="0_);[Red]\(0\)">
                  <c:v>4400</c:v>
                </c:pt>
                <c:pt idx="103" c:formatCode="0_);[Red]\(0\)">
                  <c:v>4400</c:v>
                </c:pt>
                <c:pt idx="104" c:formatCode="0_);[Red]\(0\)">
                  <c:v>4400</c:v>
                </c:pt>
                <c:pt idx="105" c:formatCode="0_);[Red]\(0\)">
                  <c:v>4400</c:v>
                </c:pt>
                <c:pt idx="106" c:formatCode="0_);[Red]\(0\)">
                  <c:v>4400</c:v>
                </c:pt>
                <c:pt idx="107" c:formatCode="0_);[Red]\(0\)">
                  <c:v>4400</c:v>
                </c:pt>
                <c:pt idx="108" c:formatCode="0_);[Red]\(0\)">
                  <c:v>4400</c:v>
                </c:pt>
                <c:pt idx="109" c:formatCode="0_);[Red]\(0\)">
                  <c:v>4400</c:v>
                </c:pt>
                <c:pt idx="110" c:formatCode="0_);[Red]\(0\)">
                  <c:v>4400</c:v>
                </c:pt>
                <c:pt idx="111" c:formatCode="0_);[Red]\(0\)">
                  <c:v>4400</c:v>
                </c:pt>
                <c:pt idx="112" c:formatCode="0_);[Red]\(0\)">
                  <c:v>4400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走势图!$A$2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layout>
                <c:manualLayout>
                  <c:x val="-0.0187866904434177"/>
                  <c:y val="-0.03081664098613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CN" alt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r>
                      <a:rPr lang="zh-CN" altLang="en-US"/>
                      <a:t>二铵</a:t>
                    </a:r>
                    <a:endParaRPr lang="zh-CN" alt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走势图!$A$1:$DK$1</c15:sqref>
                  </c15:fullRef>
                </c:ext>
              </c:extLst>
              <c:f>走势图!$B$1:$DK$1</c:f>
              <c:strCache>
                <c:ptCount val="114"/>
                <c:pt idx="0" c:formatCode="@">
                  <c:v>14年1月</c:v>
                </c:pt>
                <c:pt idx="1" c:formatCode="@">
                  <c:v>14年2月</c:v>
                </c:pt>
                <c:pt idx="2" c:formatCode="@">
                  <c:v>14年3月</c:v>
                </c:pt>
                <c:pt idx="3" c:formatCode="@">
                  <c:v>14年4月</c:v>
                </c:pt>
                <c:pt idx="4" c:formatCode="@">
                  <c:v>14年5月</c:v>
                </c:pt>
                <c:pt idx="5" c:formatCode="@">
                  <c:v>14年6月</c:v>
                </c:pt>
                <c:pt idx="6" c:formatCode="@">
                  <c:v>14年7月</c:v>
                </c:pt>
                <c:pt idx="7" c:formatCode="@">
                  <c:v>14年8月</c:v>
                </c:pt>
                <c:pt idx="8" c:formatCode="@">
                  <c:v>14年9月</c:v>
                </c:pt>
                <c:pt idx="9" c:formatCode="@">
                  <c:v>14年10月</c:v>
                </c:pt>
                <c:pt idx="10" c:formatCode="@">
                  <c:v>14年11月</c:v>
                </c:pt>
                <c:pt idx="11" c:formatCode="@">
                  <c:v>14年12月</c:v>
                </c:pt>
                <c:pt idx="12" c:formatCode="@">
                  <c:v>15年1月</c:v>
                </c:pt>
                <c:pt idx="13" c:formatCode="@">
                  <c:v>15年2月</c:v>
                </c:pt>
                <c:pt idx="14" c:formatCode="@">
                  <c:v>15年3月</c:v>
                </c:pt>
                <c:pt idx="15" c:formatCode="@">
                  <c:v>15年4月</c:v>
                </c:pt>
                <c:pt idx="16" c:formatCode="@">
                  <c:v>15年5月</c:v>
                </c:pt>
                <c:pt idx="17" c:formatCode="@">
                  <c:v>15年6月</c:v>
                </c:pt>
                <c:pt idx="18" c:formatCode="@">
                  <c:v>15年7月</c:v>
                </c:pt>
                <c:pt idx="19" c:formatCode="@">
                  <c:v>15年8月</c:v>
                </c:pt>
                <c:pt idx="20" c:formatCode="@">
                  <c:v>15年9月</c:v>
                </c:pt>
                <c:pt idx="21" c:formatCode="@">
                  <c:v>15年10月</c:v>
                </c:pt>
                <c:pt idx="22" c:formatCode="@">
                  <c:v>15年11月</c:v>
                </c:pt>
                <c:pt idx="23" c:formatCode="@">
                  <c:v>15年12月</c:v>
                </c:pt>
                <c:pt idx="24" c:formatCode="@">
                  <c:v>16年1月</c:v>
                </c:pt>
                <c:pt idx="25" c:formatCode="@">
                  <c:v>16年2月</c:v>
                </c:pt>
                <c:pt idx="26" c:formatCode="@">
                  <c:v>16年3月</c:v>
                </c:pt>
                <c:pt idx="27" c:formatCode="@">
                  <c:v>16年4月</c:v>
                </c:pt>
                <c:pt idx="28" c:formatCode="@">
                  <c:v>16年5月</c:v>
                </c:pt>
                <c:pt idx="29" c:formatCode="@">
                  <c:v>16年6月</c:v>
                </c:pt>
                <c:pt idx="30" c:formatCode="@">
                  <c:v>16年7月</c:v>
                </c:pt>
                <c:pt idx="31" c:formatCode="@">
                  <c:v>16年8月</c:v>
                </c:pt>
                <c:pt idx="32" c:formatCode="@">
                  <c:v>16年9月</c:v>
                </c:pt>
                <c:pt idx="33" c:formatCode="@">
                  <c:v>16年10月</c:v>
                </c:pt>
                <c:pt idx="34" c:formatCode="@">
                  <c:v>16年11月</c:v>
                </c:pt>
                <c:pt idx="35" c:formatCode="@">
                  <c:v>16年12月</c:v>
                </c:pt>
                <c:pt idx="36" c:formatCode="@">
                  <c:v>17年1月</c:v>
                </c:pt>
                <c:pt idx="37" c:formatCode="@">
                  <c:v>17年2月</c:v>
                </c:pt>
                <c:pt idx="38" c:formatCode="@">
                  <c:v>17年3月</c:v>
                </c:pt>
                <c:pt idx="39" c:formatCode="@">
                  <c:v>17年4月</c:v>
                </c:pt>
                <c:pt idx="40" c:formatCode="@">
                  <c:v>17年5月</c:v>
                </c:pt>
                <c:pt idx="41" c:formatCode="@">
                  <c:v>17年6月</c:v>
                </c:pt>
                <c:pt idx="42" c:formatCode="@">
                  <c:v>17年7月</c:v>
                </c:pt>
                <c:pt idx="43" c:formatCode="@">
                  <c:v>17年8月</c:v>
                </c:pt>
                <c:pt idx="44" c:formatCode="@">
                  <c:v>17年9月</c:v>
                </c:pt>
                <c:pt idx="45" c:formatCode="@">
                  <c:v>17年10月</c:v>
                </c:pt>
                <c:pt idx="46" c:formatCode="@">
                  <c:v>17年11月</c:v>
                </c:pt>
                <c:pt idx="47" c:formatCode="@">
                  <c:v>17年12月</c:v>
                </c:pt>
                <c:pt idx="48" c:formatCode="@">
                  <c:v>18年1月</c:v>
                </c:pt>
                <c:pt idx="49" c:formatCode="@">
                  <c:v>18年2月</c:v>
                </c:pt>
                <c:pt idx="50" c:formatCode="@">
                  <c:v>18年3月</c:v>
                </c:pt>
                <c:pt idx="51" c:formatCode="@">
                  <c:v>18年4月</c:v>
                </c:pt>
                <c:pt idx="52" c:formatCode="@">
                  <c:v>18年5月</c:v>
                </c:pt>
                <c:pt idx="53" c:formatCode="@">
                  <c:v>18年6月</c:v>
                </c:pt>
                <c:pt idx="54" c:formatCode="@">
                  <c:v>18年7月</c:v>
                </c:pt>
                <c:pt idx="55" c:formatCode="@">
                  <c:v>18年8月</c:v>
                </c:pt>
                <c:pt idx="56" c:formatCode="@">
                  <c:v>18年9月</c:v>
                </c:pt>
                <c:pt idx="57" c:formatCode="@">
                  <c:v>18年10月</c:v>
                </c:pt>
                <c:pt idx="58" c:formatCode="@">
                  <c:v>18年11月</c:v>
                </c:pt>
                <c:pt idx="59" c:formatCode="@">
                  <c:v>18年12月</c:v>
                </c:pt>
                <c:pt idx="60" c:formatCode="@">
                  <c:v>19年1月</c:v>
                </c:pt>
                <c:pt idx="61" c:formatCode="@">
                  <c:v>19年2月</c:v>
                </c:pt>
                <c:pt idx="62" c:formatCode="@">
                  <c:v>19年3月</c:v>
                </c:pt>
                <c:pt idx="63" c:formatCode="@">
                  <c:v>19年4月</c:v>
                </c:pt>
                <c:pt idx="64" c:formatCode="@">
                  <c:v>19年5月</c:v>
                </c:pt>
                <c:pt idx="65" c:formatCode="@">
                  <c:v>19年6月</c:v>
                </c:pt>
                <c:pt idx="66" c:formatCode="@">
                  <c:v>19年7月</c:v>
                </c:pt>
                <c:pt idx="67" c:formatCode="@">
                  <c:v>19年8月</c:v>
                </c:pt>
                <c:pt idx="68" c:formatCode="@">
                  <c:v>19年9月</c:v>
                </c:pt>
                <c:pt idx="69" c:formatCode="@">
                  <c:v>19年10月</c:v>
                </c:pt>
                <c:pt idx="70" c:formatCode="@">
                  <c:v>19年11月</c:v>
                </c:pt>
                <c:pt idx="71" c:formatCode="@">
                  <c:v>19年12月</c:v>
                </c:pt>
                <c:pt idx="72" c:formatCode="@">
                  <c:v>20年1月</c:v>
                </c:pt>
                <c:pt idx="73" c:formatCode="@">
                  <c:v>20年2月</c:v>
                </c:pt>
                <c:pt idx="74" c:formatCode="@">
                  <c:v>20年3月</c:v>
                </c:pt>
                <c:pt idx="75" c:formatCode="@">
                  <c:v>20年4月</c:v>
                </c:pt>
                <c:pt idx="76" c:formatCode="@">
                  <c:v>20年5月</c:v>
                </c:pt>
                <c:pt idx="77" c:formatCode="@">
                  <c:v>20年6月</c:v>
                </c:pt>
                <c:pt idx="78" c:formatCode="@">
                  <c:v>20年7月</c:v>
                </c:pt>
                <c:pt idx="79" c:formatCode="@">
                  <c:v>20年8月</c:v>
                </c:pt>
                <c:pt idx="80" c:formatCode="@">
                  <c:v>20年9月</c:v>
                </c:pt>
                <c:pt idx="81" c:formatCode="@">
                  <c:v>20年10月</c:v>
                </c:pt>
                <c:pt idx="82" c:formatCode="@">
                  <c:v>20年11月</c:v>
                </c:pt>
                <c:pt idx="83" c:formatCode="@">
                  <c:v>20年12月</c:v>
                </c:pt>
                <c:pt idx="84" c:formatCode="@">
                  <c:v>21年1月</c:v>
                </c:pt>
                <c:pt idx="85" c:formatCode="@">
                  <c:v>21年2月</c:v>
                </c:pt>
                <c:pt idx="86" c:formatCode="@">
                  <c:v>21年3月</c:v>
                </c:pt>
                <c:pt idx="87" c:formatCode="@">
                  <c:v>21年4月</c:v>
                </c:pt>
                <c:pt idx="88" c:formatCode="@">
                  <c:v>21年5月</c:v>
                </c:pt>
                <c:pt idx="89" c:formatCode="@">
                  <c:v>21年6月</c:v>
                </c:pt>
                <c:pt idx="90" c:formatCode="@">
                  <c:v>21年7月</c:v>
                </c:pt>
                <c:pt idx="91" c:formatCode="@">
                  <c:v>21年8月</c:v>
                </c:pt>
                <c:pt idx="92" c:formatCode="@">
                  <c:v>21年9月</c:v>
                </c:pt>
                <c:pt idx="93" c:formatCode="@">
                  <c:v>21年10月</c:v>
                </c:pt>
                <c:pt idx="94" c:formatCode="@">
                  <c:v>21年11月</c:v>
                </c:pt>
                <c:pt idx="95" c:formatCode="@">
                  <c:v>21年12月</c:v>
                </c:pt>
                <c:pt idx="96" c:formatCode="@">
                  <c:v>22年1月</c:v>
                </c:pt>
                <c:pt idx="97" c:formatCode="@">
                  <c:v>22年2月</c:v>
                </c:pt>
                <c:pt idx="98" c:formatCode="@">
                  <c:v>22年3月</c:v>
                </c:pt>
                <c:pt idx="99" c:formatCode="@">
                  <c:v>22年4月</c:v>
                </c:pt>
                <c:pt idx="100" c:formatCode="@">
                  <c:v>22年5月</c:v>
                </c:pt>
                <c:pt idx="101" c:formatCode="@">
                  <c:v>22年6月</c:v>
                </c:pt>
                <c:pt idx="102" c:formatCode="@">
                  <c:v>22年7月</c:v>
                </c:pt>
                <c:pt idx="108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走势图!$B$2:$DK$2</c15:sqref>
                  </c15:fullRef>
                </c:ext>
              </c:extLst>
              <c:f>走势图!$C$2:$DK$2</c:f>
              <c:numCache>
                <c:formatCode>0_);[Red]\(0\)</c:formatCode>
                <c:ptCount val="113"/>
                <c:pt idx="0">
                  <c:v>2336.52802664836</c:v>
                </c:pt>
                <c:pt idx="1">
                  <c:v>2486.73561701201</c:v>
                </c:pt>
                <c:pt idx="2">
                  <c:v>2463.6406471757</c:v>
                </c:pt>
                <c:pt idx="3">
                  <c:v>2421.16058906031</c:v>
                </c:pt>
                <c:pt idx="4">
                  <c:v>2389.98441831522</c:v>
                </c:pt>
                <c:pt idx="5">
                  <c:v>2517.10202679492</c:v>
                </c:pt>
                <c:pt idx="6">
                  <c:v>2610.32495749103</c:v>
                </c:pt>
                <c:pt idx="7">
                  <c:v>2740.58145892879</c:v>
                </c:pt>
                <c:pt idx="8">
                  <c:v>2534.15628220744</c:v>
                </c:pt>
                <c:pt idx="9">
                  <c:v>2670.66059399294</c:v>
                </c:pt>
                <c:pt idx="10">
                  <c:v>2577.81847622475</c:v>
                </c:pt>
                <c:pt idx="11">
                  <c:v>2589.44395831942</c:v>
                </c:pt>
                <c:pt idx="12">
                  <c:v>2675.03974390694</c:v>
                </c:pt>
                <c:pt idx="13">
                  <c:v>2661.9709258682</c:v>
                </c:pt>
                <c:pt idx="14">
                  <c:v>2677.49744307477</c:v>
                </c:pt>
                <c:pt idx="15">
                  <c:v>2720.9215171283</c:v>
                </c:pt>
                <c:pt idx="16">
                  <c:v>2716.1916328704</c:v>
                </c:pt>
                <c:pt idx="17">
                  <c:v>2717.93069292358</c:v>
                </c:pt>
                <c:pt idx="18">
                  <c:v>2742.67950489356</c:v>
                </c:pt>
                <c:pt idx="19">
                  <c:v>2730.55121921408</c:v>
                </c:pt>
                <c:pt idx="20">
                  <c:v>2667.02778840469</c:v>
                </c:pt>
                <c:pt idx="21">
                  <c:v>2482.10788631239</c:v>
                </c:pt>
                <c:pt idx="22">
                  <c:v>2479.72486912659</c:v>
                </c:pt>
                <c:pt idx="23">
                  <c:v>2369.13681408076</c:v>
                </c:pt>
                <c:pt idx="24">
                  <c:v>2389.92058776453</c:v>
                </c:pt>
                <c:pt idx="25">
                  <c:v>2353.80782960241</c:v>
                </c:pt>
                <c:pt idx="26">
                  <c:v>2228.75944609667</c:v>
                </c:pt>
                <c:pt idx="27">
                  <c:v>2057.65408377272</c:v>
                </c:pt>
                <c:pt idx="28">
                  <c:v>2037.73913355371</c:v>
                </c:pt>
                <c:pt idx="29">
                  <c:v>2060.64942722881</c:v>
                </c:pt>
                <c:pt idx="30">
                  <c:v>2102.88971363419</c:v>
                </c:pt>
                <c:pt idx="31">
                  <c:v>2033.45865565588</c:v>
                </c:pt>
                <c:pt idx="32">
                  <c:v>1899.75616124342</c:v>
                </c:pt>
                <c:pt idx="33">
                  <c:v>1955.91103711065</c:v>
                </c:pt>
                <c:pt idx="34">
                  <c:v>1983.90829028131</c:v>
                </c:pt>
                <c:pt idx="35">
                  <c:v>2134.89368553085</c:v>
                </c:pt>
                <c:pt idx="36">
                  <c:v>2300.40239887854</c:v>
                </c:pt>
                <c:pt idx="37">
                  <c:v>2353.51886407236</c:v>
                </c:pt>
                <c:pt idx="38">
                  <c:v>2376.9914041787</c:v>
                </c:pt>
                <c:pt idx="39">
                  <c:v>2370.11097779376</c:v>
                </c:pt>
                <c:pt idx="40">
                  <c:v>2285.11727121911</c:v>
                </c:pt>
                <c:pt idx="41">
                  <c:v>2235.3890116282</c:v>
                </c:pt>
                <c:pt idx="42">
                  <c:v>2225.46747367068</c:v>
                </c:pt>
                <c:pt idx="43">
                  <c:v>2229.89952883193</c:v>
                </c:pt>
                <c:pt idx="44">
                  <c:v>2235.73247647006</c:v>
                </c:pt>
                <c:pt idx="45">
                  <c:v>2329.2131481707</c:v>
                </c:pt>
                <c:pt idx="46">
                  <c:v>2470.30616907957</c:v>
                </c:pt>
                <c:pt idx="47">
                  <c:v>2501.27733994969</c:v>
                </c:pt>
                <c:pt idx="48">
                  <c:v>2526.66487491209</c:v>
                </c:pt>
                <c:pt idx="49">
                  <c:v>2597.13533556329</c:v>
                </c:pt>
                <c:pt idx="50">
                  <c:v>2548.62846129866</c:v>
                </c:pt>
                <c:pt idx="51">
                  <c:v>2565.61944262039</c:v>
                </c:pt>
                <c:pt idx="52">
                  <c:v>2575.92776325538</c:v>
                </c:pt>
                <c:pt idx="53">
                  <c:v>2678.8684330737</c:v>
                </c:pt>
                <c:pt idx="54">
                  <c:v>2733.19732199673</c:v>
                </c:pt>
                <c:pt idx="55">
                  <c:v>2745.26197429751</c:v>
                </c:pt>
                <c:pt idx="56">
                  <c:v>2742.63429292559</c:v>
                </c:pt>
                <c:pt idx="57">
                  <c:v>2700</c:v>
                </c:pt>
                <c:pt idx="58">
                  <c:v>2700</c:v>
                </c:pt>
                <c:pt idx="59">
                  <c:v>2614</c:v>
                </c:pt>
                <c:pt idx="60">
                  <c:v>2625</c:v>
                </c:pt>
                <c:pt idx="61">
                  <c:v>2520.39182203737</c:v>
                </c:pt>
                <c:pt idx="62">
                  <c:v>2512.13068830001</c:v>
                </c:pt>
                <c:pt idx="63">
                  <c:v>2429.00920272917</c:v>
                </c:pt>
                <c:pt idx="64">
                  <c:v>2407.32579117454</c:v>
                </c:pt>
                <c:pt idx="65">
                  <c:v>2214.27488235976</c:v>
                </c:pt>
                <c:pt idx="66">
                  <c:v>2214.17373230795</c:v>
                </c:pt>
                <c:pt idx="67">
                  <c:v>2187.03721640631</c:v>
                </c:pt>
                <c:pt idx="68">
                  <c:v>2139.20731562574</c:v>
                </c:pt>
                <c:pt idx="69">
                  <c:v>2103.83873158189</c:v>
                </c:pt>
                <c:pt idx="70">
                  <c:v>2061.2315180595</c:v>
                </c:pt>
                <c:pt idx="71">
                  <c:v>2085.85646546543</c:v>
                </c:pt>
                <c:pt idx="72">
                  <c:v>1986.99049986103</c:v>
                </c:pt>
                <c:pt idx="73">
                  <c:v>1986.99049986103</c:v>
                </c:pt>
                <c:pt idx="74">
                  <c:v>2071.54970299319</c:v>
                </c:pt>
                <c:pt idx="75">
                  <c:v>2060.86989188714</c:v>
                </c:pt>
                <c:pt idx="76">
                  <c:v>2071.91942244851</c:v>
                </c:pt>
                <c:pt idx="77">
                  <c:v>2098.81534256527</c:v>
                </c:pt>
                <c:pt idx="78">
                  <c:v>2082.68201288914</c:v>
                </c:pt>
                <c:pt idx="79">
                  <c:v>2176.04544673005</c:v>
                </c:pt>
                <c:pt idx="80">
                  <c:v>2238.37267542502</c:v>
                </c:pt>
                <c:pt idx="81">
                  <c:v>2273.71492390218</c:v>
                </c:pt>
                <c:pt idx="82">
                  <c:v>2310.92311103161</c:v>
                </c:pt>
                <c:pt idx="83">
                  <c:v>2365.12277264168</c:v>
                </c:pt>
                <c:pt idx="84">
                  <c:v>2471.1848190443</c:v>
                </c:pt>
                <c:pt idx="85">
                  <c:v>2727.36764923849</c:v>
                </c:pt>
                <c:pt idx="86">
                  <c:v>3293.74390943446</c:v>
                </c:pt>
                <c:pt idx="87">
                  <c:v>3225.76580175787</c:v>
                </c:pt>
                <c:pt idx="88">
                  <c:v>3262.17499294506</c:v>
                </c:pt>
                <c:pt idx="89">
                  <c:v>3373.02009683852</c:v>
                </c:pt>
                <c:pt idx="90">
                  <c:v>3508.28733466809</c:v>
                </c:pt>
                <c:pt idx="91">
                  <c:v>3780.28873276843</c:v>
                </c:pt>
                <c:pt idx="92">
                  <c:v>3742.63740127969</c:v>
                </c:pt>
                <c:pt idx="93">
                  <c:v>3536.15387237605</c:v>
                </c:pt>
                <c:pt idx="94">
                  <c:v>3536.09939443262</c:v>
                </c:pt>
                <c:pt idx="95">
                  <c:v>3635.94254687299</c:v>
                </c:pt>
                <c:pt idx="96">
                  <c:v>3566.13213614648</c:v>
                </c:pt>
                <c:pt idx="97">
                  <c:v>4271.26059306314</c:v>
                </c:pt>
                <c:pt idx="98">
                  <c:v>4362</c:v>
                </c:pt>
                <c:pt idx="99">
                  <c:v>5029</c:v>
                </c:pt>
                <c:pt idx="100">
                  <c:v>5280</c:v>
                </c:pt>
                <c:pt idx="101">
                  <c:v>5074.32941176471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lineChart>
        <c:grouping val="standard"/>
        <c:varyColors val="0"/>
        <c:ser>
          <c:idx val="2"/>
          <c:order val="2"/>
          <c:tx>
            <c:strRef>
              <c:f>走势图!$A$9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layout>
                <c:manualLayout>
                  <c:x val="-0.0593942163479564"/>
                  <c:y val="-0.03389830508474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CN" altLang="zh-CN"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ea"/>
                        <a:ea typeface="+mn-ea"/>
                        <a:cs typeface="+mn-cs"/>
                      </a:defRPr>
                    </a:pPr>
                    <a:r>
                      <a:rPr lang="zh-CN" altLang="en-US" b="1"/>
                      <a:t>宜昌</a:t>
                    </a:r>
                    <a:r>
                      <a:rPr lang="en-US" altLang="zh-CN" b="1"/>
                      <a:t>27%</a:t>
                    </a:r>
                    <a:r>
                      <a:rPr lang="zh-CN" altLang="en-US" b="1"/>
                      <a:t>磷矿</a:t>
                    </a:r>
                    <a:endParaRPr lang="zh-CN" altLang="en-US" b="1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走势图!$B$1:$DK$1</c15:sqref>
                  </c15:fullRef>
                </c:ext>
              </c:extLst>
              <c:f>走势图!$C$1:$DK$1</c:f>
              <c:strCache>
                <c:ptCount val="113"/>
                <c:pt idx="0" c:formatCode="@">
                  <c:v>14年2月</c:v>
                </c:pt>
                <c:pt idx="1" c:formatCode="@">
                  <c:v>14年3月</c:v>
                </c:pt>
                <c:pt idx="2" c:formatCode="@">
                  <c:v>14年4月</c:v>
                </c:pt>
                <c:pt idx="3" c:formatCode="@">
                  <c:v>14年5月</c:v>
                </c:pt>
                <c:pt idx="4" c:formatCode="@">
                  <c:v>14年6月</c:v>
                </c:pt>
                <c:pt idx="5" c:formatCode="@">
                  <c:v>14年7月</c:v>
                </c:pt>
                <c:pt idx="6" c:formatCode="@">
                  <c:v>14年8月</c:v>
                </c:pt>
                <c:pt idx="7" c:formatCode="@">
                  <c:v>14年9月</c:v>
                </c:pt>
                <c:pt idx="8" c:formatCode="@">
                  <c:v>14年10月</c:v>
                </c:pt>
                <c:pt idx="9" c:formatCode="@">
                  <c:v>14年11月</c:v>
                </c:pt>
                <c:pt idx="10" c:formatCode="@">
                  <c:v>14年12月</c:v>
                </c:pt>
                <c:pt idx="11" c:formatCode="@">
                  <c:v>15年1月</c:v>
                </c:pt>
                <c:pt idx="12" c:formatCode="@">
                  <c:v>15年2月</c:v>
                </c:pt>
                <c:pt idx="13" c:formatCode="@">
                  <c:v>15年3月</c:v>
                </c:pt>
                <c:pt idx="14" c:formatCode="@">
                  <c:v>15年4月</c:v>
                </c:pt>
                <c:pt idx="15" c:formatCode="@">
                  <c:v>15年5月</c:v>
                </c:pt>
                <c:pt idx="16" c:formatCode="@">
                  <c:v>15年6月</c:v>
                </c:pt>
                <c:pt idx="17" c:formatCode="@">
                  <c:v>15年7月</c:v>
                </c:pt>
                <c:pt idx="18" c:formatCode="@">
                  <c:v>15年8月</c:v>
                </c:pt>
                <c:pt idx="19" c:formatCode="@">
                  <c:v>15年9月</c:v>
                </c:pt>
                <c:pt idx="20" c:formatCode="@">
                  <c:v>15年10月</c:v>
                </c:pt>
                <c:pt idx="21" c:formatCode="@">
                  <c:v>15年11月</c:v>
                </c:pt>
                <c:pt idx="22" c:formatCode="@">
                  <c:v>15年12月</c:v>
                </c:pt>
                <c:pt idx="23" c:formatCode="@">
                  <c:v>16年1月</c:v>
                </c:pt>
                <c:pt idx="24" c:formatCode="@">
                  <c:v>16年2月</c:v>
                </c:pt>
                <c:pt idx="25" c:formatCode="@">
                  <c:v>16年3月</c:v>
                </c:pt>
                <c:pt idx="26" c:formatCode="@">
                  <c:v>16年4月</c:v>
                </c:pt>
                <c:pt idx="27" c:formatCode="@">
                  <c:v>16年5月</c:v>
                </c:pt>
                <c:pt idx="28" c:formatCode="@">
                  <c:v>16年6月</c:v>
                </c:pt>
                <c:pt idx="29" c:formatCode="@">
                  <c:v>16年7月</c:v>
                </c:pt>
                <c:pt idx="30" c:formatCode="@">
                  <c:v>16年8月</c:v>
                </c:pt>
                <c:pt idx="31" c:formatCode="@">
                  <c:v>16年9月</c:v>
                </c:pt>
                <c:pt idx="32" c:formatCode="@">
                  <c:v>16年10月</c:v>
                </c:pt>
                <c:pt idx="33" c:formatCode="@">
                  <c:v>16年11月</c:v>
                </c:pt>
                <c:pt idx="34" c:formatCode="@">
                  <c:v>16年12月</c:v>
                </c:pt>
                <c:pt idx="35" c:formatCode="@">
                  <c:v>17年1月</c:v>
                </c:pt>
                <c:pt idx="36" c:formatCode="@">
                  <c:v>17年2月</c:v>
                </c:pt>
                <c:pt idx="37" c:formatCode="@">
                  <c:v>17年3月</c:v>
                </c:pt>
                <c:pt idx="38" c:formatCode="@">
                  <c:v>17年4月</c:v>
                </c:pt>
                <c:pt idx="39" c:formatCode="@">
                  <c:v>17年5月</c:v>
                </c:pt>
                <c:pt idx="40" c:formatCode="@">
                  <c:v>17年6月</c:v>
                </c:pt>
                <c:pt idx="41" c:formatCode="@">
                  <c:v>17年7月</c:v>
                </c:pt>
                <c:pt idx="42" c:formatCode="@">
                  <c:v>17年8月</c:v>
                </c:pt>
                <c:pt idx="43" c:formatCode="@">
                  <c:v>17年9月</c:v>
                </c:pt>
                <c:pt idx="44" c:formatCode="@">
                  <c:v>17年10月</c:v>
                </c:pt>
                <c:pt idx="45" c:formatCode="@">
                  <c:v>17年11月</c:v>
                </c:pt>
                <c:pt idx="46" c:formatCode="@">
                  <c:v>17年12月</c:v>
                </c:pt>
                <c:pt idx="47" c:formatCode="@">
                  <c:v>18年1月</c:v>
                </c:pt>
                <c:pt idx="48" c:formatCode="@">
                  <c:v>18年2月</c:v>
                </c:pt>
                <c:pt idx="49" c:formatCode="@">
                  <c:v>18年3月</c:v>
                </c:pt>
                <c:pt idx="50" c:formatCode="@">
                  <c:v>18年4月</c:v>
                </c:pt>
                <c:pt idx="51" c:formatCode="@">
                  <c:v>18年5月</c:v>
                </c:pt>
                <c:pt idx="52" c:formatCode="@">
                  <c:v>18年6月</c:v>
                </c:pt>
                <c:pt idx="53" c:formatCode="@">
                  <c:v>18年7月</c:v>
                </c:pt>
                <c:pt idx="54" c:formatCode="@">
                  <c:v>18年8月</c:v>
                </c:pt>
                <c:pt idx="55" c:formatCode="@">
                  <c:v>18年9月</c:v>
                </c:pt>
                <c:pt idx="56" c:formatCode="@">
                  <c:v>18年10月</c:v>
                </c:pt>
                <c:pt idx="57" c:formatCode="@">
                  <c:v>18年11月</c:v>
                </c:pt>
                <c:pt idx="58" c:formatCode="@">
                  <c:v>18年12月</c:v>
                </c:pt>
                <c:pt idx="59" c:formatCode="@">
                  <c:v>19年1月</c:v>
                </c:pt>
                <c:pt idx="60" c:formatCode="@">
                  <c:v>19年2月</c:v>
                </c:pt>
                <c:pt idx="61" c:formatCode="@">
                  <c:v>19年3月</c:v>
                </c:pt>
                <c:pt idx="62" c:formatCode="@">
                  <c:v>19年4月</c:v>
                </c:pt>
                <c:pt idx="63" c:formatCode="@">
                  <c:v>19年5月</c:v>
                </c:pt>
                <c:pt idx="64" c:formatCode="@">
                  <c:v>19年6月</c:v>
                </c:pt>
                <c:pt idx="65" c:formatCode="@">
                  <c:v>19年7月</c:v>
                </c:pt>
                <c:pt idx="66" c:formatCode="@">
                  <c:v>19年8月</c:v>
                </c:pt>
                <c:pt idx="67" c:formatCode="@">
                  <c:v>19年9月</c:v>
                </c:pt>
                <c:pt idx="68" c:formatCode="@">
                  <c:v>19年10月</c:v>
                </c:pt>
                <c:pt idx="69" c:formatCode="@">
                  <c:v>19年11月</c:v>
                </c:pt>
                <c:pt idx="70" c:formatCode="@">
                  <c:v>19年12月</c:v>
                </c:pt>
                <c:pt idx="71" c:formatCode="@">
                  <c:v>20年1月</c:v>
                </c:pt>
                <c:pt idx="72" c:formatCode="@">
                  <c:v>20年2月</c:v>
                </c:pt>
                <c:pt idx="73" c:formatCode="@">
                  <c:v>20年3月</c:v>
                </c:pt>
                <c:pt idx="74" c:formatCode="@">
                  <c:v>20年4月</c:v>
                </c:pt>
                <c:pt idx="75" c:formatCode="@">
                  <c:v>20年5月</c:v>
                </c:pt>
                <c:pt idx="76" c:formatCode="@">
                  <c:v>20年6月</c:v>
                </c:pt>
                <c:pt idx="77" c:formatCode="@">
                  <c:v>20年7月</c:v>
                </c:pt>
                <c:pt idx="78" c:formatCode="@">
                  <c:v>20年8月</c:v>
                </c:pt>
                <c:pt idx="79" c:formatCode="@">
                  <c:v>20年9月</c:v>
                </c:pt>
                <c:pt idx="80" c:formatCode="@">
                  <c:v>20年10月</c:v>
                </c:pt>
                <c:pt idx="81" c:formatCode="@">
                  <c:v>20年11月</c:v>
                </c:pt>
                <c:pt idx="82" c:formatCode="@">
                  <c:v>20年12月</c:v>
                </c:pt>
                <c:pt idx="83" c:formatCode="@">
                  <c:v>21年1月</c:v>
                </c:pt>
                <c:pt idx="84" c:formatCode="@">
                  <c:v>21年2月</c:v>
                </c:pt>
                <c:pt idx="85" c:formatCode="@">
                  <c:v>21年3月</c:v>
                </c:pt>
                <c:pt idx="86" c:formatCode="@">
                  <c:v>21年4月</c:v>
                </c:pt>
                <c:pt idx="87" c:formatCode="@">
                  <c:v>21年5月</c:v>
                </c:pt>
                <c:pt idx="88" c:formatCode="@">
                  <c:v>21年6月</c:v>
                </c:pt>
                <c:pt idx="89" c:formatCode="@">
                  <c:v>21年7月</c:v>
                </c:pt>
                <c:pt idx="90" c:formatCode="@">
                  <c:v>21年8月</c:v>
                </c:pt>
                <c:pt idx="91" c:formatCode="@">
                  <c:v>21年9月</c:v>
                </c:pt>
                <c:pt idx="92" c:formatCode="@">
                  <c:v>21年10月</c:v>
                </c:pt>
                <c:pt idx="93" c:formatCode="@">
                  <c:v>21年11月</c:v>
                </c:pt>
                <c:pt idx="94" c:formatCode="@">
                  <c:v>21年12月</c:v>
                </c:pt>
                <c:pt idx="95" c:formatCode="@">
                  <c:v>22年1月</c:v>
                </c:pt>
                <c:pt idx="96" c:formatCode="@">
                  <c:v>22年2月</c:v>
                </c:pt>
                <c:pt idx="97" c:formatCode="@">
                  <c:v>22年3月</c:v>
                </c:pt>
                <c:pt idx="98" c:formatCode="@">
                  <c:v>22年4月</c:v>
                </c:pt>
                <c:pt idx="99" c:formatCode="@">
                  <c:v>22年5月</c:v>
                </c:pt>
                <c:pt idx="100" c:formatCode="@">
                  <c:v>22年6月</c:v>
                </c:pt>
                <c:pt idx="101" c:formatCode="@">
                  <c:v>22年7月</c:v>
                </c:pt>
                <c:pt idx="107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走势图!$B$9:$CZ$9</c15:sqref>
                  </c15:fullRef>
                </c:ext>
              </c:extLst>
              <c:f>走势图!$C$9:$CZ$9</c:f>
              <c:numCache>
                <c:formatCode>0_);[Red]\(0\)</c:formatCode>
                <c:ptCount val="102"/>
                <c:pt idx="0">
                  <c:v>400</c:v>
                </c:pt>
                <c:pt idx="1">
                  <c:v>400</c:v>
                </c:pt>
                <c:pt idx="2">
                  <c:v>380</c:v>
                </c:pt>
                <c:pt idx="3">
                  <c:v>380</c:v>
                </c:pt>
                <c:pt idx="4">
                  <c:v>380</c:v>
                </c:pt>
                <c:pt idx="5">
                  <c:v>380</c:v>
                </c:pt>
                <c:pt idx="6">
                  <c:v>380</c:v>
                </c:pt>
                <c:pt idx="7">
                  <c:v>380</c:v>
                </c:pt>
                <c:pt idx="8">
                  <c:v>380</c:v>
                </c:pt>
                <c:pt idx="9">
                  <c:v>380</c:v>
                </c:pt>
                <c:pt idx="10">
                  <c:v>380</c:v>
                </c:pt>
                <c:pt idx="11">
                  <c:v>390</c:v>
                </c:pt>
                <c:pt idx="12">
                  <c:v>390</c:v>
                </c:pt>
                <c:pt idx="13">
                  <c:v>380</c:v>
                </c:pt>
                <c:pt idx="14">
                  <c:v>380</c:v>
                </c:pt>
                <c:pt idx="15">
                  <c:v>380</c:v>
                </c:pt>
                <c:pt idx="16">
                  <c:v>380</c:v>
                </c:pt>
                <c:pt idx="17">
                  <c:v>380</c:v>
                </c:pt>
                <c:pt idx="18">
                  <c:v>370</c:v>
                </c:pt>
                <c:pt idx="19">
                  <c:v>370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340</c:v>
                </c:pt>
                <c:pt idx="31">
                  <c:v>340</c:v>
                </c:pt>
                <c:pt idx="32">
                  <c:v>340</c:v>
                </c:pt>
                <c:pt idx="33">
                  <c:v>340</c:v>
                </c:pt>
                <c:pt idx="34">
                  <c:v>340</c:v>
                </c:pt>
                <c:pt idx="35">
                  <c:v>340</c:v>
                </c:pt>
                <c:pt idx="36">
                  <c:v>355</c:v>
                </c:pt>
                <c:pt idx="37">
                  <c:v>355</c:v>
                </c:pt>
                <c:pt idx="38">
                  <c:v>355</c:v>
                </c:pt>
                <c:pt idx="39">
                  <c:v>355</c:v>
                </c:pt>
                <c:pt idx="40">
                  <c:v>355</c:v>
                </c:pt>
                <c:pt idx="41">
                  <c:v>355</c:v>
                </c:pt>
                <c:pt idx="42">
                  <c:v>355</c:v>
                </c:pt>
                <c:pt idx="43">
                  <c:v>355</c:v>
                </c:pt>
                <c:pt idx="44">
                  <c:v>355</c:v>
                </c:pt>
                <c:pt idx="45">
                  <c:v>355</c:v>
                </c:pt>
                <c:pt idx="46">
                  <c:v>430</c:v>
                </c:pt>
                <c:pt idx="47">
                  <c:v>430</c:v>
                </c:pt>
                <c:pt idx="48">
                  <c:v>430</c:v>
                </c:pt>
                <c:pt idx="49">
                  <c:v>430</c:v>
                </c:pt>
                <c:pt idx="50">
                  <c:v>430</c:v>
                </c:pt>
                <c:pt idx="51">
                  <c:v>430</c:v>
                </c:pt>
                <c:pt idx="52">
                  <c:v>430</c:v>
                </c:pt>
                <c:pt idx="53">
                  <c:v>430</c:v>
                </c:pt>
                <c:pt idx="54">
                  <c:v>430</c:v>
                </c:pt>
                <c:pt idx="55">
                  <c:v>430</c:v>
                </c:pt>
                <c:pt idx="56">
                  <c:v>430</c:v>
                </c:pt>
                <c:pt idx="57">
                  <c:v>450</c:v>
                </c:pt>
                <c:pt idx="58">
                  <c:v>500</c:v>
                </c:pt>
                <c:pt idx="59">
                  <c:v>470</c:v>
                </c:pt>
                <c:pt idx="60">
                  <c:v>470</c:v>
                </c:pt>
                <c:pt idx="61">
                  <c:v>420</c:v>
                </c:pt>
                <c:pt idx="62">
                  <c:v>420</c:v>
                </c:pt>
                <c:pt idx="63">
                  <c:v>420</c:v>
                </c:pt>
                <c:pt idx="64">
                  <c:v>420</c:v>
                </c:pt>
                <c:pt idx="65">
                  <c:v>400</c:v>
                </c:pt>
                <c:pt idx="66">
                  <c:v>400</c:v>
                </c:pt>
                <c:pt idx="67">
                  <c:v>380</c:v>
                </c:pt>
                <c:pt idx="68">
                  <c:v>380</c:v>
                </c:pt>
                <c:pt idx="69">
                  <c:v>370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338</c:v>
                </c:pt>
                <c:pt idx="75">
                  <c:v>338</c:v>
                </c:pt>
                <c:pt idx="76">
                  <c:v>338</c:v>
                </c:pt>
                <c:pt idx="77">
                  <c:v>338</c:v>
                </c:pt>
                <c:pt idx="78">
                  <c:v>338</c:v>
                </c:pt>
                <c:pt idx="79">
                  <c:v>328</c:v>
                </c:pt>
                <c:pt idx="80">
                  <c:v>328</c:v>
                </c:pt>
                <c:pt idx="81">
                  <c:v>358</c:v>
                </c:pt>
                <c:pt idx="82">
                  <c:v>358</c:v>
                </c:pt>
                <c:pt idx="83">
                  <c:v>358</c:v>
                </c:pt>
                <c:pt idx="84">
                  <c:v>358</c:v>
                </c:pt>
                <c:pt idx="85">
                  <c:v>358</c:v>
                </c:pt>
                <c:pt idx="86">
                  <c:v>408</c:v>
                </c:pt>
                <c:pt idx="87">
                  <c:v>458</c:v>
                </c:pt>
                <c:pt idx="88">
                  <c:v>488</c:v>
                </c:pt>
                <c:pt idx="89">
                  <c:v>508</c:v>
                </c:pt>
                <c:pt idx="90">
                  <c:v>558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645.6</c:v>
                </c:pt>
                <c:pt idx="99">
                  <c:v>745.6</c:v>
                </c:pt>
                <c:pt idx="100">
                  <c:v>858</c:v>
                </c:pt>
                <c:pt idx="101">
                  <c:v>958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走势图!$A$10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layout>
                <c:manualLayout>
                  <c:x val="-0.0246153846153847"/>
                  <c:y val="-0.03081664098613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走势图!$B$1:$DK$1</c15:sqref>
                  </c15:fullRef>
                </c:ext>
              </c:extLst>
              <c:f>走势图!$C$1:$DK$1</c:f>
              <c:strCache>
                <c:ptCount val="113"/>
                <c:pt idx="0" c:formatCode="@">
                  <c:v>14年2月</c:v>
                </c:pt>
                <c:pt idx="1" c:formatCode="@">
                  <c:v>14年3月</c:v>
                </c:pt>
                <c:pt idx="2" c:formatCode="@">
                  <c:v>14年4月</c:v>
                </c:pt>
                <c:pt idx="3" c:formatCode="@">
                  <c:v>14年5月</c:v>
                </c:pt>
                <c:pt idx="4" c:formatCode="@">
                  <c:v>14年6月</c:v>
                </c:pt>
                <c:pt idx="5" c:formatCode="@">
                  <c:v>14年7月</c:v>
                </c:pt>
                <c:pt idx="6" c:formatCode="@">
                  <c:v>14年8月</c:v>
                </c:pt>
                <c:pt idx="7" c:formatCode="@">
                  <c:v>14年9月</c:v>
                </c:pt>
                <c:pt idx="8" c:formatCode="@">
                  <c:v>14年10月</c:v>
                </c:pt>
                <c:pt idx="9" c:formatCode="@">
                  <c:v>14年11月</c:v>
                </c:pt>
                <c:pt idx="10" c:formatCode="@">
                  <c:v>14年12月</c:v>
                </c:pt>
                <c:pt idx="11" c:formatCode="@">
                  <c:v>15年1月</c:v>
                </c:pt>
                <c:pt idx="12" c:formatCode="@">
                  <c:v>15年2月</c:v>
                </c:pt>
                <c:pt idx="13" c:formatCode="@">
                  <c:v>15年3月</c:v>
                </c:pt>
                <c:pt idx="14" c:formatCode="@">
                  <c:v>15年4月</c:v>
                </c:pt>
                <c:pt idx="15" c:formatCode="@">
                  <c:v>15年5月</c:v>
                </c:pt>
                <c:pt idx="16" c:formatCode="@">
                  <c:v>15年6月</c:v>
                </c:pt>
                <c:pt idx="17" c:formatCode="@">
                  <c:v>15年7月</c:v>
                </c:pt>
                <c:pt idx="18" c:formatCode="@">
                  <c:v>15年8月</c:v>
                </c:pt>
                <c:pt idx="19" c:formatCode="@">
                  <c:v>15年9月</c:v>
                </c:pt>
                <c:pt idx="20" c:formatCode="@">
                  <c:v>15年10月</c:v>
                </c:pt>
                <c:pt idx="21" c:formatCode="@">
                  <c:v>15年11月</c:v>
                </c:pt>
                <c:pt idx="22" c:formatCode="@">
                  <c:v>15年12月</c:v>
                </c:pt>
                <c:pt idx="23" c:formatCode="@">
                  <c:v>16年1月</c:v>
                </c:pt>
                <c:pt idx="24" c:formatCode="@">
                  <c:v>16年2月</c:v>
                </c:pt>
                <c:pt idx="25" c:formatCode="@">
                  <c:v>16年3月</c:v>
                </c:pt>
                <c:pt idx="26" c:formatCode="@">
                  <c:v>16年4月</c:v>
                </c:pt>
                <c:pt idx="27" c:formatCode="@">
                  <c:v>16年5月</c:v>
                </c:pt>
                <c:pt idx="28" c:formatCode="@">
                  <c:v>16年6月</c:v>
                </c:pt>
                <c:pt idx="29" c:formatCode="@">
                  <c:v>16年7月</c:v>
                </c:pt>
                <c:pt idx="30" c:formatCode="@">
                  <c:v>16年8月</c:v>
                </c:pt>
                <c:pt idx="31" c:formatCode="@">
                  <c:v>16年9月</c:v>
                </c:pt>
                <c:pt idx="32" c:formatCode="@">
                  <c:v>16年10月</c:v>
                </c:pt>
                <c:pt idx="33" c:formatCode="@">
                  <c:v>16年11月</c:v>
                </c:pt>
                <c:pt idx="34" c:formatCode="@">
                  <c:v>16年12月</c:v>
                </c:pt>
                <c:pt idx="35" c:formatCode="@">
                  <c:v>17年1月</c:v>
                </c:pt>
                <c:pt idx="36" c:formatCode="@">
                  <c:v>17年2月</c:v>
                </c:pt>
                <c:pt idx="37" c:formatCode="@">
                  <c:v>17年3月</c:v>
                </c:pt>
                <c:pt idx="38" c:formatCode="@">
                  <c:v>17年4月</c:v>
                </c:pt>
                <c:pt idx="39" c:formatCode="@">
                  <c:v>17年5月</c:v>
                </c:pt>
                <c:pt idx="40" c:formatCode="@">
                  <c:v>17年6月</c:v>
                </c:pt>
                <c:pt idx="41" c:formatCode="@">
                  <c:v>17年7月</c:v>
                </c:pt>
                <c:pt idx="42" c:formatCode="@">
                  <c:v>17年8月</c:v>
                </c:pt>
                <c:pt idx="43" c:formatCode="@">
                  <c:v>17年9月</c:v>
                </c:pt>
                <c:pt idx="44" c:formatCode="@">
                  <c:v>17年10月</c:v>
                </c:pt>
                <c:pt idx="45" c:formatCode="@">
                  <c:v>17年11月</c:v>
                </c:pt>
                <c:pt idx="46" c:formatCode="@">
                  <c:v>17年12月</c:v>
                </c:pt>
                <c:pt idx="47" c:formatCode="@">
                  <c:v>18年1月</c:v>
                </c:pt>
                <c:pt idx="48" c:formatCode="@">
                  <c:v>18年2月</c:v>
                </c:pt>
                <c:pt idx="49" c:formatCode="@">
                  <c:v>18年3月</c:v>
                </c:pt>
                <c:pt idx="50" c:formatCode="@">
                  <c:v>18年4月</c:v>
                </c:pt>
                <c:pt idx="51" c:formatCode="@">
                  <c:v>18年5月</c:v>
                </c:pt>
                <c:pt idx="52" c:formatCode="@">
                  <c:v>18年6月</c:v>
                </c:pt>
                <c:pt idx="53" c:formatCode="@">
                  <c:v>18年7月</c:v>
                </c:pt>
                <c:pt idx="54" c:formatCode="@">
                  <c:v>18年8月</c:v>
                </c:pt>
                <c:pt idx="55" c:formatCode="@">
                  <c:v>18年9月</c:v>
                </c:pt>
                <c:pt idx="56" c:formatCode="@">
                  <c:v>18年10月</c:v>
                </c:pt>
                <c:pt idx="57" c:formatCode="@">
                  <c:v>18年11月</c:v>
                </c:pt>
                <c:pt idx="58" c:formatCode="@">
                  <c:v>18年12月</c:v>
                </c:pt>
                <c:pt idx="59" c:formatCode="@">
                  <c:v>19年1月</c:v>
                </c:pt>
                <c:pt idx="60" c:formatCode="@">
                  <c:v>19年2月</c:v>
                </c:pt>
                <c:pt idx="61" c:formatCode="@">
                  <c:v>19年3月</c:v>
                </c:pt>
                <c:pt idx="62" c:formatCode="@">
                  <c:v>19年4月</c:v>
                </c:pt>
                <c:pt idx="63" c:formatCode="@">
                  <c:v>19年5月</c:v>
                </c:pt>
                <c:pt idx="64" c:formatCode="@">
                  <c:v>19年6月</c:v>
                </c:pt>
                <c:pt idx="65" c:formatCode="@">
                  <c:v>19年7月</c:v>
                </c:pt>
                <c:pt idx="66" c:formatCode="@">
                  <c:v>19年8月</c:v>
                </c:pt>
                <c:pt idx="67" c:formatCode="@">
                  <c:v>19年9月</c:v>
                </c:pt>
                <c:pt idx="68" c:formatCode="@">
                  <c:v>19年10月</c:v>
                </c:pt>
                <c:pt idx="69" c:formatCode="@">
                  <c:v>19年11月</c:v>
                </c:pt>
                <c:pt idx="70" c:formatCode="@">
                  <c:v>19年12月</c:v>
                </c:pt>
                <c:pt idx="71" c:formatCode="@">
                  <c:v>20年1月</c:v>
                </c:pt>
                <c:pt idx="72" c:formatCode="@">
                  <c:v>20年2月</c:v>
                </c:pt>
                <c:pt idx="73" c:formatCode="@">
                  <c:v>20年3月</c:v>
                </c:pt>
                <c:pt idx="74" c:formatCode="@">
                  <c:v>20年4月</c:v>
                </c:pt>
                <c:pt idx="75" c:formatCode="@">
                  <c:v>20年5月</c:v>
                </c:pt>
                <c:pt idx="76" c:formatCode="@">
                  <c:v>20年6月</c:v>
                </c:pt>
                <c:pt idx="77" c:formatCode="@">
                  <c:v>20年7月</c:v>
                </c:pt>
                <c:pt idx="78" c:formatCode="@">
                  <c:v>20年8月</c:v>
                </c:pt>
                <c:pt idx="79" c:formatCode="@">
                  <c:v>20年9月</c:v>
                </c:pt>
                <c:pt idx="80" c:formatCode="@">
                  <c:v>20年10月</c:v>
                </c:pt>
                <c:pt idx="81" c:formatCode="@">
                  <c:v>20年11月</c:v>
                </c:pt>
                <c:pt idx="82" c:formatCode="@">
                  <c:v>20年12月</c:v>
                </c:pt>
                <c:pt idx="83" c:formatCode="@">
                  <c:v>21年1月</c:v>
                </c:pt>
                <c:pt idx="84" c:formatCode="@">
                  <c:v>21年2月</c:v>
                </c:pt>
                <c:pt idx="85" c:formatCode="@">
                  <c:v>21年3月</c:v>
                </c:pt>
                <c:pt idx="86" c:formatCode="@">
                  <c:v>21年4月</c:v>
                </c:pt>
                <c:pt idx="87" c:formatCode="@">
                  <c:v>21年5月</c:v>
                </c:pt>
                <c:pt idx="88" c:formatCode="@">
                  <c:v>21年6月</c:v>
                </c:pt>
                <c:pt idx="89" c:formatCode="@">
                  <c:v>21年7月</c:v>
                </c:pt>
                <c:pt idx="90" c:formatCode="@">
                  <c:v>21年8月</c:v>
                </c:pt>
                <c:pt idx="91" c:formatCode="@">
                  <c:v>21年9月</c:v>
                </c:pt>
                <c:pt idx="92" c:formatCode="@">
                  <c:v>21年10月</c:v>
                </c:pt>
                <c:pt idx="93" c:formatCode="@">
                  <c:v>21年11月</c:v>
                </c:pt>
                <c:pt idx="94" c:formatCode="@">
                  <c:v>21年12月</c:v>
                </c:pt>
                <c:pt idx="95" c:formatCode="@">
                  <c:v>22年1月</c:v>
                </c:pt>
                <c:pt idx="96" c:formatCode="@">
                  <c:v>22年2月</c:v>
                </c:pt>
                <c:pt idx="97" c:formatCode="@">
                  <c:v>22年3月</c:v>
                </c:pt>
                <c:pt idx="98" c:formatCode="@">
                  <c:v>22年4月</c:v>
                </c:pt>
                <c:pt idx="99" c:formatCode="@">
                  <c:v>22年5月</c:v>
                </c:pt>
                <c:pt idx="100" c:formatCode="@">
                  <c:v>22年6月</c:v>
                </c:pt>
                <c:pt idx="101" c:formatCode="@">
                  <c:v>22年7月</c:v>
                </c:pt>
                <c:pt idx="107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走势图!$B$10:$DK$10</c15:sqref>
                  </c15:fullRef>
                </c:ext>
              </c:extLst>
              <c:f>走势图!$C$10:$DK$10</c:f>
              <c:numCache>
                <c:formatCode>General</c:formatCode>
                <c:ptCount val="113"/>
                <c:pt idx="101" c:formatCode="0_);[Red]\(0\)">
                  <c:v>958</c:v>
                </c:pt>
                <c:pt idx="102" c:formatCode="0_);[Red]\(0\)">
                  <c:v>650</c:v>
                </c:pt>
                <c:pt idx="103" c:formatCode="0_);[Red]\(0\)">
                  <c:v>650</c:v>
                </c:pt>
                <c:pt idx="104" c:formatCode="0_);[Red]\(0\)">
                  <c:v>650</c:v>
                </c:pt>
                <c:pt idx="105" c:formatCode="0_);[Red]\(0\)">
                  <c:v>650</c:v>
                </c:pt>
                <c:pt idx="106" c:formatCode="0_);[Red]\(0\)">
                  <c:v>650</c:v>
                </c:pt>
                <c:pt idx="107" c:formatCode="0_);[Red]\(0\)">
                  <c:v>650</c:v>
                </c:pt>
                <c:pt idx="108" c:formatCode="0_);[Red]\(0\)">
                  <c:v>650</c:v>
                </c:pt>
                <c:pt idx="109" c:formatCode="0_);[Red]\(0\)">
                  <c:v>650</c:v>
                </c:pt>
                <c:pt idx="110" c:formatCode="0_);[Red]\(0\)">
                  <c:v>650</c:v>
                </c:pt>
                <c:pt idx="111" c:formatCode="0_);[Red]\(0\)">
                  <c:v>650</c:v>
                </c:pt>
                <c:pt idx="112" c:formatCode="0_);[Red]\(0\)">
                  <c:v>650</c:v>
                </c:pt>
              </c:numCache>
            </c:numRef>
          </c:val>
          <c:smooth val="0"/>
        </c:ser>
        <c:ser>
          <c:idx val="7"/>
          <c:order val="4"/>
          <c:tx>
            <c:strRef>
              <c:f>走势图!$A$11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layout>
                <c:manualLayout>
                  <c:x val="-0.0230769230769232"/>
                  <c:y val="-0.0369799691833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6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走势图!$B$1:$DK$1</c15:sqref>
                  </c15:fullRef>
                </c:ext>
              </c:extLst>
              <c:f>走势图!$C$1:$DK$1</c:f>
              <c:strCache>
                <c:ptCount val="113"/>
                <c:pt idx="0" c:formatCode="@">
                  <c:v>14年2月</c:v>
                </c:pt>
                <c:pt idx="1" c:formatCode="@">
                  <c:v>14年3月</c:v>
                </c:pt>
                <c:pt idx="2" c:formatCode="@">
                  <c:v>14年4月</c:v>
                </c:pt>
                <c:pt idx="3" c:formatCode="@">
                  <c:v>14年5月</c:v>
                </c:pt>
                <c:pt idx="4" c:formatCode="@">
                  <c:v>14年6月</c:v>
                </c:pt>
                <c:pt idx="5" c:formatCode="@">
                  <c:v>14年7月</c:v>
                </c:pt>
                <c:pt idx="6" c:formatCode="@">
                  <c:v>14年8月</c:v>
                </c:pt>
                <c:pt idx="7" c:formatCode="@">
                  <c:v>14年9月</c:v>
                </c:pt>
                <c:pt idx="8" c:formatCode="@">
                  <c:v>14年10月</c:v>
                </c:pt>
                <c:pt idx="9" c:formatCode="@">
                  <c:v>14年11月</c:v>
                </c:pt>
                <c:pt idx="10" c:formatCode="@">
                  <c:v>14年12月</c:v>
                </c:pt>
                <c:pt idx="11" c:formatCode="@">
                  <c:v>15年1月</c:v>
                </c:pt>
                <c:pt idx="12" c:formatCode="@">
                  <c:v>15年2月</c:v>
                </c:pt>
                <c:pt idx="13" c:formatCode="@">
                  <c:v>15年3月</c:v>
                </c:pt>
                <c:pt idx="14" c:formatCode="@">
                  <c:v>15年4月</c:v>
                </c:pt>
                <c:pt idx="15" c:formatCode="@">
                  <c:v>15年5月</c:v>
                </c:pt>
                <c:pt idx="16" c:formatCode="@">
                  <c:v>15年6月</c:v>
                </c:pt>
                <c:pt idx="17" c:formatCode="@">
                  <c:v>15年7月</c:v>
                </c:pt>
                <c:pt idx="18" c:formatCode="@">
                  <c:v>15年8月</c:v>
                </c:pt>
                <c:pt idx="19" c:formatCode="@">
                  <c:v>15年9月</c:v>
                </c:pt>
                <c:pt idx="20" c:formatCode="@">
                  <c:v>15年10月</c:v>
                </c:pt>
                <c:pt idx="21" c:formatCode="@">
                  <c:v>15年11月</c:v>
                </c:pt>
                <c:pt idx="22" c:formatCode="@">
                  <c:v>15年12月</c:v>
                </c:pt>
                <c:pt idx="23" c:formatCode="@">
                  <c:v>16年1月</c:v>
                </c:pt>
                <c:pt idx="24" c:formatCode="@">
                  <c:v>16年2月</c:v>
                </c:pt>
                <c:pt idx="25" c:formatCode="@">
                  <c:v>16年3月</c:v>
                </c:pt>
                <c:pt idx="26" c:formatCode="@">
                  <c:v>16年4月</c:v>
                </c:pt>
                <c:pt idx="27" c:formatCode="@">
                  <c:v>16年5月</c:v>
                </c:pt>
                <c:pt idx="28" c:formatCode="@">
                  <c:v>16年6月</c:v>
                </c:pt>
                <c:pt idx="29" c:formatCode="@">
                  <c:v>16年7月</c:v>
                </c:pt>
                <c:pt idx="30" c:formatCode="@">
                  <c:v>16年8月</c:v>
                </c:pt>
                <c:pt idx="31" c:formatCode="@">
                  <c:v>16年9月</c:v>
                </c:pt>
                <c:pt idx="32" c:formatCode="@">
                  <c:v>16年10月</c:v>
                </c:pt>
                <c:pt idx="33" c:formatCode="@">
                  <c:v>16年11月</c:v>
                </c:pt>
                <c:pt idx="34" c:formatCode="@">
                  <c:v>16年12月</c:v>
                </c:pt>
                <c:pt idx="35" c:formatCode="@">
                  <c:v>17年1月</c:v>
                </c:pt>
                <c:pt idx="36" c:formatCode="@">
                  <c:v>17年2月</c:v>
                </c:pt>
                <c:pt idx="37" c:formatCode="@">
                  <c:v>17年3月</c:v>
                </c:pt>
                <c:pt idx="38" c:formatCode="@">
                  <c:v>17年4月</c:v>
                </c:pt>
                <c:pt idx="39" c:formatCode="@">
                  <c:v>17年5月</c:v>
                </c:pt>
                <c:pt idx="40" c:formatCode="@">
                  <c:v>17年6月</c:v>
                </c:pt>
                <c:pt idx="41" c:formatCode="@">
                  <c:v>17年7月</c:v>
                </c:pt>
                <c:pt idx="42" c:formatCode="@">
                  <c:v>17年8月</c:v>
                </c:pt>
                <c:pt idx="43" c:formatCode="@">
                  <c:v>17年9月</c:v>
                </c:pt>
                <c:pt idx="44" c:formatCode="@">
                  <c:v>17年10月</c:v>
                </c:pt>
                <c:pt idx="45" c:formatCode="@">
                  <c:v>17年11月</c:v>
                </c:pt>
                <c:pt idx="46" c:formatCode="@">
                  <c:v>17年12月</c:v>
                </c:pt>
                <c:pt idx="47" c:formatCode="@">
                  <c:v>18年1月</c:v>
                </c:pt>
                <c:pt idx="48" c:formatCode="@">
                  <c:v>18年2月</c:v>
                </c:pt>
                <c:pt idx="49" c:formatCode="@">
                  <c:v>18年3月</c:v>
                </c:pt>
                <c:pt idx="50" c:formatCode="@">
                  <c:v>18年4月</c:v>
                </c:pt>
                <c:pt idx="51" c:formatCode="@">
                  <c:v>18年5月</c:v>
                </c:pt>
                <c:pt idx="52" c:formatCode="@">
                  <c:v>18年6月</c:v>
                </c:pt>
                <c:pt idx="53" c:formatCode="@">
                  <c:v>18年7月</c:v>
                </c:pt>
                <c:pt idx="54" c:formatCode="@">
                  <c:v>18年8月</c:v>
                </c:pt>
                <c:pt idx="55" c:formatCode="@">
                  <c:v>18年9月</c:v>
                </c:pt>
                <c:pt idx="56" c:formatCode="@">
                  <c:v>18年10月</c:v>
                </c:pt>
                <c:pt idx="57" c:formatCode="@">
                  <c:v>18年11月</c:v>
                </c:pt>
                <c:pt idx="58" c:formatCode="@">
                  <c:v>18年12月</c:v>
                </c:pt>
                <c:pt idx="59" c:formatCode="@">
                  <c:v>19年1月</c:v>
                </c:pt>
                <c:pt idx="60" c:formatCode="@">
                  <c:v>19年2月</c:v>
                </c:pt>
                <c:pt idx="61" c:formatCode="@">
                  <c:v>19年3月</c:v>
                </c:pt>
                <c:pt idx="62" c:formatCode="@">
                  <c:v>19年4月</c:v>
                </c:pt>
                <c:pt idx="63" c:formatCode="@">
                  <c:v>19年5月</c:v>
                </c:pt>
                <c:pt idx="64" c:formatCode="@">
                  <c:v>19年6月</c:v>
                </c:pt>
                <c:pt idx="65" c:formatCode="@">
                  <c:v>19年7月</c:v>
                </c:pt>
                <c:pt idx="66" c:formatCode="@">
                  <c:v>19年8月</c:v>
                </c:pt>
                <c:pt idx="67" c:formatCode="@">
                  <c:v>19年9月</c:v>
                </c:pt>
                <c:pt idx="68" c:formatCode="@">
                  <c:v>19年10月</c:v>
                </c:pt>
                <c:pt idx="69" c:formatCode="@">
                  <c:v>19年11月</c:v>
                </c:pt>
                <c:pt idx="70" c:formatCode="@">
                  <c:v>19年12月</c:v>
                </c:pt>
                <c:pt idx="71" c:formatCode="@">
                  <c:v>20年1月</c:v>
                </c:pt>
                <c:pt idx="72" c:formatCode="@">
                  <c:v>20年2月</c:v>
                </c:pt>
                <c:pt idx="73" c:formatCode="@">
                  <c:v>20年3月</c:v>
                </c:pt>
                <c:pt idx="74" c:formatCode="@">
                  <c:v>20年4月</c:v>
                </c:pt>
                <c:pt idx="75" c:formatCode="@">
                  <c:v>20年5月</c:v>
                </c:pt>
                <c:pt idx="76" c:formatCode="@">
                  <c:v>20年6月</c:v>
                </c:pt>
                <c:pt idx="77" c:formatCode="@">
                  <c:v>20年7月</c:v>
                </c:pt>
                <c:pt idx="78" c:formatCode="@">
                  <c:v>20年8月</c:v>
                </c:pt>
                <c:pt idx="79" c:formatCode="@">
                  <c:v>20年9月</c:v>
                </c:pt>
                <c:pt idx="80" c:formatCode="@">
                  <c:v>20年10月</c:v>
                </c:pt>
                <c:pt idx="81" c:formatCode="@">
                  <c:v>20年11月</c:v>
                </c:pt>
                <c:pt idx="82" c:formatCode="@">
                  <c:v>20年12月</c:v>
                </c:pt>
                <c:pt idx="83" c:formatCode="@">
                  <c:v>21年1月</c:v>
                </c:pt>
                <c:pt idx="84" c:formatCode="@">
                  <c:v>21年2月</c:v>
                </c:pt>
                <c:pt idx="85" c:formatCode="@">
                  <c:v>21年3月</c:v>
                </c:pt>
                <c:pt idx="86" c:formatCode="@">
                  <c:v>21年4月</c:v>
                </c:pt>
                <c:pt idx="87" c:formatCode="@">
                  <c:v>21年5月</c:v>
                </c:pt>
                <c:pt idx="88" c:formatCode="@">
                  <c:v>21年6月</c:v>
                </c:pt>
                <c:pt idx="89" c:formatCode="@">
                  <c:v>21年7月</c:v>
                </c:pt>
                <c:pt idx="90" c:formatCode="@">
                  <c:v>21年8月</c:v>
                </c:pt>
                <c:pt idx="91" c:formatCode="@">
                  <c:v>21年9月</c:v>
                </c:pt>
                <c:pt idx="92" c:formatCode="@">
                  <c:v>21年10月</c:v>
                </c:pt>
                <c:pt idx="93" c:formatCode="@">
                  <c:v>21年11月</c:v>
                </c:pt>
                <c:pt idx="94" c:formatCode="@">
                  <c:v>21年12月</c:v>
                </c:pt>
                <c:pt idx="95" c:formatCode="@">
                  <c:v>22年1月</c:v>
                </c:pt>
                <c:pt idx="96" c:formatCode="@">
                  <c:v>22年2月</c:v>
                </c:pt>
                <c:pt idx="97" c:formatCode="@">
                  <c:v>22年3月</c:v>
                </c:pt>
                <c:pt idx="98" c:formatCode="@">
                  <c:v>22年4月</c:v>
                </c:pt>
                <c:pt idx="99" c:formatCode="@">
                  <c:v>22年5月</c:v>
                </c:pt>
                <c:pt idx="100" c:formatCode="@">
                  <c:v>22年6月</c:v>
                </c:pt>
                <c:pt idx="101" c:formatCode="@">
                  <c:v>22年7月</c:v>
                </c:pt>
                <c:pt idx="107" c:formatCode="@">
                  <c:v>价格预测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走势图!$B$11:$DK$11</c15:sqref>
                  </c15:fullRef>
                </c:ext>
              </c:extLst>
              <c:f>走势图!$C$11:$DK$11</c:f>
              <c:numCache>
                <c:formatCode>General</c:formatCode>
                <c:ptCount val="113"/>
                <c:pt idx="101" c:formatCode="0_);[Red]\(0\)">
                  <c:v>958</c:v>
                </c:pt>
                <c:pt idx="102" c:formatCode="0_);[Red]\(0\)">
                  <c:v>850</c:v>
                </c:pt>
                <c:pt idx="103" c:formatCode="0_);[Red]\(0\)">
                  <c:v>850</c:v>
                </c:pt>
                <c:pt idx="104" c:formatCode="0_);[Red]\(0\)">
                  <c:v>850</c:v>
                </c:pt>
                <c:pt idx="105" c:formatCode="0_);[Red]\(0\)">
                  <c:v>850</c:v>
                </c:pt>
                <c:pt idx="106" c:formatCode="0_);[Red]\(0\)">
                  <c:v>850</c:v>
                </c:pt>
                <c:pt idx="107" c:formatCode="0_);[Red]\(0\)">
                  <c:v>850</c:v>
                </c:pt>
                <c:pt idx="108" c:formatCode="0_);[Red]\(0\)">
                  <c:v>850</c:v>
                </c:pt>
                <c:pt idx="109" c:formatCode="0_);[Red]\(0\)">
                  <c:v>850</c:v>
                </c:pt>
                <c:pt idx="110" c:formatCode="0_);[Red]\(0\)">
                  <c:v>850</c:v>
                </c:pt>
                <c:pt idx="111" c:formatCode="0_);[Red]\(0\)">
                  <c:v>850</c:v>
                </c:pt>
                <c:pt idx="112" c:formatCode="0_);[Red]\(0\)">
                  <c:v>850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36728208"/>
        <c:axId val="1836720720"/>
      </c:lineChart>
      <c:catAx>
        <c:axId val="17195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9525024"/>
        <c:crosses val="autoZero"/>
        <c:auto val="1"/>
        <c:lblAlgn val="ctr"/>
        <c:lblOffset val="100"/>
        <c:tickLblSkip val="6"/>
        <c:noMultiLvlLbl val="0"/>
      </c:catAx>
      <c:valAx>
        <c:axId val="1719525024"/>
        <c:scaling>
          <c:orientation val="minMax"/>
          <c:max val="5500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9521280"/>
        <c:crosses val="autoZero"/>
        <c:crossBetween val="between"/>
        <c:majorUnit val="500"/>
      </c:valAx>
      <c:catAx>
        <c:axId val="1836728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6720720"/>
        <c:crosses val="autoZero"/>
        <c:auto val="1"/>
        <c:lblAlgn val="ctr"/>
        <c:lblOffset val="100"/>
        <c:noMultiLvlLbl val="0"/>
      </c:catAx>
      <c:valAx>
        <c:axId val="1836720720"/>
        <c:scaling>
          <c:orientation val="minMax"/>
          <c:max val="1200"/>
          <c:min val="320"/>
        </c:scaling>
        <c:delete val="0"/>
        <c:axPos val="r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672820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4999b9-fb65-4058-941c-b010545e58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+mn-cs"/>
              </a:defRPr>
            </a:pP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二铵、硫磺</a:t>
            </a:r>
            <a:r>
              <a:rPr lang="zh-CN" altLang="en-US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、磷矿、北方煤</a:t>
            </a:r>
            <a:r>
              <a:rPr 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价格走势图</a:t>
            </a:r>
            <a:r>
              <a:rPr lang="zh-CN" altLang="en-US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（</a:t>
            </a:r>
            <a:r>
              <a:rPr lang="en-US" altLang="zh-CN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18</a:t>
            </a:r>
            <a:r>
              <a:rPr lang="zh-CN" altLang="en-US" sz="2000" b="1">
                <a:latin typeface="微软雅黑 Light" panose="020B0502040204020203" pitchFamily="34" charset="-122"/>
                <a:ea typeface="微软雅黑 Light" panose="020B0502040204020203" pitchFamily="34" charset="-122"/>
              </a:rPr>
              <a:t>年</a:t>
            </a:r>
            <a:endParaRPr lang="zh-CN" sz="2000" b="1">
              <a:latin typeface="微软雅黑 Light" panose="020B0502040204020203" pitchFamily="34" charset="-122"/>
              <a:ea typeface="微软雅黑 Light" panose="020B0502040204020203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21922702618093"/>
          <c:y val="0.150094966761633"/>
          <c:w val="0.935615459476381"/>
          <c:h val="0.792652040289836"/>
        </c:manualLayout>
      </c:layout>
      <c:lineChart>
        <c:grouping val="standard"/>
        <c:varyColors val="0"/>
        <c:ser>
          <c:idx val="1"/>
          <c:order val="0"/>
          <c:tx>
            <c:strRef>
              <c:f>'走势图 (近5年1张)'!$A$2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layout>
                <c:manualLayout>
                  <c:x val="-0.0677037750358994"/>
                  <c:y val="-0.02374169040835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sz="1400" b="1">
                        <a:latin typeface="+mn-lt"/>
                      </a:rPr>
                      <a:t>二铵</a:t>
                    </a:r>
                    <a:endParaRPr lang="zh-CN" altLang="en-US" sz="1400" b="1">
                      <a:latin typeface="+mn-lt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66090463843273"/>
                      <c:h val="0.0379511855889809"/>
                    </c:manualLayout>
                  </c15:layout>
                </c:ext>
              </c:extLst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(近5年1张)'!$B$2:$DA$2</c:f>
              <c:numCache>
                <c:formatCode>0_);[Red]\(0\)</c:formatCode>
                <c:ptCount val="56"/>
                <c:pt idx="0">
                  <c:v>2501.27733994969</c:v>
                </c:pt>
                <c:pt idx="1">
                  <c:v>2526.66487491209</c:v>
                </c:pt>
                <c:pt idx="2">
                  <c:v>2597.13533556329</c:v>
                </c:pt>
                <c:pt idx="3">
                  <c:v>2548.62846129866</c:v>
                </c:pt>
                <c:pt idx="4">
                  <c:v>2565.61944262039</c:v>
                </c:pt>
                <c:pt idx="5">
                  <c:v>2575.92776325538</c:v>
                </c:pt>
                <c:pt idx="6">
                  <c:v>2678.8684330737</c:v>
                </c:pt>
                <c:pt idx="7">
                  <c:v>2733.19732199673</c:v>
                </c:pt>
                <c:pt idx="8">
                  <c:v>2745.26197429751</c:v>
                </c:pt>
                <c:pt idx="9">
                  <c:v>2742.63429292559</c:v>
                </c:pt>
                <c:pt idx="10">
                  <c:v>2700</c:v>
                </c:pt>
                <c:pt idx="11">
                  <c:v>2700</c:v>
                </c:pt>
                <c:pt idx="12">
                  <c:v>2614</c:v>
                </c:pt>
                <c:pt idx="13">
                  <c:v>2625</c:v>
                </c:pt>
                <c:pt idx="14">
                  <c:v>2520.39182203737</c:v>
                </c:pt>
                <c:pt idx="15">
                  <c:v>2512.13068830001</c:v>
                </c:pt>
                <c:pt idx="16">
                  <c:v>2429.00920272917</c:v>
                </c:pt>
                <c:pt idx="17">
                  <c:v>2407.32579117454</c:v>
                </c:pt>
                <c:pt idx="18">
                  <c:v>2214.27488235976</c:v>
                </c:pt>
                <c:pt idx="19">
                  <c:v>2214.17373230795</c:v>
                </c:pt>
                <c:pt idx="20">
                  <c:v>2187.03721640631</c:v>
                </c:pt>
                <c:pt idx="21">
                  <c:v>2139.20731562574</c:v>
                </c:pt>
                <c:pt idx="22">
                  <c:v>2103.83873158189</c:v>
                </c:pt>
                <c:pt idx="23">
                  <c:v>2061.2315180595</c:v>
                </c:pt>
                <c:pt idx="24">
                  <c:v>2085.85646546543</c:v>
                </c:pt>
                <c:pt idx="25">
                  <c:v>1986.99049986103</c:v>
                </c:pt>
                <c:pt idx="26">
                  <c:v>1986.99049986103</c:v>
                </c:pt>
                <c:pt idx="27">
                  <c:v>2071.54970299319</c:v>
                </c:pt>
                <c:pt idx="28">
                  <c:v>2060.86989188714</c:v>
                </c:pt>
                <c:pt idx="29">
                  <c:v>2071.91942244851</c:v>
                </c:pt>
                <c:pt idx="30">
                  <c:v>2098.81534256527</c:v>
                </c:pt>
                <c:pt idx="31">
                  <c:v>2082.68201288914</c:v>
                </c:pt>
                <c:pt idx="32">
                  <c:v>2176.04544673005</c:v>
                </c:pt>
                <c:pt idx="33">
                  <c:v>2238.37267542502</c:v>
                </c:pt>
                <c:pt idx="34">
                  <c:v>2273.71492390218</c:v>
                </c:pt>
                <c:pt idx="35">
                  <c:v>2310.92311103161</c:v>
                </c:pt>
                <c:pt idx="36">
                  <c:v>2365.12277264168</c:v>
                </c:pt>
                <c:pt idx="37">
                  <c:v>2471.1848190443</c:v>
                </c:pt>
                <c:pt idx="38">
                  <c:v>2727.36764923849</c:v>
                </c:pt>
                <c:pt idx="39">
                  <c:v>3293.74390943446</c:v>
                </c:pt>
                <c:pt idx="40">
                  <c:v>3225.76580175787</c:v>
                </c:pt>
                <c:pt idx="41">
                  <c:v>3262.17499294506</c:v>
                </c:pt>
                <c:pt idx="42">
                  <c:v>3373.02009683852</c:v>
                </c:pt>
                <c:pt idx="43">
                  <c:v>3508.28733466809</c:v>
                </c:pt>
                <c:pt idx="44">
                  <c:v>3780.28873276843</c:v>
                </c:pt>
                <c:pt idx="45">
                  <c:v>3742.63740127969</c:v>
                </c:pt>
                <c:pt idx="46">
                  <c:v>3536.15387237605</c:v>
                </c:pt>
                <c:pt idx="47">
                  <c:v>3536.09939443262</c:v>
                </c:pt>
                <c:pt idx="48">
                  <c:v>3635.94254687299</c:v>
                </c:pt>
                <c:pt idx="49">
                  <c:v>3566.13213614648</c:v>
                </c:pt>
                <c:pt idx="50">
                  <c:v>4271.26059306314</c:v>
                </c:pt>
                <c:pt idx="51">
                  <c:v>4362</c:v>
                </c:pt>
                <c:pt idx="52">
                  <c:v>5029</c:v>
                </c:pt>
                <c:pt idx="53">
                  <c:v>5280</c:v>
                </c:pt>
                <c:pt idx="54">
                  <c:v>5705</c:v>
                </c:pt>
                <c:pt idx="55">
                  <c:v>5460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'走势图 (近5年1张)'!$A$4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/>
                      <a:t>硫磺</a:t>
                    </a:r>
                    <a:endParaRPr lang="zh-CN" alt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(近5年1张)'!$B$4:$DA$4</c:f>
              <c:numCache>
                <c:formatCode>0_);[Red]\(0\)</c:formatCode>
                <c:ptCount val="56"/>
                <c:pt idx="0">
                  <c:v>1184</c:v>
                </c:pt>
                <c:pt idx="1">
                  <c:v>1199</c:v>
                </c:pt>
                <c:pt idx="2">
                  <c:v>1117</c:v>
                </c:pt>
                <c:pt idx="3">
                  <c:v>1059</c:v>
                </c:pt>
                <c:pt idx="4">
                  <c:v>1127</c:v>
                </c:pt>
                <c:pt idx="5">
                  <c:v>1148</c:v>
                </c:pt>
                <c:pt idx="6">
                  <c:v>1193</c:v>
                </c:pt>
                <c:pt idx="7">
                  <c:v>1328</c:v>
                </c:pt>
                <c:pt idx="8">
                  <c:v>1487</c:v>
                </c:pt>
                <c:pt idx="9">
                  <c:v>1459</c:v>
                </c:pt>
                <c:pt idx="10">
                  <c:v>1398</c:v>
                </c:pt>
                <c:pt idx="11">
                  <c:v>1230.5</c:v>
                </c:pt>
                <c:pt idx="12">
                  <c:v>1133.57</c:v>
                </c:pt>
                <c:pt idx="13">
                  <c:v>1086</c:v>
                </c:pt>
                <c:pt idx="14">
                  <c:v>1005.9</c:v>
                </c:pt>
                <c:pt idx="15">
                  <c:v>997.73</c:v>
                </c:pt>
                <c:pt idx="16">
                  <c:v>972.857142857143</c:v>
                </c:pt>
                <c:pt idx="17">
                  <c:v>963.684210526316</c:v>
                </c:pt>
                <c:pt idx="18">
                  <c:v>841.086956521739</c:v>
                </c:pt>
                <c:pt idx="19">
                  <c:v>752.272727272727</c:v>
                </c:pt>
                <c:pt idx="20">
                  <c:v>642.6</c:v>
                </c:pt>
                <c:pt idx="21">
                  <c:v>602.368421052632</c:v>
                </c:pt>
                <c:pt idx="22">
                  <c:v>523.571428571429</c:v>
                </c:pt>
                <c:pt idx="23">
                  <c:v>539.090909090909</c:v>
                </c:pt>
                <c:pt idx="24">
                  <c:v>596.5625</c:v>
                </c:pt>
                <c:pt idx="25">
                  <c:v>611.136363636364</c:v>
                </c:pt>
                <c:pt idx="26">
                  <c:v>668.863636363636</c:v>
                </c:pt>
                <c:pt idx="27">
                  <c:v>598.409090909091</c:v>
                </c:pt>
                <c:pt idx="28">
                  <c:v>641.052631578947</c:v>
                </c:pt>
                <c:pt idx="29">
                  <c:v>661.190476190476</c:v>
                </c:pt>
                <c:pt idx="30">
                  <c:v>630.869565217391</c:v>
                </c:pt>
                <c:pt idx="31">
                  <c:v>651.904761904762</c:v>
                </c:pt>
                <c:pt idx="32">
                  <c:v>702.173913043478</c:v>
                </c:pt>
                <c:pt idx="33">
                  <c:v>746.176470588235</c:v>
                </c:pt>
                <c:pt idx="34">
                  <c:v>806.363636363636</c:v>
                </c:pt>
                <c:pt idx="35">
                  <c:v>920.47619047619</c:v>
                </c:pt>
                <c:pt idx="36">
                  <c:v>1092.75</c:v>
                </c:pt>
                <c:pt idx="37">
                  <c:v>1438.23529411765</c:v>
                </c:pt>
                <c:pt idx="38">
                  <c:v>1349.5652173913</c:v>
                </c:pt>
                <c:pt idx="39">
                  <c:v>1420</c:v>
                </c:pt>
                <c:pt idx="40">
                  <c:v>1554.47368421053</c:v>
                </c:pt>
                <c:pt idx="41">
                  <c:v>1597.85714285714</c:v>
                </c:pt>
                <c:pt idx="42">
                  <c:v>1584.31818181818</c:v>
                </c:pt>
                <c:pt idx="43">
                  <c:v>1774.09090909091</c:v>
                </c:pt>
                <c:pt idx="44">
                  <c:v>1908.40909090909</c:v>
                </c:pt>
                <c:pt idx="45">
                  <c:v>1937.05882352941</c:v>
                </c:pt>
                <c:pt idx="46">
                  <c:v>2001.81818181818</c:v>
                </c:pt>
                <c:pt idx="47">
                  <c:v>2313.04347826087</c:v>
                </c:pt>
                <c:pt idx="48">
                  <c:v>2461.25</c:v>
                </c:pt>
                <c:pt idx="49">
                  <c:v>2569.33333333333</c:v>
                </c:pt>
                <c:pt idx="50">
                  <c:v>3236</c:v>
                </c:pt>
                <c:pt idx="51">
                  <c:v>3510.47619047619</c:v>
                </c:pt>
                <c:pt idx="52">
                  <c:v>4034</c:v>
                </c:pt>
                <c:pt idx="53">
                  <c:v>3538.09523809524</c:v>
                </c:pt>
                <c:pt idx="54">
                  <c:v>1864.28571428571</c:v>
                </c:pt>
                <c:pt idx="55">
                  <c:v>1056.52173913043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'走势图 (近5年1张)'!$A$5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(近5年1张)'!$B$5:$DA$5</c:f>
            </c:numRef>
          </c:val>
          <c:smooth val="0"/>
        </c:ser>
        <c:ser>
          <c:idx val="4"/>
          <c:order val="3"/>
          <c:tx>
            <c:strRef>
              <c:f>'走势图 (近5年1张)'!$A$6</c:f>
              <c:strCache>
                <c:ptCount val="1"/>
                <c:pt idx="0">
                  <c:v>长江港硫磺现货价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(近5年1张)'!$B$6:$DA$6</c:f>
            </c:numRef>
          </c:val>
          <c:smooth val="0"/>
        </c:ser>
        <c:ser>
          <c:idx val="0"/>
          <c:order val="4"/>
          <c:tx>
            <c:strRef>
              <c:f>'走势图 (近5年1张)'!$A$3</c:f>
              <c:strCache>
                <c:ptCount val="1"/>
                <c:pt idx="0">
                  <c:v>二铵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(近5年1张)'!$B$3:$DA$3</c:f>
            </c:numRef>
          </c:val>
          <c:smooth val="0"/>
        </c:ser>
        <c:ser>
          <c:idx val="5"/>
          <c:order val="5"/>
          <c:tx>
            <c:strRef>
              <c:f>'走势图 (近5年1张)'!$A$9</c:f>
              <c:strCache>
                <c:ptCount val="1"/>
                <c:pt idx="0">
                  <c:v>股份27%磷矿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layout>
                <c:manualLayout>
                  <c:x val="-0.0288101411696918"/>
                  <c:y val="-0.030864197530864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sz="1400" b="1">
                        <a:latin typeface="+mn-lt"/>
                      </a:rPr>
                      <a:t>磷矿</a:t>
                    </a:r>
                    <a:endParaRPr lang="zh-CN" altLang="en-US" sz="1400" b="1">
                      <a:latin typeface="+mn-lt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(近5年1张)'!$AX$9:$DA$9</c:f>
              <c:numCache>
                <c:formatCode>0_);[Red]\(0\)</c:formatCode>
                <c:ptCount val="56"/>
                <c:pt idx="0">
                  <c:v>430</c:v>
                </c:pt>
                <c:pt idx="1">
                  <c:v>430</c:v>
                </c:pt>
                <c:pt idx="2">
                  <c:v>430</c:v>
                </c:pt>
                <c:pt idx="3">
                  <c:v>430</c:v>
                </c:pt>
                <c:pt idx="4">
                  <c:v>430</c:v>
                </c:pt>
                <c:pt idx="5">
                  <c:v>430</c:v>
                </c:pt>
                <c:pt idx="6">
                  <c:v>430</c:v>
                </c:pt>
                <c:pt idx="7">
                  <c:v>430</c:v>
                </c:pt>
                <c:pt idx="8">
                  <c:v>430</c:v>
                </c:pt>
                <c:pt idx="9">
                  <c:v>430</c:v>
                </c:pt>
                <c:pt idx="10">
                  <c:v>450</c:v>
                </c:pt>
                <c:pt idx="11">
                  <c:v>500</c:v>
                </c:pt>
                <c:pt idx="12">
                  <c:v>470</c:v>
                </c:pt>
                <c:pt idx="13">
                  <c:v>470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420</c:v>
                </c:pt>
                <c:pt idx="18">
                  <c:v>400</c:v>
                </c:pt>
                <c:pt idx="19">
                  <c:v>400</c:v>
                </c:pt>
                <c:pt idx="20">
                  <c:v>380</c:v>
                </c:pt>
                <c:pt idx="21">
                  <c:v>380</c:v>
                </c:pt>
                <c:pt idx="22">
                  <c:v>370</c:v>
                </c:pt>
                <c:pt idx="23">
                  <c:v>370</c:v>
                </c:pt>
                <c:pt idx="24">
                  <c:v>370</c:v>
                </c:pt>
                <c:pt idx="25">
                  <c:v>370</c:v>
                </c:pt>
                <c:pt idx="26">
                  <c:v>370</c:v>
                </c:pt>
                <c:pt idx="27">
                  <c:v>338</c:v>
                </c:pt>
                <c:pt idx="28">
                  <c:v>338</c:v>
                </c:pt>
                <c:pt idx="29">
                  <c:v>338</c:v>
                </c:pt>
                <c:pt idx="30">
                  <c:v>338</c:v>
                </c:pt>
                <c:pt idx="31">
                  <c:v>338</c:v>
                </c:pt>
                <c:pt idx="32">
                  <c:v>328</c:v>
                </c:pt>
                <c:pt idx="33">
                  <c:v>328</c:v>
                </c:pt>
                <c:pt idx="34">
                  <c:v>358</c:v>
                </c:pt>
                <c:pt idx="35">
                  <c:v>358</c:v>
                </c:pt>
                <c:pt idx="36">
                  <c:v>358</c:v>
                </c:pt>
                <c:pt idx="37">
                  <c:v>358</c:v>
                </c:pt>
                <c:pt idx="38">
                  <c:v>358</c:v>
                </c:pt>
                <c:pt idx="39">
                  <c:v>408</c:v>
                </c:pt>
                <c:pt idx="40">
                  <c:v>458</c:v>
                </c:pt>
                <c:pt idx="41">
                  <c:v>488</c:v>
                </c:pt>
                <c:pt idx="42">
                  <c:v>508</c:v>
                </c:pt>
                <c:pt idx="43">
                  <c:v>558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645.6</c:v>
                </c:pt>
                <c:pt idx="52">
                  <c:v>745.6</c:v>
                </c:pt>
                <c:pt idx="53">
                  <c:v>858</c:v>
                </c:pt>
                <c:pt idx="54">
                  <c:v>958</c:v>
                </c:pt>
                <c:pt idx="55">
                  <c:v>958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'走势图 (近5年1张)'!$A$13</c:f>
              <c:strCache>
                <c:ptCount val="1"/>
                <c:pt idx="0">
                  <c:v>北方煤（兰花）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layout>
                <c:manualLayout>
                  <c:x val="-0.0460962258715068"/>
                  <c:y val="-0.03323836657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sz="1400" b="1">
                        <a:latin typeface="+mn-lt"/>
                      </a:rPr>
                      <a:t>北方煤</a:t>
                    </a:r>
                    <a:endParaRPr lang="zh-CN" altLang="en-US" sz="1400" b="1">
                      <a:latin typeface="+mn-lt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'走势图 (近5年1张)'!$AX$1:$DA$1</c:f>
              <c:strCache>
                <c:ptCount val="56"/>
                <c:pt idx="0" c:formatCode="@">
                  <c:v>18年1月</c:v>
                </c:pt>
                <c:pt idx="1" c:formatCode="@">
                  <c:v>18年2月</c:v>
                </c:pt>
                <c:pt idx="2" c:formatCode="@">
                  <c:v>18年3月</c:v>
                </c:pt>
                <c:pt idx="3" c:formatCode="@">
                  <c:v>18年4月</c:v>
                </c:pt>
                <c:pt idx="4" c:formatCode="@">
                  <c:v>18年5月</c:v>
                </c:pt>
                <c:pt idx="5" c:formatCode="@">
                  <c:v>18年6月</c:v>
                </c:pt>
                <c:pt idx="6" c:formatCode="@">
                  <c:v>18年7月</c:v>
                </c:pt>
                <c:pt idx="7" c:formatCode="@">
                  <c:v>18年8月</c:v>
                </c:pt>
                <c:pt idx="8" c:formatCode="@">
                  <c:v>18年9月</c:v>
                </c:pt>
                <c:pt idx="9" c:formatCode="@">
                  <c:v>18年10月</c:v>
                </c:pt>
                <c:pt idx="10" c:formatCode="@">
                  <c:v>18年11月</c:v>
                </c:pt>
                <c:pt idx="11" c:formatCode="@">
                  <c:v>18年12月</c:v>
                </c:pt>
                <c:pt idx="12" c:formatCode="@">
                  <c:v>19年1月</c:v>
                </c:pt>
                <c:pt idx="13" c:formatCode="@">
                  <c:v>19年2月</c:v>
                </c:pt>
                <c:pt idx="14" c:formatCode="@">
                  <c:v>19年3月</c:v>
                </c:pt>
                <c:pt idx="15" c:formatCode="@">
                  <c:v>19年4月</c:v>
                </c:pt>
                <c:pt idx="16" c:formatCode="@">
                  <c:v>19年5月</c:v>
                </c:pt>
                <c:pt idx="17" c:formatCode="@">
                  <c:v>19年6月</c:v>
                </c:pt>
                <c:pt idx="18" c:formatCode="@">
                  <c:v>19年7月</c:v>
                </c:pt>
                <c:pt idx="19" c:formatCode="@">
                  <c:v>19年8月</c:v>
                </c:pt>
                <c:pt idx="20" c:formatCode="@">
                  <c:v>19年9月</c:v>
                </c:pt>
                <c:pt idx="21" c:formatCode="@">
                  <c:v>19年10月</c:v>
                </c:pt>
                <c:pt idx="22" c:formatCode="@">
                  <c:v>19年11月</c:v>
                </c:pt>
                <c:pt idx="23" c:formatCode="@">
                  <c:v>19年12月</c:v>
                </c:pt>
                <c:pt idx="24" c:formatCode="@">
                  <c:v>20年1月</c:v>
                </c:pt>
                <c:pt idx="25" c:formatCode="@">
                  <c:v>20年2月</c:v>
                </c:pt>
                <c:pt idx="26" c:formatCode="@">
                  <c:v>20年3月</c:v>
                </c:pt>
                <c:pt idx="27" c:formatCode="@">
                  <c:v>20年4月</c:v>
                </c:pt>
                <c:pt idx="28" c:formatCode="@">
                  <c:v>20年5月</c:v>
                </c:pt>
                <c:pt idx="29" c:formatCode="@">
                  <c:v>20年6月</c:v>
                </c:pt>
                <c:pt idx="30" c:formatCode="@">
                  <c:v>20年7月</c:v>
                </c:pt>
                <c:pt idx="31" c:formatCode="@">
                  <c:v>20年8月</c:v>
                </c:pt>
                <c:pt idx="32" c:formatCode="@">
                  <c:v>20年9月</c:v>
                </c:pt>
                <c:pt idx="33" c:formatCode="@">
                  <c:v>20年10月</c:v>
                </c:pt>
                <c:pt idx="34" c:formatCode="@">
                  <c:v>20年11月</c:v>
                </c:pt>
                <c:pt idx="35" c:formatCode="@">
                  <c:v>20年12月</c:v>
                </c:pt>
                <c:pt idx="36" c:formatCode="@">
                  <c:v>21年1月</c:v>
                </c:pt>
                <c:pt idx="37" c:formatCode="@">
                  <c:v>21年2月</c:v>
                </c:pt>
                <c:pt idx="38" c:formatCode="@">
                  <c:v>21年3月</c:v>
                </c:pt>
                <c:pt idx="39" c:formatCode="@">
                  <c:v>21年4月</c:v>
                </c:pt>
                <c:pt idx="40" c:formatCode="@">
                  <c:v>21年5月</c:v>
                </c:pt>
                <c:pt idx="41" c:formatCode="@">
                  <c:v>21年6月</c:v>
                </c:pt>
                <c:pt idx="42" c:formatCode="@">
                  <c:v>21年7月</c:v>
                </c:pt>
                <c:pt idx="43" c:formatCode="@">
                  <c:v>21年8月</c:v>
                </c:pt>
                <c:pt idx="44" c:formatCode="@">
                  <c:v>21年9月</c:v>
                </c:pt>
                <c:pt idx="45" c:formatCode="@">
                  <c:v>21年10月</c:v>
                </c:pt>
                <c:pt idx="46" c:formatCode="@">
                  <c:v>21年11月</c:v>
                </c:pt>
                <c:pt idx="47" c:formatCode="@">
                  <c:v>21年12月</c:v>
                </c:pt>
                <c:pt idx="48" c:formatCode="@">
                  <c:v>22年1月</c:v>
                </c:pt>
                <c:pt idx="49" c:formatCode="@">
                  <c:v>22年2月</c:v>
                </c:pt>
                <c:pt idx="50" c:formatCode="@">
                  <c:v>22年3月</c:v>
                </c:pt>
                <c:pt idx="51" c:formatCode="@">
                  <c:v>22年4月</c:v>
                </c:pt>
                <c:pt idx="52" c:formatCode="@">
                  <c:v>22年5月</c:v>
                </c:pt>
                <c:pt idx="53" c:formatCode="@">
                  <c:v>22年6月</c:v>
                </c:pt>
                <c:pt idx="54" c:formatCode="@">
                  <c:v>22年7月</c:v>
                </c:pt>
                <c:pt idx="55" c:formatCode="@">
                  <c:v>22年8月</c:v>
                </c:pt>
              </c:strCache>
            </c:strRef>
          </c:cat>
          <c:val>
            <c:numRef>
              <c:f>'走势图 (近5年1张)'!$AX$13:$DA$13</c:f>
              <c:numCache>
                <c:formatCode>General</c:formatCode>
                <c:ptCount val="56"/>
                <c:pt idx="0">
                  <c:v>964</c:v>
                </c:pt>
                <c:pt idx="1">
                  <c:v>984</c:v>
                </c:pt>
                <c:pt idx="2">
                  <c:v>984</c:v>
                </c:pt>
                <c:pt idx="3">
                  <c:v>964</c:v>
                </c:pt>
                <c:pt idx="4">
                  <c:v>914</c:v>
                </c:pt>
                <c:pt idx="5">
                  <c:v>911</c:v>
                </c:pt>
                <c:pt idx="6">
                  <c:v>911</c:v>
                </c:pt>
                <c:pt idx="7">
                  <c:v>901</c:v>
                </c:pt>
                <c:pt idx="8">
                  <c:v>896</c:v>
                </c:pt>
                <c:pt idx="9">
                  <c:v>974</c:v>
                </c:pt>
                <c:pt idx="10">
                  <c:v>974</c:v>
                </c:pt>
                <c:pt idx="11">
                  <c:v>967</c:v>
                </c:pt>
                <c:pt idx="12">
                  <c:v>917</c:v>
                </c:pt>
                <c:pt idx="13">
                  <c:v>917</c:v>
                </c:pt>
                <c:pt idx="14">
                  <c:v>903.67</c:v>
                </c:pt>
                <c:pt idx="15">
                  <c:v>886</c:v>
                </c:pt>
                <c:pt idx="16">
                  <c:v>876</c:v>
                </c:pt>
                <c:pt idx="17">
                  <c:v>866</c:v>
                </c:pt>
                <c:pt idx="18" c:formatCode="0">
                  <c:v>839</c:v>
                </c:pt>
                <c:pt idx="19" c:formatCode="0">
                  <c:v>802.53</c:v>
                </c:pt>
                <c:pt idx="20" c:formatCode="0">
                  <c:v>802.53</c:v>
                </c:pt>
                <c:pt idx="21" c:formatCode="0">
                  <c:v>802.53</c:v>
                </c:pt>
                <c:pt idx="22" c:formatCode="0">
                  <c:v>752.53</c:v>
                </c:pt>
                <c:pt idx="23" c:formatCode="0">
                  <c:v>752.5</c:v>
                </c:pt>
                <c:pt idx="24" c:formatCode="0">
                  <c:v>752.33</c:v>
                </c:pt>
                <c:pt idx="25" c:formatCode="0">
                  <c:v>772.33</c:v>
                </c:pt>
                <c:pt idx="26" c:formatCode="0">
                  <c:v>772.33</c:v>
                </c:pt>
                <c:pt idx="27" c:formatCode="0">
                  <c:v>732.33</c:v>
                </c:pt>
                <c:pt idx="28" c:formatCode="0">
                  <c:v>702.33</c:v>
                </c:pt>
                <c:pt idx="29" c:formatCode="0">
                  <c:v>755.67</c:v>
                </c:pt>
                <c:pt idx="30" c:formatCode="0">
                  <c:v>755.67</c:v>
                </c:pt>
                <c:pt idx="31" c:formatCode="0">
                  <c:v>692.666666666667</c:v>
                </c:pt>
                <c:pt idx="32" c:formatCode="0">
                  <c:v>692.666666666667</c:v>
                </c:pt>
                <c:pt idx="33" c:formatCode="0">
                  <c:v>769.333333333333</c:v>
                </c:pt>
                <c:pt idx="34" c:formatCode="0">
                  <c:v>823</c:v>
                </c:pt>
                <c:pt idx="35" c:formatCode="0">
                  <c:v>902.666666666667</c:v>
                </c:pt>
                <c:pt idx="36" c:formatCode="0">
                  <c:v>1003</c:v>
                </c:pt>
                <c:pt idx="37" c:formatCode="0">
                  <c:v>1003</c:v>
                </c:pt>
                <c:pt idx="38" c:formatCode="0">
                  <c:v>859</c:v>
                </c:pt>
                <c:pt idx="39" c:formatCode="0">
                  <c:v>956</c:v>
                </c:pt>
                <c:pt idx="40" c:formatCode="0">
                  <c:v>1125</c:v>
                </c:pt>
                <c:pt idx="41" c:formatCode="0">
                  <c:v>1125</c:v>
                </c:pt>
                <c:pt idx="42" c:formatCode="0">
                  <c:v>1203</c:v>
                </c:pt>
                <c:pt idx="43" c:formatCode="0">
                  <c:v>1388</c:v>
                </c:pt>
                <c:pt idx="44" c:formatCode="0">
                  <c:v>1588</c:v>
                </c:pt>
                <c:pt idx="45" c:formatCode="0">
                  <c:v>2309</c:v>
                </c:pt>
                <c:pt idx="46" c:formatCode="0">
                  <c:v>1489</c:v>
                </c:pt>
                <c:pt idx="47" c:formatCode="0">
                  <c:v>1416</c:v>
                </c:pt>
                <c:pt idx="48" c:formatCode="0">
                  <c:v>1564.761568</c:v>
                </c:pt>
                <c:pt idx="49" c:formatCode="0">
                  <c:v>1707.354545</c:v>
                </c:pt>
                <c:pt idx="50" c:formatCode="0">
                  <c:v>1531.446555</c:v>
                </c:pt>
                <c:pt idx="51" c:formatCode="0">
                  <c:v>1631.932225</c:v>
                </c:pt>
                <c:pt idx="52" c:formatCode="0">
                  <c:v>1574.097596</c:v>
                </c:pt>
                <c:pt idx="53" c:formatCode="0">
                  <c:v>1554.386728</c:v>
                </c:pt>
                <c:pt idx="54" c:formatCode="0">
                  <c:v>1491</c:v>
                </c:pt>
                <c:pt idx="55" c:formatCode="0">
                  <c:v>1443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19521280"/>
        <c:axId val="1719525024"/>
      </c:lineChart>
      <c:dateAx>
        <c:axId val="17195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5024"/>
        <c:crosses val="autoZero"/>
        <c:auto val="0"/>
        <c:lblAlgn val="ctr"/>
        <c:lblOffset val="100"/>
        <c:baseTimeUnit val="days"/>
      </c:dateAx>
      <c:valAx>
        <c:axId val="1719525024"/>
        <c:scaling>
          <c:orientation val="minMax"/>
          <c:max val="5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</a:p>
        </c:txPr>
        <c:crossAx val="1719521280"/>
        <c:crossesAt val="3"/>
        <c:crossBetween val="between"/>
        <c:majorUnit val="8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881590319792567"/>
          <c:y val="0.090122895962791"/>
          <c:w val="0.803802938634399"/>
          <c:h val="0.0629166012368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ca278a-2814-4640-85f6-aab6bf28ad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50800</xdr:colOff>
      <xdr:row>0</xdr:row>
      <xdr:rowOff>76200</xdr:rowOff>
    </xdr:from>
    <xdr:to>
      <xdr:col>30</xdr:col>
      <xdr:colOff>566420</xdr:colOff>
      <xdr:row>39</xdr:row>
      <xdr:rowOff>38100</xdr:rowOff>
    </xdr:to>
    <xdr:graphicFrame>
      <xdr:nvGraphicFramePr>
        <xdr:cNvPr id="2" name="图表 1"/>
        <xdr:cNvGraphicFramePr/>
      </xdr:nvGraphicFramePr>
      <xdr:xfrm>
        <a:off x="8289925" y="76200"/>
        <a:ext cx="10659745" cy="776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40</xdr:row>
      <xdr:rowOff>140970</xdr:rowOff>
    </xdr:from>
    <xdr:to>
      <xdr:col>31</xdr:col>
      <xdr:colOff>38100</xdr:colOff>
      <xdr:row>82</xdr:row>
      <xdr:rowOff>83820</xdr:rowOff>
    </xdr:to>
    <xdr:graphicFrame>
      <xdr:nvGraphicFramePr>
        <xdr:cNvPr id="3" name="图表 2"/>
        <xdr:cNvGraphicFramePr/>
      </xdr:nvGraphicFramePr>
      <xdr:xfrm>
        <a:off x="8239125" y="8124825"/>
        <a:ext cx="10858500" cy="754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342900</xdr:colOff>
      <xdr:row>85</xdr:row>
      <xdr:rowOff>22860</xdr:rowOff>
    </xdr:from>
    <xdr:to>
      <xdr:col>30</xdr:col>
      <xdr:colOff>449580</xdr:colOff>
      <xdr:row>128</xdr:row>
      <xdr:rowOff>76200</xdr:rowOff>
    </xdr:to>
    <xdr:graphicFrame>
      <xdr:nvGraphicFramePr>
        <xdr:cNvPr id="4" name="图表 3"/>
        <xdr:cNvGraphicFramePr/>
      </xdr:nvGraphicFramePr>
      <xdr:xfrm>
        <a:off x="7905750" y="16150590"/>
        <a:ext cx="10927080" cy="7835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591820</xdr:colOff>
      <xdr:row>0</xdr:row>
      <xdr:rowOff>121920</xdr:rowOff>
    </xdr:from>
    <xdr:to>
      <xdr:col>30</xdr:col>
      <xdr:colOff>497840</xdr:colOff>
      <xdr:row>39</xdr:row>
      <xdr:rowOff>83820</xdr:rowOff>
    </xdr:to>
    <xdr:graphicFrame>
      <xdr:nvGraphicFramePr>
        <xdr:cNvPr id="2" name="图表 1"/>
        <xdr:cNvGraphicFramePr/>
      </xdr:nvGraphicFramePr>
      <xdr:xfrm>
        <a:off x="8154670" y="121920"/>
        <a:ext cx="10726420" cy="776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40</xdr:row>
      <xdr:rowOff>140970</xdr:rowOff>
    </xdr:from>
    <xdr:to>
      <xdr:col>31</xdr:col>
      <xdr:colOff>38100</xdr:colOff>
      <xdr:row>82</xdr:row>
      <xdr:rowOff>83820</xdr:rowOff>
    </xdr:to>
    <xdr:graphicFrame>
      <xdr:nvGraphicFramePr>
        <xdr:cNvPr id="3" name="图表 2"/>
        <xdr:cNvGraphicFramePr/>
      </xdr:nvGraphicFramePr>
      <xdr:xfrm>
        <a:off x="8239125" y="8124825"/>
        <a:ext cx="10858500" cy="754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342900</xdr:colOff>
      <xdr:row>85</xdr:row>
      <xdr:rowOff>22860</xdr:rowOff>
    </xdr:from>
    <xdr:to>
      <xdr:col>30</xdr:col>
      <xdr:colOff>449580</xdr:colOff>
      <xdr:row>128</xdr:row>
      <xdr:rowOff>76200</xdr:rowOff>
    </xdr:to>
    <xdr:graphicFrame>
      <xdr:nvGraphicFramePr>
        <xdr:cNvPr id="4" name="图表 3"/>
        <xdr:cNvGraphicFramePr/>
      </xdr:nvGraphicFramePr>
      <xdr:xfrm>
        <a:off x="7905750" y="16150590"/>
        <a:ext cx="10927080" cy="7835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70</xdr:col>
      <xdr:colOff>472440</xdr:colOff>
      <xdr:row>19</xdr:row>
      <xdr:rowOff>45720</xdr:rowOff>
    </xdr:from>
    <xdr:to>
      <xdr:col>83</xdr:col>
      <xdr:colOff>90170</xdr:colOff>
      <xdr:row>35</xdr:row>
      <xdr:rowOff>19050</xdr:rowOff>
    </xdr:to>
    <xdr:graphicFrame>
      <xdr:nvGraphicFramePr>
        <xdr:cNvPr id="2" name="图表 1"/>
        <xdr:cNvGraphicFramePr/>
      </xdr:nvGraphicFramePr>
      <xdr:xfrm>
        <a:off x="18227040" y="2599055"/>
        <a:ext cx="8533130" cy="416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83</xdr:col>
      <xdr:colOff>259080</xdr:colOff>
      <xdr:row>19</xdr:row>
      <xdr:rowOff>68580</xdr:rowOff>
    </xdr:from>
    <xdr:to>
      <xdr:col>96</xdr:col>
      <xdr:colOff>220980</xdr:colOff>
      <xdr:row>35</xdr:row>
      <xdr:rowOff>41910</xdr:rowOff>
    </xdr:to>
    <xdr:graphicFrame>
      <xdr:nvGraphicFramePr>
        <xdr:cNvPr id="3" name="图表 2"/>
        <xdr:cNvGraphicFramePr/>
      </xdr:nvGraphicFramePr>
      <xdr:xfrm>
        <a:off x="26929080" y="2621915"/>
        <a:ext cx="8867775" cy="416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96</xdr:col>
      <xdr:colOff>297180</xdr:colOff>
      <xdr:row>19</xdr:row>
      <xdr:rowOff>76200</xdr:rowOff>
    </xdr:from>
    <xdr:to>
      <xdr:col>109</xdr:col>
      <xdr:colOff>259080</xdr:colOff>
      <xdr:row>35</xdr:row>
      <xdr:rowOff>49530</xdr:rowOff>
    </xdr:to>
    <xdr:graphicFrame>
      <xdr:nvGraphicFramePr>
        <xdr:cNvPr id="4" name="图表 3"/>
        <xdr:cNvGraphicFramePr/>
      </xdr:nvGraphicFramePr>
      <xdr:xfrm>
        <a:off x="35873055" y="2629535"/>
        <a:ext cx="8877300" cy="416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89</xdr:col>
      <xdr:colOff>22860</xdr:colOff>
      <xdr:row>14</xdr:row>
      <xdr:rowOff>144780</xdr:rowOff>
    </xdr:from>
    <xdr:to>
      <xdr:col>103</xdr:col>
      <xdr:colOff>190500</xdr:colOff>
      <xdr:row>30</xdr:row>
      <xdr:rowOff>118110</xdr:rowOff>
    </xdr:to>
    <xdr:graphicFrame>
      <xdr:nvGraphicFramePr>
        <xdr:cNvPr id="2" name="图表 1"/>
        <xdr:cNvGraphicFramePr/>
      </xdr:nvGraphicFramePr>
      <xdr:xfrm>
        <a:off x="29188410" y="1340485"/>
        <a:ext cx="10835640" cy="416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127000</xdr:colOff>
      <xdr:row>2</xdr:row>
      <xdr:rowOff>31750</xdr:rowOff>
    </xdr:from>
    <xdr:to>
      <xdr:col>29</xdr:col>
      <xdr:colOff>222250</xdr:colOff>
      <xdr:row>29</xdr:row>
      <xdr:rowOff>25400</xdr:rowOff>
    </xdr:to>
    <xdr:graphicFrame>
      <xdr:nvGraphicFramePr>
        <xdr:cNvPr id="2" name="图表 1"/>
        <xdr:cNvGraphicFramePr/>
      </xdr:nvGraphicFramePr>
      <xdr:xfrm>
        <a:off x="6661150" y="465455"/>
        <a:ext cx="10382250" cy="410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22225</xdr:colOff>
      <xdr:row>56</xdr:row>
      <xdr:rowOff>38100</xdr:rowOff>
    </xdr:from>
    <xdr:to>
      <xdr:col>26</xdr:col>
      <xdr:colOff>677545</xdr:colOff>
      <xdr:row>84</xdr:row>
      <xdr:rowOff>85090</xdr:rowOff>
    </xdr:to>
    <xdr:sp>
      <xdr:nvSpPr>
        <xdr:cNvPr id="3" name="矩形: 圆角 2"/>
        <xdr:cNvSpPr/>
      </xdr:nvSpPr>
      <xdr:spPr>
        <a:xfrm>
          <a:off x="5870575" y="8701405"/>
          <a:ext cx="9570720" cy="431419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从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2014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-2020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月，对磷酸二铵、尿素、氯化铵相关分析中可以看出</a:t>
          </a:r>
          <a:endParaRPr lang="zh-CN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从整个大周期看，磷酸二铵、尿素、氯化铵价格走势具有较强的正相关性。</a:t>
          </a:r>
          <a:endParaRPr lang="zh-CN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2014-2020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年期间，以上产品价格走势均出现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个大波段。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二铵：（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 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2534-2731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（上涨，为期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2731-1900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（下跌，为期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1900-2745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（上涨，为期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2745-2061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（下跌，为期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尿素：（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 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1235-1551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（上涨，为期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1551-906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（下跌，为期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906-1970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（上涨，为期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1970-1484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（下跌，为期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氯化铵：（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 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254-586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（上涨，为期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586-356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（下跌，为期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356-719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（上涨，为期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719-439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（下跌，为期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月）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分年度分析，对春季市场（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2-4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月发货价格），秋季市场（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9-10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月发货价格）与前期价格进行对比。</a:t>
          </a:r>
          <a:endParaRPr lang="zh-CN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春季市场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14-19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年，出现三年上涨分别是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年；三年下跌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秋季市场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14-19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年，出现三年上涨分别是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年；三年下跌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85724</xdr:colOff>
      <xdr:row>12</xdr:row>
      <xdr:rowOff>76200</xdr:rowOff>
    </xdr:from>
    <xdr:to>
      <xdr:col>11</xdr:col>
      <xdr:colOff>6350</xdr:colOff>
      <xdr:row>28</xdr:row>
      <xdr:rowOff>1352550</xdr:rowOff>
    </xdr:to>
    <xdr:graphicFrame>
      <xdr:nvGraphicFramePr>
        <xdr:cNvPr id="2" name="图表 1"/>
        <xdr:cNvGraphicFramePr/>
      </xdr:nvGraphicFramePr>
      <xdr:xfrm>
        <a:off x="85090" y="2590800"/>
        <a:ext cx="17742535" cy="4167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12</xdr:row>
      <xdr:rowOff>76200</xdr:rowOff>
    </xdr:from>
    <xdr:to>
      <xdr:col>23</xdr:col>
      <xdr:colOff>647700</xdr:colOff>
      <xdr:row>28</xdr:row>
      <xdr:rowOff>1352550</xdr:rowOff>
    </xdr:to>
    <xdr:graphicFrame>
      <xdr:nvGraphicFramePr>
        <xdr:cNvPr id="4" name="图表 3"/>
        <xdr:cNvGraphicFramePr/>
      </xdr:nvGraphicFramePr>
      <xdr:xfrm>
        <a:off x="17859375" y="2590800"/>
        <a:ext cx="8839200" cy="4167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99060</xdr:colOff>
      <xdr:row>6</xdr:row>
      <xdr:rowOff>60960</xdr:rowOff>
    </xdr:from>
    <xdr:to>
      <xdr:col>56</xdr:col>
      <xdr:colOff>640080</xdr:colOff>
      <xdr:row>36</xdr:row>
      <xdr:rowOff>152400</xdr:rowOff>
    </xdr:to>
    <xdr:graphicFrame>
      <xdr:nvGraphicFramePr>
        <xdr:cNvPr id="2" name="图表 1"/>
        <xdr:cNvGraphicFramePr/>
      </xdr:nvGraphicFramePr>
      <xdr:xfrm>
        <a:off x="99060" y="1613535"/>
        <a:ext cx="9713595" cy="552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&#25991;&#20214;\ppt&#25968;&#25454;\&#27604;&#20215;&#22522;&#3078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&#37319;&#36141;&#31995;&#32479;&#28192;&#36947;&#26085;&#25253;&#34920;20220131&#65288;&#26032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&#37319;&#36141;&#31995;&#32479;&#28192;&#36947;&#26085;&#25253;&#34920;20220228&#65288;&#26032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&#37319;&#36141;&#31995;&#32479;&#28192;&#36947;&#26085;&#25253;&#34920;20220331&#65288;&#26032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&#37319;&#36141;&#31995;&#32479;&#28192;&#36947;&#26085;&#25253;&#34920;20220430&#65288;&#26032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ppt&#25968;&#25454;\&#27604;&#20215;&#22522;&#30784;&#3492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&#37319;&#36141;&#31995;&#32479;&#28192;&#36947;&#26085;&#25253;&#34920;20220531&#65288;&#26032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5991;&#20214;\&#37319;&#36141;&#31995;&#32479;&#28192;&#36947;&#26085;&#25253;&#34920;20220630&#65288;&#26032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含税"/>
      <sheetName val="硫磺价格对比"/>
      <sheetName val="电石出厂价对比"/>
      <sheetName val="兰炭及北煤比价基础表"/>
      <sheetName val="Sheet2"/>
      <sheetName val="Sheet5"/>
      <sheetName val="Sheet1"/>
      <sheetName val="Sheet7"/>
    </sheetNames>
    <sheetDataSet>
      <sheetData sheetId="0" refreshError="1"/>
      <sheetData sheetId="1" refreshError="1">
        <row r="116">
          <cell r="B116">
            <v>1092.75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原料煤"/>
      <sheetName val="燃料煤"/>
      <sheetName val="褐煤、氨煤、烟煤"/>
      <sheetName val="焦粒、兰炭"/>
      <sheetName val="电石"/>
      <sheetName val="磷矿"/>
      <sheetName val="石灰、石灰石、工业盐"/>
      <sheetName val="电极糊、硫磺、氯化钾"/>
      <sheetName val="新疆宜化"/>
      <sheetName val="库存简表"/>
      <sheetName val="链接"/>
      <sheetName val="年度预算"/>
      <sheetName val="预算轧差-公司"/>
      <sheetName val="预算轧差-品种"/>
      <sheetName val="轧差PPT"/>
      <sheetName val="联和采购"/>
      <sheetName val="Sheet1"/>
    </sheetNames>
    <sheetDataSet>
      <sheetData sheetId="0">
        <row r="10">
          <cell r="AF10">
            <v>1564.761568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原料煤"/>
      <sheetName val="燃料煤"/>
      <sheetName val="褐煤、氨煤、烟煤"/>
      <sheetName val="焦粒、兰炭"/>
      <sheetName val="电石"/>
      <sheetName val="磷矿"/>
      <sheetName val="石灰、石灰石、工业盐"/>
      <sheetName val="电极糊、硫磺、氯化钾"/>
      <sheetName val="新疆宜化"/>
      <sheetName val="库存简表"/>
      <sheetName val="链接"/>
      <sheetName val="年度预算"/>
      <sheetName val="预算轧差-公司"/>
      <sheetName val="预算轧差-品种"/>
      <sheetName val="轧差PPT"/>
      <sheetName val="联和采购"/>
      <sheetName val="Sheet1"/>
    </sheetNames>
    <sheetDataSet>
      <sheetData sheetId="0">
        <row r="10">
          <cell r="AF10">
            <v>1707.354545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原料煤"/>
      <sheetName val="燃料煤"/>
      <sheetName val="褐煤、氨煤、烟煤"/>
      <sheetName val="焦粒、兰炭"/>
      <sheetName val="电石"/>
      <sheetName val="磷矿"/>
      <sheetName val="石灰、石灰石、工业盐"/>
      <sheetName val="电极糊、硫磺、氯化钾"/>
      <sheetName val="新疆宜化"/>
      <sheetName val="库存简表"/>
      <sheetName val="链接"/>
      <sheetName val="年度预算"/>
      <sheetName val="预算轧差-公司"/>
      <sheetName val="预算轧差-品种"/>
      <sheetName val="轧差PPT"/>
      <sheetName val="联和采购"/>
      <sheetName val="Sheet1"/>
    </sheetNames>
    <sheetDataSet>
      <sheetData sheetId="0">
        <row r="10">
          <cell r="AF10">
            <v>1531.446555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原料煤"/>
      <sheetName val="燃料煤"/>
      <sheetName val="褐煤、氨煤、烟煤"/>
      <sheetName val="焦粒、兰炭"/>
      <sheetName val="电石"/>
      <sheetName val="磷矿"/>
      <sheetName val="石灰、石灰石、工业盐"/>
      <sheetName val="电极糊、硫磺、氯化钾"/>
      <sheetName val="新疆宜化"/>
      <sheetName val="库存简表"/>
      <sheetName val="链接"/>
      <sheetName val="年度预算"/>
      <sheetName val="预算轧差-公司"/>
      <sheetName val="预算轧差-品种"/>
      <sheetName val="轧差PPT"/>
      <sheetName val="联和采购"/>
      <sheetName val="Sheet1"/>
    </sheetNames>
    <sheetDataSet>
      <sheetData sheetId="0">
        <row r="10">
          <cell r="AF10">
            <v>1631.932225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含税"/>
      <sheetName val="硫磺价格对比"/>
      <sheetName val="电石出厂价对比"/>
      <sheetName val="兰炭及北煤比价基础表"/>
      <sheetName val="Sheet2"/>
      <sheetName val="Sheet5"/>
      <sheetName val="Sheet1"/>
      <sheetName val="Sheet7"/>
    </sheetNames>
    <sheetDataSet>
      <sheetData sheetId="0"/>
      <sheetData sheetId="1">
        <row r="67">
          <cell r="X67">
            <v>920.47619047619</v>
          </cell>
        </row>
        <row r="153">
          <cell r="H153">
            <v>3510.47619047619</v>
          </cell>
        </row>
        <row r="153">
          <cell r="J153">
            <v>4034</v>
          </cell>
        </row>
        <row r="153">
          <cell r="L153">
            <v>3538.09523809524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原料煤"/>
      <sheetName val="燃料煤"/>
      <sheetName val="褐煤、氨煤、烟煤"/>
      <sheetName val="焦粒、兰炭"/>
      <sheetName val="电石"/>
      <sheetName val="磷矿"/>
      <sheetName val="石灰、石灰石、工业盐"/>
      <sheetName val="电极糊、硫磺、氯化钾"/>
      <sheetName val="新疆宜化"/>
      <sheetName val="库存简表"/>
      <sheetName val="链接"/>
      <sheetName val="年度预算"/>
      <sheetName val="预算轧差-公司"/>
      <sheetName val="预算轧差-品种"/>
      <sheetName val="轧差PPT"/>
      <sheetName val="联和采购"/>
      <sheetName val="Sheet1"/>
    </sheetNames>
    <sheetDataSet>
      <sheetData sheetId="0">
        <row r="10">
          <cell r="AF10">
            <v>1574.097596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原料煤"/>
      <sheetName val="燃料煤"/>
      <sheetName val="褐煤、氨煤、烟煤"/>
      <sheetName val="焦粒、兰炭"/>
      <sheetName val="电石"/>
      <sheetName val="磷矿"/>
      <sheetName val="石灰、石灰石、工业盐"/>
      <sheetName val="电极糊、硫磺、氯化钾"/>
      <sheetName val="新疆宜化"/>
      <sheetName val="库存简表"/>
      <sheetName val="链接"/>
      <sheetName val="年度预算"/>
      <sheetName val="预算轧差-公司"/>
      <sheetName val="预算轧差-品种"/>
      <sheetName val="轧差PPT"/>
      <sheetName val="联和采购"/>
      <sheetName val="Sheet1"/>
    </sheetNames>
    <sheetDataSet>
      <sheetData sheetId="0">
        <row r="10">
          <cell r="AF10">
            <v>1554.386728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BF20"/>
  <sheetViews>
    <sheetView tabSelected="1" workbookViewId="0">
      <selection activeCell="A3" sqref="A3:A8"/>
    </sheetView>
  </sheetViews>
  <sheetFormatPr defaultColWidth="8.875" defaultRowHeight="14.25"/>
  <cols>
    <col min="1" max="1" width="14.875" style="105" customWidth="1"/>
    <col min="2" max="2" width="6.75" style="105" customWidth="1"/>
    <col min="3" max="3" width="6.75" style="106" customWidth="1"/>
    <col min="4" max="4" width="8.875" style="105" hidden="1" customWidth="1"/>
    <col min="5" max="5" width="6.75" style="106" customWidth="1"/>
    <col min="6" max="7" width="8.875" style="105" hidden="1" customWidth="1"/>
    <col min="8" max="8" width="6.75" style="106" customWidth="1"/>
    <col min="9" max="10" width="8.875" style="105" hidden="1" customWidth="1"/>
    <col min="11" max="11" width="6.75" style="106" customWidth="1"/>
    <col min="12" max="13" width="8.875" style="105" hidden="1" customWidth="1"/>
    <col min="14" max="14" width="6.75" style="106" customWidth="1"/>
    <col min="15" max="16" width="8.875" style="105" hidden="1" customWidth="1"/>
    <col min="17" max="17" width="6.75" style="106" customWidth="1"/>
    <col min="18" max="19" width="8.875" style="105" hidden="1" customWidth="1"/>
    <col min="20" max="20" width="6.75" style="106" customWidth="1"/>
    <col min="21" max="22" width="8.875" style="105" hidden="1" customWidth="1"/>
    <col min="23" max="23" width="6.75" style="106" customWidth="1"/>
    <col min="24" max="25" width="8.875" style="105" hidden="1" customWidth="1"/>
    <col min="26" max="26" width="6.75" style="106" customWidth="1"/>
    <col min="27" max="28" width="8.875" style="105" hidden="1" customWidth="1"/>
    <col min="29" max="29" width="6.75" style="106" customWidth="1"/>
    <col min="30" max="31" width="8.875" style="105" hidden="1" customWidth="1"/>
    <col min="32" max="32" width="6.75" style="106" customWidth="1"/>
    <col min="33" max="34" width="8.875" style="105" hidden="1" customWidth="1"/>
    <col min="35" max="35" width="6.75" style="106" customWidth="1"/>
    <col min="36" max="37" width="8.875" style="105" hidden="1" customWidth="1"/>
    <col min="38" max="38" width="6.75" style="106" customWidth="1"/>
    <col min="39" max="40" width="8.875" style="105" hidden="1" customWidth="1"/>
    <col min="41" max="41" width="6.75" style="106" customWidth="1"/>
    <col min="42" max="43" width="8.875" style="105" hidden="1" customWidth="1"/>
    <col min="44" max="44" width="6.75" style="106" customWidth="1"/>
    <col min="45" max="46" width="8.875" style="105" hidden="1" customWidth="1"/>
    <col min="47" max="47" width="6.75" style="106" customWidth="1"/>
    <col min="48" max="49" width="8.875" style="105" hidden="1" customWidth="1"/>
    <col min="50" max="50" width="6.75" style="106" customWidth="1"/>
    <col min="51" max="52" width="8.875" style="105" hidden="1" customWidth="1"/>
    <col min="53" max="53" width="6.75" style="106" customWidth="1"/>
    <col min="54" max="55" width="8.875" style="105" hidden="1" customWidth="1"/>
    <col min="56" max="56" width="6.75" style="106" customWidth="1"/>
    <col min="57" max="57" width="8.875" style="105" hidden="1" customWidth="1"/>
    <col min="58" max="58" width="6.75" style="106" customWidth="1"/>
    <col min="59" max="16384" width="8.875" style="105"/>
  </cols>
  <sheetData>
    <row r="1" ht="28.15" customHeight="1" spans="1:58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</row>
    <row r="2" ht="150.6" customHeight="1" spans="1:58">
      <c r="A2" s="164" t="s">
        <v>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</row>
    <row r="3" s="104" customFormat="1" ht="30.6" customHeight="1" spans="1:58">
      <c r="A3" s="166" t="s">
        <v>2</v>
      </c>
      <c r="B3" s="167" t="s">
        <v>3</v>
      </c>
      <c r="C3" s="180" t="s">
        <v>4</v>
      </c>
      <c r="D3" s="181" t="s">
        <v>5</v>
      </c>
      <c r="E3" s="180" t="s">
        <v>6</v>
      </c>
      <c r="F3" s="181" t="s">
        <v>7</v>
      </c>
      <c r="G3" s="181" t="s">
        <v>8</v>
      </c>
      <c r="H3" s="180" t="s">
        <v>9</v>
      </c>
      <c r="I3" s="181" t="s">
        <v>10</v>
      </c>
      <c r="J3" s="181" t="s">
        <v>11</v>
      </c>
      <c r="K3" s="180" t="s">
        <v>12</v>
      </c>
      <c r="L3" s="181" t="s">
        <v>13</v>
      </c>
      <c r="M3" s="181" t="s">
        <v>14</v>
      </c>
      <c r="N3" s="180" t="s">
        <v>15</v>
      </c>
      <c r="O3" s="181" t="s">
        <v>16</v>
      </c>
      <c r="P3" s="181" t="s">
        <v>17</v>
      </c>
      <c r="Q3" s="180" t="s">
        <v>18</v>
      </c>
      <c r="R3" s="181" t="s">
        <v>19</v>
      </c>
      <c r="S3" s="181" t="s">
        <v>20</v>
      </c>
      <c r="T3" s="180" t="s">
        <v>21</v>
      </c>
      <c r="U3" s="181" t="s">
        <v>22</v>
      </c>
      <c r="V3" s="181" t="s">
        <v>23</v>
      </c>
      <c r="W3" s="180" t="s">
        <v>24</v>
      </c>
      <c r="X3" s="181" t="s">
        <v>25</v>
      </c>
      <c r="Y3" s="181" t="s">
        <v>26</v>
      </c>
      <c r="Z3" s="180" t="s">
        <v>27</v>
      </c>
      <c r="AA3" s="181" t="s">
        <v>28</v>
      </c>
      <c r="AB3" s="181" t="s">
        <v>29</v>
      </c>
      <c r="AC3" s="180" t="s">
        <v>30</v>
      </c>
      <c r="AD3" s="181" t="s">
        <v>31</v>
      </c>
      <c r="AE3" s="181" t="s">
        <v>32</v>
      </c>
      <c r="AF3" s="180" t="s">
        <v>33</v>
      </c>
      <c r="AG3" s="181" t="s">
        <v>34</v>
      </c>
      <c r="AH3" s="181" t="s">
        <v>35</v>
      </c>
      <c r="AI3" s="180" t="s">
        <v>36</v>
      </c>
      <c r="AJ3" s="181" t="s">
        <v>37</v>
      </c>
      <c r="AK3" s="181" t="s">
        <v>38</v>
      </c>
      <c r="AL3" s="180" t="s">
        <v>39</v>
      </c>
      <c r="AM3" s="181" t="s">
        <v>40</v>
      </c>
      <c r="AN3" s="181" t="s">
        <v>41</v>
      </c>
      <c r="AO3" s="180" t="s">
        <v>42</v>
      </c>
      <c r="AP3" s="181" t="s">
        <v>43</v>
      </c>
      <c r="AQ3" s="181" t="s">
        <v>44</v>
      </c>
      <c r="AR3" s="180" t="s">
        <v>45</v>
      </c>
      <c r="AS3" s="181" t="s">
        <v>46</v>
      </c>
      <c r="AT3" s="181" t="s">
        <v>47</v>
      </c>
      <c r="AU3" s="180" t="s">
        <v>48</v>
      </c>
      <c r="AV3" s="181" t="s">
        <v>49</v>
      </c>
      <c r="AW3" s="181" t="s">
        <v>50</v>
      </c>
      <c r="AX3" s="180" t="s">
        <v>51</v>
      </c>
      <c r="AY3" s="181" t="s">
        <v>52</v>
      </c>
      <c r="AZ3" s="181" t="s">
        <v>53</v>
      </c>
      <c r="BA3" s="180" t="s">
        <v>54</v>
      </c>
      <c r="BB3" s="181" t="s">
        <v>55</v>
      </c>
      <c r="BC3" s="181" t="s">
        <v>56</v>
      </c>
      <c r="BD3" s="180" t="s">
        <v>57</v>
      </c>
      <c r="BE3" s="181" t="s">
        <v>58</v>
      </c>
      <c r="BF3" s="180" t="s">
        <v>59</v>
      </c>
    </row>
    <row r="4" s="104" customFormat="1" ht="24" customHeight="1" spans="2:58">
      <c r="B4" s="169">
        <f>AVERAGE(C4:BF4)</f>
        <v>2873.44193194719</v>
      </c>
      <c r="C4" s="170">
        <f>'走势图 (近5年3张)'!AX2</f>
        <v>2501.27733994969</v>
      </c>
      <c r="D4" s="171">
        <f>'走势图 (近5年3张)'!AY2</f>
        <v>2526.66487491209</v>
      </c>
      <c r="E4" s="170">
        <f>'走势图 (近5年3张)'!AZ2</f>
        <v>2597.13533556329</v>
      </c>
      <c r="F4" s="171">
        <f>'走势图 (近5年3张)'!BA2</f>
        <v>2548.62846129866</v>
      </c>
      <c r="G4" s="171">
        <f>'走势图 (近5年3张)'!BB2</f>
        <v>2565.61944262039</v>
      </c>
      <c r="H4" s="170">
        <f>'走势图 (近5年3张)'!BC2</f>
        <v>2575.92776325538</v>
      </c>
      <c r="I4" s="171">
        <f>'走势图 (近5年3张)'!BD2</f>
        <v>2678.8684330737</v>
      </c>
      <c r="J4" s="171">
        <f>'走势图 (近5年3张)'!BE2</f>
        <v>2733.19732199673</v>
      </c>
      <c r="K4" s="170">
        <f>'走势图 (近5年3张)'!BF2</f>
        <v>2745.26197429751</v>
      </c>
      <c r="L4" s="171">
        <f>'走势图 (近5年3张)'!BG2</f>
        <v>2742.63429292559</v>
      </c>
      <c r="M4" s="171">
        <f>'走势图 (近5年3张)'!BH2</f>
        <v>2700</v>
      </c>
      <c r="N4" s="170">
        <f>'走势图 (近5年3张)'!BI2</f>
        <v>2700</v>
      </c>
      <c r="O4" s="171">
        <f>'走势图 (近5年3张)'!BJ2</f>
        <v>2614</v>
      </c>
      <c r="P4" s="171">
        <f>'走势图 (近5年3张)'!BK2</f>
        <v>2625</v>
      </c>
      <c r="Q4" s="170">
        <f>'走势图 (近5年3张)'!BL2</f>
        <v>2520.39182203737</v>
      </c>
      <c r="R4" s="171">
        <f>'走势图 (近5年3张)'!BM2</f>
        <v>2512.13068830001</v>
      </c>
      <c r="S4" s="171">
        <f>'走势图 (近5年3张)'!BN2</f>
        <v>2429.00920272917</v>
      </c>
      <c r="T4" s="170">
        <f>'走势图 (近5年3张)'!BO2</f>
        <v>2407.32579117454</v>
      </c>
      <c r="U4" s="171">
        <f>'走势图 (近5年3张)'!BP2</f>
        <v>2214.27488235976</v>
      </c>
      <c r="V4" s="171">
        <f>'走势图 (近5年3张)'!BQ2</f>
        <v>2214.17373230795</v>
      </c>
      <c r="W4" s="170">
        <f>'走势图 (近5年3张)'!BR2</f>
        <v>2187.03721640631</v>
      </c>
      <c r="X4" s="171">
        <f>'走势图 (近5年3张)'!BS2</f>
        <v>2139.20731562574</v>
      </c>
      <c r="Y4" s="171">
        <f>'走势图 (近5年3张)'!BT2</f>
        <v>2103.83873158189</v>
      </c>
      <c r="Z4" s="170">
        <f>'走势图 (近5年3张)'!BU2</f>
        <v>2061.2315180595</v>
      </c>
      <c r="AA4" s="171">
        <f>'走势图 (近5年3张)'!BV2</f>
        <v>2085.85646546543</v>
      </c>
      <c r="AB4" s="171">
        <f>'走势图 (近5年3张)'!BW2</f>
        <v>1986.99049986103</v>
      </c>
      <c r="AC4" s="170">
        <f>'走势图 (近5年3张)'!BX2</f>
        <v>1986.99049986103</v>
      </c>
      <c r="AD4" s="171">
        <f>'走势图 (近5年3张)'!BY2</f>
        <v>2071.54970299319</v>
      </c>
      <c r="AE4" s="171">
        <f>'走势图 (近5年3张)'!BZ2</f>
        <v>2060.86989188714</v>
      </c>
      <c r="AF4" s="170">
        <f>'走势图 (近5年3张)'!CA2</f>
        <v>2071.91942244851</v>
      </c>
      <c r="AG4" s="171">
        <f>'走势图 (近5年3张)'!CB2</f>
        <v>2098.81534256527</v>
      </c>
      <c r="AH4" s="171">
        <f>'走势图 (近5年3张)'!CC2</f>
        <v>2082.68201288914</v>
      </c>
      <c r="AI4" s="170">
        <f>'走势图 (近5年3张)'!CD2</f>
        <v>2176.04544673005</v>
      </c>
      <c r="AJ4" s="171">
        <f>'走势图 (近5年3张)'!CE2</f>
        <v>2238.37267542502</v>
      </c>
      <c r="AK4" s="171">
        <f>'走势图 (近5年3张)'!CF2</f>
        <v>2273.71492390218</v>
      </c>
      <c r="AL4" s="170">
        <f>'走势图 (近5年3张)'!CG2</f>
        <v>2310.92311103161</v>
      </c>
      <c r="AM4" s="171">
        <f>'走势图 (近5年3张)'!CH2</f>
        <v>2365.12277264168</v>
      </c>
      <c r="AN4" s="171">
        <f>'走势图 (近5年3张)'!CI2</f>
        <v>2471.1848190443</v>
      </c>
      <c r="AO4" s="170">
        <f>'走势图 (近5年3张)'!CJ2</f>
        <v>2727.36764923849</v>
      </c>
      <c r="AP4" s="171">
        <f>'走势图 (近5年3张)'!CK2</f>
        <v>3293.74390943446</v>
      </c>
      <c r="AQ4" s="171">
        <f>'走势图 (近5年3张)'!CL2</f>
        <v>3225.76580175787</v>
      </c>
      <c r="AR4" s="170">
        <f>'走势图 (近5年3张)'!CM2</f>
        <v>3262.17499294506</v>
      </c>
      <c r="AS4" s="171">
        <f>'走势图 (近5年3张)'!CN2</f>
        <v>3373.02009683852</v>
      </c>
      <c r="AT4" s="171">
        <f>'走势图 (近5年3张)'!CO2</f>
        <v>3508.28733466809</v>
      </c>
      <c r="AU4" s="170">
        <f>'走势图 (近5年3张)'!CP2</f>
        <v>3780.28873276843</v>
      </c>
      <c r="AV4" s="171">
        <f>'走势图 (近5年3张)'!CQ2</f>
        <v>3742.63740127969</v>
      </c>
      <c r="AW4" s="171">
        <f>'走势图 (近5年3张)'!CR2</f>
        <v>3536.15387237605</v>
      </c>
      <c r="AX4" s="170">
        <f>'走势图 (近5年3张)'!CS2</f>
        <v>3536.09939443262</v>
      </c>
      <c r="AY4" s="171">
        <f>'走势图 (近5年3张)'!CT2</f>
        <v>3635.94254687299</v>
      </c>
      <c r="AZ4" s="171">
        <f>'走势图 (近5年3张)'!CU2</f>
        <v>3566.13213614648</v>
      </c>
      <c r="BA4" s="170">
        <f>'走势图 (近5年3张)'!CV2</f>
        <v>4271.26059306314</v>
      </c>
      <c r="BB4" s="171">
        <f>'走势图 (近5年3张)'!CW2</f>
        <v>4362</v>
      </c>
      <c r="BC4" s="171">
        <f>'走势图 (近5年3张)'!CX2</f>
        <v>5029</v>
      </c>
      <c r="BD4" s="170">
        <f>'走势图 (近5年3张)'!CY2</f>
        <v>5280</v>
      </c>
      <c r="BE4" s="171">
        <f>'走势图 (近5年3张)'!CZ2</f>
        <v>5705</v>
      </c>
      <c r="BF4" s="170">
        <f>'走势图 (近5年3张)'!DA2</f>
        <v>5154</v>
      </c>
    </row>
    <row r="5" ht="24" customHeight="1" spans="1:58">
      <c r="A5" s="104"/>
      <c r="B5" s="169">
        <f>AVERAGE(C5:BF5)</f>
        <v>1377.62487949088</v>
      </c>
      <c r="C5" s="115">
        <f>'走势图 (近5年3张)'!AX4</f>
        <v>1214</v>
      </c>
      <c r="D5" s="116">
        <f>'走势图 (近5年3张)'!AY4</f>
        <v>1229</v>
      </c>
      <c r="E5" s="115">
        <f>'走势图 (近5年3张)'!AZ4</f>
        <v>1147</v>
      </c>
      <c r="F5" s="116">
        <f>'走势图 (近5年3张)'!BA4</f>
        <v>1089</v>
      </c>
      <c r="G5" s="116">
        <f>'走势图 (近5年3张)'!BB4</f>
        <v>1157</v>
      </c>
      <c r="H5" s="115">
        <f>'走势图 (近5年3张)'!BC4</f>
        <v>1178</v>
      </c>
      <c r="I5" s="116">
        <f>'走势图 (近5年3张)'!BD4</f>
        <v>1223</v>
      </c>
      <c r="J5" s="116">
        <f>'走势图 (近5年3张)'!BE4</f>
        <v>1358</v>
      </c>
      <c r="K5" s="115">
        <f>'走势图 (近5年3张)'!BF4</f>
        <v>1517</v>
      </c>
      <c r="L5" s="116">
        <f>'走势图 (近5年3张)'!BG4</f>
        <v>1489</v>
      </c>
      <c r="M5" s="116">
        <f>'走势图 (近5年3张)'!BH4</f>
        <v>1428</v>
      </c>
      <c r="N5" s="115">
        <f>'走势图 (近5年3张)'!BI4</f>
        <v>1260.5</v>
      </c>
      <c r="O5" s="116">
        <f>'走势图 (近5年3张)'!BJ4</f>
        <v>1163.57</v>
      </c>
      <c r="P5" s="116">
        <f>'走势图 (近5年3张)'!BK4</f>
        <v>1116</v>
      </c>
      <c r="Q5" s="115">
        <f>'走势图 (近5年3张)'!BL4</f>
        <v>1035.9</v>
      </c>
      <c r="R5" s="116">
        <f>'走势图 (近5年3张)'!BM4</f>
        <v>1027.73</v>
      </c>
      <c r="S5" s="116">
        <f>'走势图 (近5年3张)'!BN4</f>
        <v>1002.85714285714</v>
      </c>
      <c r="T5" s="115">
        <f>'走势图 (近5年3张)'!BO4</f>
        <v>993.684210526316</v>
      </c>
      <c r="U5" s="116">
        <f>'走势图 (近5年3张)'!BP4</f>
        <v>871.086956521739</v>
      </c>
      <c r="V5" s="116">
        <f>'走势图 (近5年3张)'!BQ4</f>
        <v>782.272727272727</v>
      </c>
      <c r="W5" s="115">
        <f>'走势图 (近5年3张)'!BR4</f>
        <v>672.6</v>
      </c>
      <c r="X5" s="116">
        <f>'走势图 (近5年3张)'!BS4</f>
        <v>632.368421052632</v>
      </c>
      <c r="Y5" s="116">
        <f>'走势图 (近5年3张)'!BT4</f>
        <v>553.571428571429</v>
      </c>
      <c r="Z5" s="115">
        <f>'走势图 (近5年3张)'!BU4</f>
        <v>569.090909090909</v>
      </c>
      <c r="AA5" s="116">
        <f>'走势图 (近5年3张)'!BV4</f>
        <v>626.5625</v>
      </c>
      <c r="AB5" s="116">
        <f>'走势图 (近5年3张)'!BW4</f>
        <v>641.136363636364</v>
      </c>
      <c r="AC5" s="115">
        <f>'走势图 (近5年3张)'!BX4</f>
        <v>698.863636363636</v>
      </c>
      <c r="AD5" s="116">
        <f>'走势图 (近5年3张)'!BY4</f>
        <v>628.409090909091</v>
      </c>
      <c r="AE5" s="116">
        <f>'走势图 (近5年3张)'!BZ4</f>
        <v>671.052631578947</v>
      </c>
      <c r="AF5" s="115">
        <f>'走势图 (近5年3张)'!CA4</f>
        <v>691.190476190476</v>
      </c>
      <c r="AG5" s="116">
        <f>'走势图 (近5年3张)'!CB4</f>
        <v>660.869565217391</v>
      </c>
      <c r="AH5" s="116">
        <f>'走势图 (近5年3张)'!CC4</f>
        <v>681.904761904762</v>
      </c>
      <c r="AI5" s="115">
        <f>'走势图 (近5年3张)'!CD4</f>
        <v>732.173913043478</v>
      </c>
      <c r="AJ5" s="116">
        <f>'走势图 (近5年3张)'!CE4</f>
        <v>776.176470588235</v>
      </c>
      <c r="AK5" s="116">
        <f>'走势图 (近5年3张)'!CF4</f>
        <v>836.363636363636</v>
      </c>
      <c r="AL5" s="115">
        <f>'走势图 (近5年3张)'!CG4</f>
        <v>950.47619047619</v>
      </c>
      <c r="AM5" s="116">
        <f>'走势图 (近5年3张)'!CH4</f>
        <v>1122.75</v>
      </c>
      <c r="AN5" s="116">
        <f>'走势图 (近5年3张)'!CI4</f>
        <v>1468.23529411765</v>
      </c>
      <c r="AO5" s="115">
        <f>'走势图 (近5年3张)'!CJ4</f>
        <v>1379.5652173913</v>
      </c>
      <c r="AP5" s="116">
        <f>'走势图 (近5年3张)'!CK4</f>
        <v>1450</v>
      </c>
      <c r="AQ5" s="116">
        <f>'走势图 (近5年3张)'!CL4</f>
        <v>1584.47368421053</v>
      </c>
      <c r="AR5" s="115">
        <f>'走势图 (近5年3张)'!CM4</f>
        <v>1627.85714285714</v>
      </c>
      <c r="AS5" s="116">
        <f>'走势图 (近5年3张)'!CN4</f>
        <v>1614.31818181818</v>
      </c>
      <c r="AT5" s="116">
        <f>'走势图 (近5年3张)'!CO4</f>
        <v>1804.09090909091</v>
      </c>
      <c r="AU5" s="115">
        <f>'走势图 (近5年3张)'!CP4</f>
        <v>1938.40909090909</v>
      </c>
      <c r="AV5" s="116">
        <f>'走势图 (近5年3张)'!CQ4</f>
        <v>1967.05882352941</v>
      </c>
      <c r="AW5" s="116">
        <f>'走势图 (近5年3张)'!CR4</f>
        <v>2031.81818181818</v>
      </c>
      <c r="AX5" s="115">
        <f>'走势图 (近5年3张)'!CS4</f>
        <v>2343.04347826087</v>
      </c>
      <c r="AY5" s="116">
        <f>'走势图 (近5年3张)'!CT4</f>
        <v>2491.25</v>
      </c>
      <c r="AZ5" s="116">
        <f>'走势图 (近5年3张)'!CU4</f>
        <v>2599.33333333333</v>
      </c>
      <c r="BA5" s="115">
        <f>'走势图 (近5年3张)'!CV4</f>
        <v>3266</v>
      </c>
      <c r="BB5" s="116">
        <f>'走势图 (近5年3张)'!CW4</f>
        <v>3540.47619047619</v>
      </c>
      <c r="BC5" s="116">
        <f>'走势图 (近5年3张)'!CX4</f>
        <v>4064</v>
      </c>
      <c r="BD5" s="115">
        <f>'走势图 (近5年3张)'!CY4</f>
        <v>3568.09523809524</v>
      </c>
      <c r="BE5" s="116">
        <f>'走势图 (近5年3张)'!CZ4</f>
        <v>1894.28571428571</v>
      </c>
      <c r="BF5" s="115">
        <f>'走势图 (近5年3张)'!DA4</f>
        <v>1086.52173913043</v>
      </c>
    </row>
    <row r="6" ht="24" customHeight="1" spans="1:58">
      <c r="A6" s="104"/>
      <c r="B6" s="172">
        <f>AVERAGE(C6:BF6)</f>
        <v>2.38737983633273</v>
      </c>
      <c r="C6" s="173">
        <f>C4/C5</f>
        <v>2.06036024707553</v>
      </c>
      <c r="D6" s="174">
        <f t="shared" ref="D6:BF6" si="0">D4/D5</f>
        <v>2.05587052474539</v>
      </c>
      <c r="E6" s="173">
        <f t="shared" si="0"/>
        <v>2.26428538410051</v>
      </c>
      <c r="F6" s="174">
        <f t="shared" si="0"/>
        <v>2.34033834829996</v>
      </c>
      <c r="G6" s="174">
        <f t="shared" si="0"/>
        <v>2.21747574988798</v>
      </c>
      <c r="H6" s="173">
        <f t="shared" si="0"/>
        <v>2.18669589410474</v>
      </c>
      <c r="I6" s="174">
        <f t="shared" si="0"/>
        <v>2.19040754952878</v>
      </c>
      <c r="J6" s="174">
        <f t="shared" si="0"/>
        <v>2.01266371281055</v>
      </c>
      <c r="K6" s="173">
        <f t="shared" si="0"/>
        <v>1.8096651116002</v>
      </c>
      <c r="L6" s="174">
        <f t="shared" si="0"/>
        <v>1.84193035119247</v>
      </c>
      <c r="M6" s="174">
        <f t="shared" si="0"/>
        <v>1.89075630252101</v>
      </c>
      <c r="N6" s="173">
        <f t="shared" si="0"/>
        <v>2.1420071400238</v>
      </c>
      <c r="O6" s="174">
        <f t="shared" si="0"/>
        <v>2.24653437266344</v>
      </c>
      <c r="P6" s="174">
        <f t="shared" si="0"/>
        <v>2.35215053763441</v>
      </c>
      <c r="Q6" s="173">
        <f t="shared" si="0"/>
        <v>2.43304548898288</v>
      </c>
      <c r="R6" s="174">
        <f t="shared" si="0"/>
        <v>2.44434889348371</v>
      </c>
      <c r="S6" s="174">
        <f t="shared" si="0"/>
        <v>2.42208894859034</v>
      </c>
      <c r="T6" s="173">
        <f t="shared" si="0"/>
        <v>2.42262659069472</v>
      </c>
      <c r="U6" s="174">
        <f t="shared" si="0"/>
        <v>2.54196767128897</v>
      </c>
      <c r="V6" s="174">
        <f t="shared" si="0"/>
        <v>2.83043707790674</v>
      </c>
      <c r="W6" s="173">
        <f t="shared" si="0"/>
        <v>3.25161643830852</v>
      </c>
      <c r="X6" s="174">
        <f t="shared" si="0"/>
        <v>3.38284968763121</v>
      </c>
      <c r="Y6" s="174">
        <f t="shared" si="0"/>
        <v>3.80048286995438</v>
      </c>
      <c r="Z6" s="173">
        <f t="shared" si="0"/>
        <v>3.62197231607899</v>
      </c>
      <c r="AA6" s="174">
        <f t="shared" si="0"/>
        <v>3.32904772543111</v>
      </c>
      <c r="AB6" s="174">
        <f t="shared" si="0"/>
        <v>3.09916986862408</v>
      </c>
      <c r="AC6" s="173">
        <f t="shared" si="0"/>
        <v>2.84317339817513</v>
      </c>
      <c r="AD6" s="174">
        <f t="shared" si="0"/>
        <v>3.29649862320797</v>
      </c>
      <c r="AE6" s="174">
        <f t="shared" si="0"/>
        <v>3.0711002310475</v>
      </c>
      <c r="AF6" s="173">
        <f t="shared" si="0"/>
        <v>2.99760991191311</v>
      </c>
      <c r="AG6" s="174">
        <f t="shared" si="0"/>
        <v>3.17583900519745</v>
      </c>
      <c r="AH6" s="174">
        <f t="shared" si="0"/>
        <v>3.05421244906927</v>
      </c>
      <c r="AI6" s="173">
        <f t="shared" si="0"/>
        <v>2.97203356738665</v>
      </c>
      <c r="AJ6" s="174">
        <f t="shared" si="0"/>
        <v>2.88384505359798</v>
      </c>
      <c r="AK6" s="174">
        <f t="shared" si="0"/>
        <v>2.71857219162217</v>
      </c>
      <c r="AL6" s="173">
        <f t="shared" si="0"/>
        <v>2.43133193044408</v>
      </c>
      <c r="AM6" s="174">
        <f t="shared" si="0"/>
        <v>2.10654444234396</v>
      </c>
      <c r="AN6" s="174">
        <f t="shared" si="0"/>
        <v>1.68309863476575</v>
      </c>
      <c r="AO6" s="173">
        <f t="shared" si="0"/>
        <v>1.9769762348719</v>
      </c>
      <c r="AP6" s="174">
        <f t="shared" si="0"/>
        <v>2.2715475237479</v>
      </c>
      <c r="AQ6" s="174">
        <f t="shared" si="0"/>
        <v>2.03585949953162</v>
      </c>
      <c r="AR6" s="173">
        <f t="shared" si="0"/>
        <v>2.0039688416512</v>
      </c>
      <c r="AS6" s="174">
        <f t="shared" si="0"/>
        <v>2.08943945179354</v>
      </c>
      <c r="AT6" s="174">
        <f t="shared" si="0"/>
        <v>1.94462890810526</v>
      </c>
      <c r="AU6" s="173">
        <f t="shared" si="0"/>
        <v>1.95020171464194</v>
      </c>
      <c r="AV6" s="174">
        <f t="shared" si="0"/>
        <v>1.90265657361707</v>
      </c>
      <c r="AW6" s="174">
        <f t="shared" si="0"/>
        <v>1.74038893047591</v>
      </c>
      <c r="AX6" s="173">
        <f t="shared" si="0"/>
        <v>1.50919068606328</v>
      </c>
      <c r="AY6" s="174">
        <f t="shared" si="0"/>
        <v>1.45948521700873</v>
      </c>
      <c r="AZ6" s="174">
        <f t="shared" si="0"/>
        <v>1.37194106289298</v>
      </c>
      <c r="BA6" s="173">
        <f t="shared" si="0"/>
        <v>1.30779565004995</v>
      </c>
      <c r="BB6" s="174">
        <f t="shared" si="0"/>
        <v>1.23203765971755</v>
      </c>
      <c r="BC6" s="174">
        <f t="shared" si="0"/>
        <v>1.23745078740157</v>
      </c>
      <c r="BD6" s="173">
        <f t="shared" si="0"/>
        <v>1.47978112905378</v>
      </c>
      <c r="BE6" s="174">
        <f t="shared" si="0"/>
        <v>3.01168929110106</v>
      </c>
      <c r="BF6" s="173">
        <f t="shared" si="0"/>
        <v>4.74357743097239</v>
      </c>
    </row>
    <row r="7" ht="9" customHeight="1" spans="1:2">
      <c r="A7" s="104"/>
      <c r="B7" s="175"/>
    </row>
    <row r="8" ht="9" customHeight="1" spans="1:2">
      <c r="A8" s="176"/>
      <c r="B8" s="175"/>
    </row>
    <row r="9" ht="18" hidden="1" customHeight="1" spans="1:58">
      <c r="A9" s="177" t="s">
        <v>60</v>
      </c>
      <c r="B9" s="169">
        <f>AVERAGE(C9:BF9)</f>
        <v>2873.44193194719</v>
      </c>
      <c r="C9" s="115">
        <f>'走势图 (近5年3张)'!AX8</f>
        <v>2501.27733994969</v>
      </c>
      <c r="D9" s="116">
        <f>'走势图 (近5年3张)'!AY8</f>
        <v>2526.66487491209</v>
      </c>
      <c r="E9" s="115">
        <f>'走势图 (近5年3张)'!AZ8</f>
        <v>2597.13533556329</v>
      </c>
      <c r="F9" s="116">
        <f>'走势图 (近5年3张)'!BA8</f>
        <v>2548.62846129866</v>
      </c>
      <c r="G9" s="116">
        <f>'走势图 (近5年3张)'!BB8</f>
        <v>2565.61944262039</v>
      </c>
      <c r="H9" s="115">
        <f>'走势图 (近5年3张)'!BC8</f>
        <v>2575.92776325538</v>
      </c>
      <c r="I9" s="116">
        <f>'走势图 (近5年3张)'!BD8</f>
        <v>2678.8684330737</v>
      </c>
      <c r="J9" s="116">
        <f>'走势图 (近5年3张)'!BE8</f>
        <v>2733.19732199673</v>
      </c>
      <c r="K9" s="115">
        <f>'走势图 (近5年3张)'!BF8</f>
        <v>2745.26197429751</v>
      </c>
      <c r="L9" s="116">
        <f>'走势图 (近5年3张)'!BG8</f>
        <v>2742.63429292559</v>
      </c>
      <c r="M9" s="116">
        <f>'走势图 (近5年3张)'!BH8</f>
        <v>2700</v>
      </c>
      <c r="N9" s="115">
        <f>'走势图 (近5年3张)'!BI8</f>
        <v>2700</v>
      </c>
      <c r="O9" s="116">
        <f>'走势图 (近5年3张)'!BJ8</f>
        <v>2614</v>
      </c>
      <c r="P9" s="116">
        <f>'走势图 (近5年3张)'!BK8</f>
        <v>2625</v>
      </c>
      <c r="Q9" s="115">
        <f>'走势图 (近5年3张)'!BL8</f>
        <v>2520.39182203737</v>
      </c>
      <c r="R9" s="116">
        <f>'走势图 (近5年3张)'!BM8</f>
        <v>2512.13068830001</v>
      </c>
      <c r="S9" s="116">
        <f>'走势图 (近5年3张)'!BN8</f>
        <v>2429.00920272917</v>
      </c>
      <c r="T9" s="115">
        <f>'走势图 (近5年3张)'!BO8</f>
        <v>2407.32579117454</v>
      </c>
      <c r="U9" s="116">
        <f>'走势图 (近5年3张)'!BP8</f>
        <v>2214.27488235976</v>
      </c>
      <c r="V9" s="116">
        <f>'走势图 (近5年3张)'!BQ8</f>
        <v>2214.17373230795</v>
      </c>
      <c r="W9" s="115">
        <f>'走势图 (近5年3张)'!BR8</f>
        <v>2187.03721640631</v>
      </c>
      <c r="X9" s="116">
        <f>'走势图 (近5年3张)'!BS8</f>
        <v>2139.20731562574</v>
      </c>
      <c r="Y9" s="116">
        <f>'走势图 (近5年3张)'!BT8</f>
        <v>2103.83873158189</v>
      </c>
      <c r="Z9" s="115">
        <f>'走势图 (近5年3张)'!BU8</f>
        <v>2061.2315180595</v>
      </c>
      <c r="AA9" s="116">
        <f>'走势图 (近5年3张)'!BV8</f>
        <v>2085.85646546543</v>
      </c>
      <c r="AB9" s="116">
        <f>'走势图 (近5年3张)'!BW8</f>
        <v>1986.99049986103</v>
      </c>
      <c r="AC9" s="115">
        <f>'走势图 (近5年3张)'!BX8</f>
        <v>1986.99049986103</v>
      </c>
      <c r="AD9" s="116">
        <f>'走势图 (近5年3张)'!BY8</f>
        <v>2071.54970299319</v>
      </c>
      <c r="AE9" s="116">
        <f>'走势图 (近5年3张)'!BZ8</f>
        <v>2060.86989188714</v>
      </c>
      <c r="AF9" s="115">
        <f>'走势图 (近5年3张)'!CA8</f>
        <v>2071.91942244851</v>
      </c>
      <c r="AG9" s="116">
        <f>'走势图 (近5年3张)'!CB8</f>
        <v>2098.81534256527</v>
      </c>
      <c r="AH9" s="116">
        <f>'走势图 (近5年3张)'!CC8</f>
        <v>2082.68201288914</v>
      </c>
      <c r="AI9" s="115">
        <f>'走势图 (近5年3张)'!CD8</f>
        <v>2176.04544673005</v>
      </c>
      <c r="AJ9" s="116">
        <f>'走势图 (近5年3张)'!CE8</f>
        <v>2238.37267542502</v>
      </c>
      <c r="AK9" s="116">
        <f>'走势图 (近5年3张)'!CF8</f>
        <v>2273.71492390218</v>
      </c>
      <c r="AL9" s="115">
        <f>'走势图 (近5年3张)'!CG8</f>
        <v>2310.92311103161</v>
      </c>
      <c r="AM9" s="116">
        <f>'走势图 (近5年3张)'!CH8</f>
        <v>2365.12277264168</v>
      </c>
      <c r="AN9" s="116">
        <f>'走势图 (近5年3张)'!CI8</f>
        <v>2471.1848190443</v>
      </c>
      <c r="AO9" s="115">
        <f>'走势图 (近5年3张)'!CJ8</f>
        <v>2727.36764923849</v>
      </c>
      <c r="AP9" s="116">
        <f>'走势图 (近5年3张)'!CK8</f>
        <v>3293.74390943446</v>
      </c>
      <c r="AQ9" s="116">
        <f>'走势图 (近5年3张)'!CL8</f>
        <v>3225.76580175787</v>
      </c>
      <c r="AR9" s="115">
        <f>'走势图 (近5年3张)'!CM8</f>
        <v>3262.17499294506</v>
      </c>
      <c r="AS9" s="116">
        <f>'走势图 (近5年3张)'!CN8</f>
        <v>3373.02009683852</v>
      </c>
      <c r="AT9" s="116">
        <f>'走势图 (近5年3张)'!CO8</f>
        <v>3508.28733466809</v>
      </c>
      <c r="AU9" s="115">
        <f>'走势图 (近5年3张)'!CP8</f>
        <v>3780.28873276843</v>
      </c>
      <c r="AV9" s="116">
        <f>'走势图 (近5年3张)'!CQ8</f>
        <v>3742.63740127969</v>
      </c>
      <c r="AW9" s="116">
        <f>'走势图 (近5年3张)'!CR8</f>
        <v>3536.15387237605</v>
      </c>
      <c r="AX9" s="115">
        <f>'走势图 (近5年3张)'!CS8</f>
        <v>3536.09939443262</v>
      </c>
      <c r="AY9" s="116">
        <f>'走势图 (近5年3张)'!CT8</f>
        <v>3635.94254687299</v>
      </c>
      <c r="AZ9" s="116">
        <f>'走势图 (近5年3张)'!CU8</f>
        <v>3566.13213614648</v>
      </c>
      <c r="BA9" s="115">
        <f>'走势图 (近5年3张)'!CV8</f>
        <v>4271.26059306314</v>
      </c>
      <c r="BB9" s="116">
        <f>'走势图 (近5年3张)'!CW8</f>
        <v>4362</v>
      </c>
      <c r="BC9" s="116">
        <f>'走势图 (近5年3张)'!CX8</f>
        <v>5029</v>
      </c>
      <c r="BD9" s="115">
        <f>'走势图 (近5年3张)'!CY8</f>
        <v>5280</v>
      </c>
      <c r="BE9" s="116">
        <f>'走势图 (近5年3张)'!CZ8</f>
        <v>5705</v>
      </c>
      <c r="BF9" s="115">
        <f>'走势图 (近5年3张)'!DA8</f>
        <v>5154</v>
      </c>
    </row>
    <row r="10" ht="26.45" customHeight="1" spans="1:58">
      <c r="A10" s="178"/>
      <c r="B10" s="169">
        <f>AVERAGE(C10:BF10)</f>
        <v>468.878571428571</v>
      </c>
      <c r="C10" s="115">
        <f>'走势图 (近5年3张)'!AX9</f>
        <v>430</v>
      </c>
      <c r="D10" s="116">
        <f>'走势图 (近5年3张)'!AY9</f>
        <v>430</v>
      </c>
      <c r="E10" s="115">
        <f>'走势图 (近5年3张)'!AZ9</f>
        <v>430</v>
      </c>
      <c r="F10" s="116">
        <f>'走势图 (近5年3张)'!BA9</f>
        <v>430</v>
      </c>
      <c r="G10" s="116">
        <f>'走势图 (近5年3张)'!BB9</f>
        <v>430</v>
      </c>
      <c r="H10" s="115">
        <f>'走势图 (近5年3张)'!BC9</f>
        <v>430</v>
      </c>
      <c r="I10" s="116">
        <f>'走势图 (近5年3张)'!BD9</f>
        <v>430</v>
      </c>
      <c r="J10" s="116">
        <f>'走势图 (近5年3张)'!BE9</f>
        <v>430</v>
      </c>
      <c r="K10" s="115">
        <f>'走势图 (近5年3张)'!BF9</f>
        <v>430</v>
      </c>
      <c r="L10" s="116">
        <f>'走势图 (近5年3张)'!BG9</f>
        <v>430</v>
      </c>
      <c r="M10" s="116">
        <f>'走势图 (近5年3张)'!BH9</f>
        <v>450</v>
      </c>
      <c r="N10" s="115">
        <f>'走势图 (近5年3张)'!BI9</f>
        <v>500</v>
      </c>
      <c r="O10" s="116">
        <f>'走势图 (近5年3张)'!BJ9</f>
        <v>470</v>
      </c>
      <c r="P10" s="116">
        <f>'走势图 (近5年3张)'!BK9</f>
        <v>470</v>
      </c>
      <c r="Q10" s="115">
        <f>'走势图 (近5年3张)'!BL9</f>
        <v>420</v>
      </c>
      <c r="R10" s="116">
        <f>'走势图 (近5年3张)'!BM9</f>
        <v>420</v>
      </c>
      <c r="S10" s="116">
        <f>'走势图 (近5年3张)'!BN9</f>
        <v>420</v>
      </c>
      <c r="T10" s="115">
        <f>'走势图 (近5年3张)'!BO9</f>
        <v>420</v>
      </c>
      <c r="U10" s="116">
        <f>'走势图 (近5年3张)'!BP9</f>
        <v>400</v>
      </c>
      <c r="V10" s="116">
        <f>'走势图 (近5年3张)'!BQ9</f>
        <v>400</v>
      </c>
      <c r="W10" s="115">
        <f>'走势图 (近5年3张)'!BR9</f>
        <v>380</v>
      </c>
      <c r="X10" s="116">
        <f>'走势图 (近5年3张)'!BS9</f>
        <v>380</v>
      </c>
      <c r="Y10" s="116">
        <f>'走势图 (近5年3张)'!BT9</f>
        <v>370</v>
      </c>
      <c r="Z10" s="115">
        <f>'走势图 (近5年3张)'!BU9</f>
        <v>370</v>
      </c>
      <c r="AA10" s="116">
        <f>'走势图 (近5年3张)'!BV9</f>
        <v>370</v>
      </c>
      <c r="AB10" s="116">
        <f>'走势图 (近5年3张)'!BW9</f>
        <v>370</v>
      </c>
      <c r="AC10" s="115">
        <f>'走势图 (近5年3张)'!BX9</f>
        <v>370</v>
      </c>
      <c r="AD10" s="116">
        <f>'走势图 (近5年3张)'!BY9</f>
        <v>338</v>
      </c>
      <c r="AE10" s="116">
        <f>'走势图 (近5年3张)'!BZ9</f>
        <v>338</v>
      </c>
      <c r="AF10" s="115">
        <f>'走势图 (近5年3张)'!CA9</f>
        <v>338</v>
      </c>
      <c r="AG10" s="116">
        <f>'走势图 (近5年3张)'!CB9</f>
        <v>338</v>
      </c>
      <c r="AH10" s="116">
        <f>'走势图 (近5年3张)'!CC9</f>
        <v>338</v>
      </c>
      <c r="AI10" s="115">
        <f>'走势图 (近5年3张)'!CD9</f>
        <v>328</v>
      </c>
      <c r="AJ10" s="116">
        <f>'走势图 (近5年3张)'!CE9</f>
        <v>328</v>
      </c>
      <c r="AK10" s="116">
        <f>'走势图 (近5年3张)'!CF9</f>
        <v>358</v>
      </c>
      <c r="AL10" s="115">
        <f>'走势图 (近5年3张)'!CG9</f>
        <v>358</v>
      </c>
      <c r="AM10" s="116">
        <f>'走势图 (近5年3张)'!CH9</f>
        <v>358</v>
      </c>
      <c r="AN10" s="116">
        <f>'走势图 (近5年3张)'!CI9</f>
        <v>358</v>
      </c>
      <c r="AO10" s="115">
        <f>'走势图 (近5年3张)'!CJ9</f>
        <v>358</v>
      </c>
      <c r="AP10" s="116">
        <f>'走势图 (近5年3张)'!CK9</f>
        <v>408</v>
      </c>
      <c r="AQ10" s="116">
        <f>'走势图 (近5年3张)'!CL9</f>
        <v>458</v>
      </c>
      <c r="AR10" s="115">
        <f>'走势图 (近5年3张)'!CM9</f>
        <v>488</v>
      </c>
      <c r="AS10" s="116">
        <f>'走势图 (近5年3张)'!CN9</f>
        <v>508</v>
      </c>
      <c r="AT10" s="116">
        <f>'走势图 (近5年3张)'!CO9</f>
        <v>558</v>
      </c>
      <c r="AU10" s="115">
        <f>'走势图 (近5年3张)'!CP9</f>
        <v>608</v>
      </c>
      <c r="AV10" s="116">
        <f>'走势图 (近5年3张)'!CQ9</f>
        <v>608</v>
      </c>
      <c r="AW10" s="116">
        <f>'走势图 (近5年3张)'!CR9</f>
        <v>608</v>
      </c>
      <c r="AX10" s="115">
        <f>'走势图 (近5年3张)'!CS9</f>
        <v>608</v>
      </c>
      <c r="AY10" s="116">
        <f>'走势图 (近5年3张)'!CT9</f>
        <v>608</v>
      </c>
      <c r="AZ10" s="116">
        <f>'走势图 (近5年3张)'!CU9</f>
        <v>608</v>
      </c>
      <c r="BA10" s="115">
        <f>'走势图 (近5年3张)'!CV9</f>
        <v>608</v>
      </c>
      <c r="BB10" s="116">
        <f>'走势图 (近5年3张)'!CW9</f>
        <v>645.6</v>
      </c>
      <c r="BC10" s="116">
        <f>'走势图 (近5年3张)'!CX9</f>
        <v>745.6</v>
      </c>
      <c r="BD10" s="115">
        <f>'走势图 (近5年3张)'!CY9</f>
        <v>858</v>
      </c>
      <c r="BE10" s="116">
        <f>'走势图 (近5年3张)'!CZ9</f>
        <v>958</v>
      </c>
      <c r="BF10" s="115">
        <f>'走势图 (近5年3张)'!DA9</f>
        <v>958</v>
      </c>
    </row>
    <row r="11" ht="26.45" customHeight="1" spans="1:58">
      <c r="A11" s="178"/>
      <c r="B11" s="172">
        <f>AVERAGE(C11:BF11)</f>
        <v>6.13954277596143</v>
      </c>
      <c r="C11" s="173">
        <f>C9/C10</f>
        <v>5.81692404639463</v>
      </c>
      <c r="D11" s="174">
        <f t="shared" ref="D11:BF11" si="1">D9/D10</f>
        <v>5.87596482537695</v>
      </c>
      <c r="E11" s="173">
        <f t="shared" si="1"/>
        <v>6.03984961758905</v>
      </c>
      <c r="F11" s="174">
        <f t="shared" si="1"/>
        <v>5.9270429332527</v>
      </c>
      <c r="G11" s="174">
        <f t="shared" si="1"/>
        <v>5.96655684330323</v>
      </c>
      <c r="H11" s="173">
        <f t="shared" si="1"/>
        <v>5.99052968198926</v>
      </c>
      <c r="I11" s="174">
        <f t="shared" si="1"/>
        <v>6.22992658854349</v>
      </c>
      <c r="J11" s="174">
        <f t="shared" si="1"/>
        <v>6.35627284185286</v>
      </c>
      <c r="K11" s="173">
        <f t="shared" si="1"/>
        <v>6.38433017278491</v>
      </c>
      <c r="L11" s="174">
        <f t="shared" si="1"/>
        <v>6.37821928587347</v>
      </c>
      <c r="M11" s="174">
        <f t="shared" si="1"/>
        <v>6</v>
      </c>
      <c r="N11" s="173">
        <f t="shared" si="1"/>
        <v>5.4</v>
      </c>
      <c r="O11" s="174">
        <f t="shared" si="1"/>
        <v>5.56170212765957</v>
      </c>
      <c r="P11" s="174">
        <f t="shared" si="1"/>
        <v>5.58510638297872</v>
      </c>
      <c r="Q11" s="173">
        <f t="shared" si="1"/>
        <v>6.00093290961279</v>
      </c>
      <c r="R11" s="174">
        <f t="shared" si="1"/>
        <v>5.98126354357145</v>
      </c>
      <c r="S11" s="174">
        <f t="shared" si="1"/>
        <v>5.78335524459326</v>
      </c>
      <c r="T11" s="173">
        <f t="shared" si="1"/>
        <v>5.73172807422509</v>
      </c>
      <c r="U11" s="174">
        <f t="shared" si="1"/>
        <v>5.5356872058994</v>
      </c>
      <c r="V11" s="174">
        <f t="shared" si="1"/>
        <v>5.53543433076988</v>
      </c>
      <c r="W11" s="173">
        <f t="shared" si="1"/>
        <v>5.75536109580608</v>
      </c>
      <c r="X11" s="174">
        <f t="shared" si="1"/>
        <v>5.62949293585721</v>
      </c>
      <c r="Y11" s="174">
        <f t="shared" si="1"/>
        <v>5.686050625897</v>
      </c>
      <c r="Z11" s="173">
        <f t="shared" si="1"/>
        <v>5.57089599475541</v>
      </c>
      <c r="AA11" s="174">
        <f t="shared" si="1"/>
        <v>5.63744990666333</v>
      </c>
      <c r="AB11" s="174">
        <f t="shared" si="1"/>
        <v>5.370244594219</v>
      </c>
      <c r="AC11" s="173">
        <f t="shared" si="1"/>
        <v>5.370244594219</v>
      </c>
      <c r="AD11" s="174">
        <f t="shared" si="1"/>
        <v>6.12884527512778</v>
      </c>
      <c r="AE11" s="174">
        <f t="shared" si="1"/>
        <v>6.09724820084953</v>
      </c>
      <c r="AF11" s="173">
        <f t="shared" si="1"/>
        <v>6.12993911967015</v>
      </c>
      <c r="AG11" s="174">
        <f t="shared" si="1"/>
        <v>6.20951284782624</v>
      </c>
      <c r="AH11" s="174">
        <f t="shared" si="1"/>
        <v>6.16178110322231</v>
      </c>
      <c r="AI11" s="173">
        <f t="shared" si="1"/>
        <v>6.63428489856723</v>
      </c>
      <c r="AJ11" s="174">
        <f t="shared" si="1"/>
        <v>6.8243069372714</v>
      </c>
      <c r="AK11" s="174">
        <f t="shared" si="1"/>
        <v>6.35115900531335</v>
      </c>
      <c r="AL11" s="173">
        <f t="shared" si="1"/>
        <v>6.45509248891511</v>
      </c>
      <c r="AM11" s="174">
        <f t="shared" si="1"/>
        <v>6.60648819173654</v>
      </c>
      <c r="AN11" s="174">
        <f t="shared" si="1"/>
        <v>6.9027508911852</v>
      </c>
      <c r="AO11" s="173">
        <f t="shared" si="1"/>
        <v>7.61834538893433</v>
      </c>
      <c r="AP11" s="174">
        <f t="shared" si="1"/>
        <v>8.07290173880995</v>
      </c>
      <c r="AQ11" s="174">
        <f t="shared" si="1"/>
        <v>7.0431567723971</v>
      </c>
      <c r="AR11" s="173">
        <f t="shared" si="1"/>
        <v>6.68478482160873</v>
      </c>
      <c r="AS11" s="174">
        <f t="shared" si="1"/>
        <v>6.63980334023331</v>
      </c>
      <c r="AT11" s="174">
        <f t="shared" si="1"/>
        <v>6.28725328793564</v>
      </c>
      <c r="AU11" s="173">
        <f t="shared" si="1"/>
        <v>6.21758015257965</v>
      </c>
      <c r="AV11" s="174">
        <f t="shared" si="1"/>
        <v>6.15565362052581</v>
      </c>
      <c r="AW11" s="174">
        <f t="shared" si="1"/>
        <v>5.81604255325008</v>
      </c>
      <c r="AX11" s="173">
        <f t="shared" si="1"/>
        <v>5.81595295136944</v>
      </c>
      <c r="AY11" s="174">
        <f t="shared" si="1"/>
        <v>5.98016866262005</v>
      </c>
      <c r="AZ11" s="174">
        <f t="shared" si="1"/>
        <v>5.86534890813566</v>
      </c>
      <c r="BA11" s="173">
        <f t="shared" si="1"/>
        <v>7.02509965964332</v>
      </c>
      <c r="BB11" s="174">
        <f t="shared" si="1"/>
        <v>6.75650557620818</v>
      </c>
      <c r="BC11" s="174">
        <f t="shared" si="1"/>
        <v>6.74490343347639</v>
      </c>
      <c r="BD11" s="173">
        <f t="shared" si="1"/>
        <v>6.15384615384615</v>
      </c>
      <c r="BE11" s="174">
        <f t="shared" si="1"/>
        <v>5.95511482254697</v>
      </c>
      <c r="BF11" s="173">
        <f t="shared" si="1"/>
        <v>5.37995824634655</v>
      </c>
    </row>
    <row r="12" ht="10.9" customHeight="1" spans="1:2">
      <c r="A12" s="178"/>
      <c r="B12" s="175"/>
    </row>
    <row r="13" ht="18" hidden="1" customHeight="1" spans="1:58">
      <c r="A13" s="178"/>
      <c r="B13" s="169">
        <f>AVERAGE(C13:BF13)</f>
        <v>2873.44193194719</v>
      </c>
      <c r="C13" s="115">
        <f>'走势图 (近5年3张)'!AX13</f>
        <v>2501.27733994969</v>
      </c>
      <c r="D13" s="116">
        <f>'走势图 (近5年3张)'!AY13</f>
        <v>2526.66487491209</v>
      </c>
      <c r="E13" s="115">
        <f>'走势图 (近5年3张)'!AZ13</f>
        <v>2597.13533556329</v>
      </c>
      <c r="F13" s="116">
        <f>'走势图 (近5年3张)'!BA13</f>
        <v>2548.62846129866</v>
      </c>
      <c r="G13" s="116">
        <f>'走势图 (近5年3张)'!BB13</f>
        <v>2565.61944262039</v>
      </c>
      <c r="H13" s="115">
        <f>'走势图 (近5年3张)'!BC13</f>
        <v>2575.92776325538</v>
      </c>
      <c r="I13" s="116">
        <f>'走势图 (近5年3张)'!BD13</f>
        <v>2678.8684330737</v>
      </c>
      <c r="J13" s="116">
        <f>'走势图 (近5年3张)'!BE13</f>
        <v>2733.19732199673</v>
      </c>
      <c r="K13" s="115">
        <f>'走势图 (近5年3张)'!BF13</f>
        <v>2745.26197429751</v>
      </c>
      <c r="L13" s="116">
        <f>'走势图 (近5年3张)'!BG13</f>
        <v>2742.63429292559</v>
      </c>
      <c r="M13" s="116">
        <f>'走势图 (近5年3张)'!BH13</f>
        <v>2700</v>
      </c>
      <c r="N13" s="115">
        <f>'走势图 (近5年3张)'!BI13</f>
        <v>2700</v>
      </c>
      <c r="O13" s="116">
        <f>'走势图 (近5年3张)'!BJ13</f>
        <v>2614</v>
      </c>
      <c r="P13" s="116">
        <f>'走势图 (近5年3张)'!BK13</f>
        <v>2625</v>
      </c>
      <c r="Q13" s="115">
        <f>'走势图 (近5年3张)'!BL13</f>
        <v>2520.39182203737</v>
      </c>
      <c r="R13" s="116">
        <f>'走势图 (近5年3张)'!BM13</f>
        <v>2512.13068830001</v>
      </c>
      <c r="S13" s="116">
        <f>'走势图 (近5年3张)'!BN13</f>
        <v>2429.00920272917</v>
      </c>
      <c r="T13" s="115">
        <f>'走势图 (近5年3张)'!BO13</f>
        <v>2407.32579117454</v>
      </c>
      <c r="U13" s="116">
        <f>'走势图 (近5年3张)'!BP13</f>
        <v>2214.27488235976</v>
      </c>
      <c r="V13" s="116">
        <f>'走势图 (近5年3张)'!BQ13</f>
        <v>2214.17373230795</v>
      </c>
      <c r="W13" s="115">
        <f>'走势图 (近5年3张)'!BR13</f>
        <v>2187.03721640631</v>
      </c>
      <c r="X13" s="116">
        <f>'走势图 (近5年3张)'!BS13</f>
        <v>2139.20731562574</v>
      </c>
      <c r="Y13" s="116">
        <f>'走势图 (近5年3张)'!BT13</f>
        <v>2103.83873158189</v>
      </c>
      <c r="Z13" s="115">
        <f>'走势图 (近5年3张)'!BU13</f>
        <v>2061.2315180595</v>
      </c>
      <c r="AA13" s="116">
        <f>'走势图 (近5年3张)'!BV13</f>
        <v>2085.85646546543</v>
      </c>
      <c r="AB13" s="116">
        <f>'走势图 (近5年3张)'!BW13</f>
        <v>1986.99049986103</v>
      </c>
      <c r="AC13" s="115">
        <f>'走势图 (近5年3张)'!BX13</f>
        <v>1986.99049986103</v>
      </c>
      <c r="AD13" s="116">
        <f>'走势图 (近5年3张)'!BY13</f>
        <v>2071.54970299319</v>
      </c>
      <c r="AE13" s="116">
        <f>'走势图 (近5年3张)'!BZ13</f>
        <v>2060.86989188714</v>
      </c>
      <c r="AF13" s="115">
        <f>'走势图 (近5年3张)'!CA13</f>
        <v>2071.91942244851</v>
      </c>
      <c r="AG13" s="116">
        <f>'走势图 (近5年3张)'!CB13</f>
        <v>2098.81534256527</v>
      </c>
      <c r="AH13" s="116">
        <f>'走势图 (近5年3张)'!CC13</f>
        <v>2082.68201288914</v>
      </c>
      <c r="AI13" s="115">
        <f>'走势图 (近5年3张)'!CD13</f>
        <v>2176.04544673005</v>
      </c>
      <c r="AJ13" s="116">
        <f>'走势图 (近5年3张)'!CE13</f>
        <v>2238.37267542502</v>
      </c>
      <c r="AK13" s="116">
        <f>'走势图 (近5年3张)'!CF13</f>
        <v>2273.71492390218</v>
      </c>
      <c r="AL13" s="115">
        <f>'走势图 (近5年3张)'!CG13</f>
        <v>2310.92311103161</v>
      </c>
      <c r="AM13" s="116">
        <f>'走势图 (近5年3张)'!CH13</f>
        <v>2365.12277264168</v>
      </c>
      <c r="AN13" s="116">
        <f>'走势图 (近5年3张)'!CI13</f>
        <v>2471.1848190443</v>
      </c>
      <c r="AO13" s="115">
        <f>'走势图 (近5年3张)'!CJ13</f>
        <v>2727.36764923849</v>
      </c>
      <c r="AP13" s="116">
        <f>'走势图 (近5年3张)'!CK13</f>
        <v>3293.74390943446</v>
      </c>
      <c r="AQ13" s="116">
        <f>'走势图 (近5年3张)'!CL13</f>
        <v>3225.76580175787</v>
      </c>
      <c r="AR13" s="115">
        <f>'走势图 (近5年3张)'!CM13</f>
        <v>3262.17499294506</v>
      </c>
      <c r="AS13" s="116">
        <f>'走势图 (近5年3张)'!CN13</f>
        <v>3373.02009683852</v>
      </c>
      <c r="AT13" s="116">
        <f>'走势图 (近5年3张)'!CO13</f>
        <v>3508.28733466809</v>
      </c>
      <c r="AU13" s="115">
        <f>'走势图 (近5年3张)'!CP13</f>
        <v>3780.28873276843</v>
      </c>
      <c r="AV13" s="116">
        <f>'走势图 (近5年3张)'!CQ13</f>
        <v>3742.63740127969</v>
      </c>
      <c r="AW13" s="116">
        <f>'走势图 (近5年3张)'!CR13</f>
        <v>3536.15387237605</v>
      </c>
      <c r="AX13" s="115">
        <f>'走势图 (近5年3张)'!CS13</f>
        <v>3536.09939443262</v>
      </c>
      <c r="AY13" s="116">
        <f>'走势图 (近5年3张)'!CT13</f>
        <v>3635.94254687299</v>
      </c>
      <c r="AZ13" s="116">
        <f>'走势图 (近5年3张)'!CU13</f>
        <v>3566.13213614648</v>
      </c>
      <c r="BA13" s="115">
        <f>'走势图 (近5年3张)'!CV13</f>
        <v>4271.26059306314</v>
      </c>
      <c r="BB13" s="116">
        <f>'走势图 (近5年3张)'!CW13</f>
        <v>4362</v>
      </c>
      <c r="BC13" s="116">
        <f>'走势图 (近5年3张)'!CX13</f>
        <v>5029</v>
      </c>
      <c r="BD13" s="115">
        <f>'走势图 (近5年3张)'!CY13</f>
        <v>5280</v>
      </c>
      <c r="BE13" s="116">
        <f>'走势图 (近5年3张)'!CZ13</f>
        <v>5705</v>
      </c>
      <c r="BF13" s="115">
        <f>'走势图 (近5年3张)'!DA13</f>
        <v>5154</v>
      </c>
    </row>
    <row r="14" ht="18" customHeight="1" spans="1:58">
      <c r="A14" s="179"/>
      <c r="B14" s="169"/>
      <c r="C14" s="115"/>
      <c r="D14" s="116"/>
      <c r="E14" s="115"/>
      <c r="F14" s="116"/>
      <c r="G14" s="116"/>
      <c r="H14" s="115"/>
      <c r="I14" s="116"/>
      <c r="J14" s="116"/>
      <c r="K14" s="115"/>
      <c r="L14" s="116"/>
      <c r="M14" s="116"/>
      <c r="N14" s="115"/>
      <c r="O14" s="116"/>
      <c r="P14" s="116"/>
      <c r="Q14" s="115"/>
      <c r="R14" s="116"/>
      <c r="S14" s="116"/>
      <c r="T14" s="115"/>
      <c r="U14" s="116"/>
      <c r="V14" s="116"/>
      <c r="W14" s="115"/>
      <c r="X14" s="116"/>
      <c r="Y14" s="116"/>
      <c r="Z14" s="115"/>
      <c r="AA14" s="116"/>
      <c r="AB14" s="116"/>
      <c r="AC14" s="115"/>
      <c r="AD14" s="116"/>
      <c r="AE14" s="116"/>
      <c r="AF14" s="115"/>
      <c r="AG14" s="116"/>
      <c r="AH14" s="116"/>
      <c r="AI14" s="115"/>
      <c r="AJ14" s="116"/>
      <c r="AK14" s="116"/>
      <c r="AL14" s="115"/>
      <c r="AM14" s="116"/>
      <c r="AN14" s="116"/>
      <c r="AO14" s="115"/>
      <c r="AP14" s="116"/>
      <c r="AQ14" s="116"/>
      <c r="AR14" s="115"/>
      <c r="AS14" s="116"/>
      <c r="AT14" s="116"/>
      <c r="AU14" s="115"/>
      <c r="AV14" s="116"/>
      <c r="AW14" s="116"/>
      <c r="AX14" s="115"/>
      <c r="AY14" s="116"/>
      <c r="AZ14" s="116"/>
      <c r="BA14" s="115"/>
      <c r="BB14" s="116"/>
      <c r="BC14" s="116"/>
      <c r="BD14" s="115"/>
      <c r="BE14" s="116"/>
      <c r="BF14" s="115"/>
    </row>
    <row r="15" ht="24.6" customHeight="1" spans="1:58">
      <c r="A15" s="177" t="s">
        <v>61</v>
      </c>
      <c r="B15" s="169">
        <f>AVERAGE(C15:BF15)</f>
        <v>1045.47486697024</v>
      </c>
      <c r="C15" s="115">
        <f>'走势图 (近5年3张)'!AX14</f>
        <v>964</v>
      </c>
      <c r="D15" s="116">
        <f>'走势图 (近5年3张)'!AY14</f>
        <v>984</v>
      </c>
      <c r="E15" s="115">
        <f>'走势图 (近5年3张)'!AZ14</f>
        <v>984</v>
      </c>
      <c r="F15" s="116">
        <f>'走势图 (近5年3张)'!BA14</f>
        <v>964</v>
      </c>
      <c r="G15" s="116">
        <f>'走势图 (近5年3张)'!BB14</f>
        <v>914</v>
      </c>
      <c r="H15" s="115">
        <f>'走势图 (近5年3张)'!BC14</f>
        <v>911</v>
      </c>
      <c r="I15" s="116">
        <f>'走势图 (近5年3张)'!BD14</f>
        <v>911</v>
      </c>
      <c r="J15" s="116">
        <f>'走势图 (近5年3张)'!BE14</f>
        <v>901</v>
      </c>
      <c r="K15" s="115">
        <f>'走势图 (近5年3张)'!BF14</f>
        <v>896</v>
      </c>
      <c r="L15" s="116">
        <f>'走势图 (近5年3张)'!BG14</f>
        <v>974</v>
      </c>
      <c r="M15" s="116">
        <f>'走势图 (近5年3张)'!BH14</f>
        <v>974</v>
      </c>
      <c r="N15" s="115">
        <f>'走势图 (近5年3张)'!BI14</f>
        <v>967</v>
      </c>
      <c r="O15" s="116">
        <f>'走势图 (近5年3张)'!BJ14</f>
        <v>917</v>
      </c>
      <c r="P15" s="116">
        <f>'走势图 (近5年3张)'!BK14</f>
        <v>917</v>
      </c>
      <c r="Q15" s="115">
        <f>'走势图 (近5年3张)'!BL14</f>
        <v>903.67</v>
      </c>
      <c r="R15" s="116">
        <f>'走势图 (近5年3张)'!BM14</f>
        <v>886</v>
      </c>
      <c r="S15" s="116">
        <f>'走势图 (近5年3张)'!BN14</f>
        <v>876</v>
      </c>
      <c r="T15" s="115">
        <f>'走势图 (近5年3张)'!BO14</f>
        <v>866</v>
      </c>
      <c r="U15" s="116">
        <f>'走势图 (近5年3张)'!BP14</f>
        <v>839</v>
      </c>
      <c r="V15" s="116">
        <f>'走势图 (近5年3张)'!BQ14</f>
        <v>802.53</v>
      </c>
      <c r="W15" s="115">
        <f>'走势图 (近5年3张)'!BR14</f>
        <v>802.53</v>
      </c>
      <c r="X15" s="116">
        <f>'走势图 (近5年3张)'!BS14</f>
        <v>802.53</v>
      </c>
      <c r="Y15" s="116">
        <f>'走势图 (近5年3张)'!BT14</f>
        <v>752.53</v>
      </c>
      <c r="Z15" s="115">
        <f>'走势图 (近5年3张)'!BU14</f>
        <v>752.5</v>
      </c>
      <c r="AA15" s="116">
        <f>'走势图 (近5年3张)'!BV14</f>
        <v>752.33</v>
      </c>
      <c r="AB15" s="116">
        <f>'走势图 (近5年3张)'!BW14</f>
        <v>772.33</v>
      </c>
      <c r="AC15" s="115">
        <f>'走势图 (近5年3张)'!BX14</f>
        <v>772.33</v>
      </c>
      <c r="AD15" s="116">
        <f>'走势图 (近5年3张)'!BY14</f>
        <v>732.33</v>
      </c>
      <c r="AE15" s="116">
        <f>'走势图 (近5年3张)'!BZ14</f>
        <v>702.33</v>
      </c>
      <c r="AF15" s="115">
        <f>'走势图 (近5年3张)'!CA14</f>
        <v>755.67</v>
      </c>
      <c r="AG15" s="116">
        <f>'走势图 (近5年3张)'!CB14</f>
        <v>755.67</v>
      </c>
      <c r="AH15" s="116">
        <f>'走势图 (近5年3张)'!CC14</f>
        <v>692.666666666667</v>
      </c>
      <c r="AI15" s="115">
        <f>'走势图 (近5年3张)'!CD14</f>
        <v>692.666666666667</v>
      </c>
      <c r="AJ15" s="116">
        <f>'走势图 (近5年3张)'!CE14</f>
        <v>769.333333333333</v>
      </c>
      <c r="AK15" s="116">
        <f>'走势图 (近5年3张)'!CF14</f>
        <v>823</v>
      </c>
      <c r="AL15" s="115">
        <f>'走势图 (近5年3张)'!CG14</f>
        <v>902.666666666667</v>
      </c>
      <c r="AM15" s="116">
        <f>'走势图 (近5年3张)'!CH14</f>
        <v>1003</v>
      </c>
      <c r="AN15" s="116">
        <f>'走势图 (近5年3张)'!CI14</f>
        <v>1003</v>
      </c>
      <c r="AO15" s="115">
        <f>'走势图 (近5年3张)'!CJ14</f>
        <v>859</v>
      </c>
      <c r="AP15" s="116">
        <f>'走势图 (近5年3张)'!CK14</f>
        <v>956</v>
      </c>
      <c r="AQ15" s="116">
        <f>'走势图 (近5年3张)'!CL14</f>
        <v>1125</v>
      </c>
      <c r="AR15" s="115">
        <f>'走势图 (近5年3张)'!CM14</f>
        <v>1125</v>
      </c>
      <c r="AS15" s="116">
        <f>'走势图 (近5年3张)'!CN14</f>
        <v>1203</v>
      </c>
      <c r="AT15" s="116">
        <f>'走势图 (近5年3张)'!CO14</f>
        <v>1388</v>
      </c>
      <c r="AU15" s="115">
        <f>'走势图 (近5年3张)'!CP14</f>
        <v>1588</v>
      </c>
      <c r="AV15" s="116">
        <f>'走势图 (近5年3张)'!CQ14</f>
        <v>2309</v>
      </c>
      <c r="AW15" s="116">
        <f>'走势图 (近5年3张)'!CR14</f>
        <v>1489</v>
      </c>
      <c r="AX15" s="115">
        <f>'走势图 (近5年3张)'!CS14</f>
        <v>1416</v>
      </c>
      <c r="AY15" s="116">
        <f>'走势图 (近5年3张)'!CT14</f>
        <v>1564.761568</v>
      </c>
      <c r="AZ15" s="116">
        <f>'走势图 (近5年3张)'!CU14</f>
        <v>1707.354545</v>
      </c>
      <c r="BA15" s="115">
        <f>'走势图 (近5年3张)'!CV14</f>
        <v>1531.446555</v>
      </c>
      <c r="BB15" s="116">
        <f>'走势图 (近5年3张)'!CW14</f>
        <v>1631.932225</v>
      </c>
      <c r="BC15" s="116">
        <f>'走势图 (近5年3张)'!CX14</f>
        <v>1574.097596</v>
      </c>
      <c r="BD15" s="115">
        <f>'走势图 (近5年3张)'!CY14</f>
        <v>1554.386728</v>
      </c>
      <c r="BE15" s="116">
        <f>'走势图 (近5年3张)'!CZ14</f>
        <v>1491</v>
      </c>
      <c r="BF15" s="115">
        <f>'走势图 (近5年3张)'!DA14</f>
        <v>1443</v>
      </c>
    </row>
    <row r="16" ht="24.6" customHeight="1" spans="1:58">
      <c r="A16" s="178"/>
      <c r="B16" s="172">
        <f>AVERAGE(C16:BF16)</f>
        <v>2.77806182106239</v>
      </c>
      <c r="C16" s="173">
        <f>C13/C15</f>
        <v>2.59468603729221</v>
      </c>
      <c r="D16" s="174">
        <f t="shared" ref="D16:BF16" si="2">D13/D15</f>
        <v>2.56774885661798</v>
      </c>
      <c r="E16" s="173">
        <f t="shared" si="2"/>
        <v>2.63936517841798</v>
      </c>
      <c r="F16" s="174">
        <f t="shared" si="2"/>
        <v>2.64380545777869</v>
      </c>
      <c r="G16" s="174">
        <f t="shared" si="2"/>
        <v>2.80702346019736</v>
      </c>
      <c r="H16" s="173">
        <f t="shared" si="2"/>
        <v>2.82758261608713</v>
      </c>
      <c r="I16" s="174">
        <f t="shared" si="2"/>
        <v>2.94058005825873</v>
      </c>
      <c r="J16" s="174">
        <f t="shared" si="2"/>
        <v>3.03351534072889</v>
      </c>
      <c r="K16" s="173">
        <f t="shared" si="2"/>
        <v>3.06390845345704</v>
      </c>
      <c r="L16" s="174">
        <f t="shared" si="2"/>
        <v>2.81584629663818</v>
      </c>
      <c r="M16" s="174">
        <f t="shared" si="2"/>
        <v>2.77207392197125</v>
      </c>
      <c r="N16" s="173">
        <f t="shared" si="2"/>
        <v>2.79214064115822</v>
      </c>
      <c r="O16" s="174">
        <f t="shared" si="2"/>
        <v>2.85059978189749</v>
      </c>
      <c r="P16" s="174">
        <f t="shared" si="2"/>
        <v>2.86259541984733</v>
      </c>
      <c r="Q16" s="173">
        <f t="shared" si="2"/>
        <v>2.78906218203257</v>
      </c>
      <c r="R16" s="174">
        <f t="shared" si="2"/>
        <v>2.83536195067721</v>
      </c>
      <c r="S16" s="174">
        <f t="shared" si="2"/>
        <v>2.77284155562691</v>
      </c>
      <c r="T16" s="173">
        <f t="shared" si="2"/>
        <v>2.77982192976275</v>
      </c>
      <c r="U16" s="174">
        <f t="shared" si="2"/>
        <v>2.63918341163261</v>
      </c>
      <c r="V16" s="174">
        <f t="shared" si="2"/>
        <v>2.75899185364778</v>
      </c>
      <c r="W16" s="173">
        <f t="shared" si="2"/>
        <v>2.72517814462551</v>
      </c>
      <c r="X16" s="174">
        <f t="shared" si="2"/>
        <v>2.66557925015356</v>
      </c>
      <c r="Y16" s="174">
        <f t="shared" si="2"/>
        <v>2.79568752286539</v>
      </c>
      <c r="Z16" s="173">
        <f t="shared" si="2"/>
        <v>2.73917809708904</v>
      </c>
      <c r="AA16" s="174">
        <f t="shared" si="2"/>
        <v>2.77252863167151</v>
      </c>
      <c r="AB16" s="174">
        <f t="shared" si="2"/>
        <v>2.57272215226785</v>
      </c>
      <c r="AC16" s="173">
        <f t="shared" si="2"/>
        <v>2.57272215226785</v>
      </c>
      <c r="AD16" s="174">
        <f t="shared" si="2"/>
        <v>2.8287106946229</v>
      </c>
      <c r="AE16" s="174">
        <f t="shared" si="2"/>
        <v>2.93433270953418</v>
      </c>
      <c r="AF16" s="173">
        <f t="shared" si="2"/>
        <v>2.7418309876646</v>
      </c>
      <c r="AG16" s="174">
        <f t="shared" si="2"/>
        <v>2.77742313783169</v>
      </c>
      <c r="AH16" s="174">
        <f t="shared" si="2"/>
        <v>3.0067594026311</v>
      </c>
      <c r="AI16" s="173">
        <f t="shared" si="2"/>
        <v>3.1415478056738</v>
      </c>
      <c r="AJ16" s="174">
        <f t="shared" si="2"/>
        <v>2.90949654517984</v>
      </c>
      <c r="AK16" s="174">
        <f t="shared" si="2"/>
        <v>2.76271558189815</v>
      </c>
      <c r="AL16" s="173">
        <f t="shared" si="2"/>
        <v>2.56010684383118</v>
      </c>
      <c r="AM16" s="174">
        <f t="shared" si="2"/>
        <v>2.3580486267614</v>
      </c>
      <c r="AN16" s="174">
        <f t="shared" si="2"/>
        <v>2.46379343872812</v>
      </c>
      <c r="AO16" s="173">
        <f t="shared" si="2"/>
        <v>3.17504964987019</v>
      </c>
      <c r="AP16" s="174">
        <f t="shared" si="2"/>
        <v>3.44533881740006</v>
      </c>
      <c r="AQ16" s="174">
        <f t="shared" si="2"/>
        <v>2.86734737934033</v>
      </c>
      <c r="AR16" s="173">
        <f t="shared" si="2"/>
        <v>2.89971110484005</v>
      </c>
      <c r="AS16" s="174">
        <f t="shared" si="2"/>
        <v>2.80384047950002</v>
      </c>
      <c r="AT16" s="174">
        <f t="shared" si="2"/>
        <v>2.52758453506346</v>
      </c>
      <c r="AU16" s="173">
        <f t="shared" si="2"/>
        <v>2.38053446647886</v>
      </c>
      <c r="AV16" s="174">
        <f t="shared" si="2"/>
        <v>1.62089103563434</v>
      </c>
      <c r="AW16" s="174">
        <f t="shared" si="2"/>
        <v>2.37485149252925</v>
      </c>
      <c r="AX16" s="173">
        <f t="shared" si="2"/>
        <v>2.49724533505129</v>
      </c>
      <c r="AY16" s="174">
        <f t="shared" si="2"/>
        <v>2.32363998530477</v>
      </c>
      <c r="AZ16" s="174">
        <f t="shared" si="2"/>
        <v>2.0886886947939</v>
      </c>
      <c r="BA16" s="173">
        <f t="shared" si="2"/>
        <v>2.78903666544416</v>
      </c>
      <c r="BB16" s="174">
        <f t="shared" si="2"/>
        <v>2.67290512018659</v>
      </c>
      <c r="BC16" s="174">
        <f t="shared" si="2"/>
        <v>3.19484637596766</v>
      </c>
      <c r="BD16" s="173">
        <f t="shared" si="2"/>
        <v>3.39683806152519</v>
      </c>
      <c r="BE16" s="174">
        <f t="shared" si="2"/>
        <v>3.82629107981221</v>
      </c>
      <c r="BF16" s="173">
        <f t="shared" si="2"/>
        <v>3.57172557172557</v>
      </c>
    </row>
    <row r="17" spans="1:1">
      <c r="A17" s="178"/>
    </row>
    <row r="18" spans="1:1">
      <c r="A18" s="178"/>
    </row>
    <row r="19" spans="1:1">
      <c r="A19" s="178"/>
    </row>
    <row r="20" spans="1:1">
      <c r="A20" s="178"/>
    </row>
  </sheetData>
  <mergeCells count="5">
    <mergeCell ref="A1:BF1"/>
    <mergeCell ref="A2:BF2"/>
    <mergeCell ref="A3:A8"/>
    <mergeCell ref="A9:A14"/>
    <mergeCell ref="A15:A20"/>
  </mergeCells>
  <printOptions horizontalCentered="1"/>
  <pageMargins left="0" right="0" top="0.748031496062992" bottom="0.748031496062992" header="0.31496062992126" footer="0.31496062992126"/>
  <pageSetup paperSize="9" scale="9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R24"/>
  <sheetViews>
    <sheetView workbookViewId="0">
      <selection activeCell="T6" sqref="T6"/>
    </sheetView>
  </sheetViews>
  <sheetFormatPr defaultColWidth="8.875" defaultRowHeight="14.25"/>
  <cols>
    <col min="1" max="1" width="9.125" style="105" customWidth="1"/>
    <col min="2" max="2" width="8.375" style="105" customWidth="1"/>
    <col min="3" max="6" width="8.625" style="105" customWidth="1"/>
    <col min="7" max="7" width="6.875" style="106" customWidth="1"/>
    <col min="8" max="8" width="6.875" style="105" customWidth="1"/>
    <col min="9" max="9" width="6.875" style="106" customWidth="1"/>
    <col min="10" max="11" width="6.875" style="105" customWidth="1"/>
    <col min="12" max="12" width="6.875" style="106" customWidth="1"/>
    <col min="13" max="14" width="6.875" style="105" customWidth="1"/>
    <col min="15" max="15" width="6.875" style="106" customWidth="1"/>
    <col min="16" max="17" width="6.875" style="105" customWidth="1"/>
    <col min="18" max="18" width="6.875" style="106" customWidth="1"/>
    <col min="19" max="16384" width="8.875" style="105"/>
  </cols>
  <sheetData>
    <row r="1" ht="35.45" customHeight="1" spans="1:18">
      <c r="A1" s="107" t="s">
        <v>62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ht="21" customHeight="1" spans="1:18">
      <c r="A2" s="118" t="s">
        <v>63</v>
      </c>
      <c r="B2" s="119" t="s">
        <v>64</v>
      </c>
      <c r="C2" s="119" t="s">
        <v>65</v>
      </c>
      <c r="D2" s="119"/>
      <c r="E2" s="119"/>
      <c r="F2" s="120"/>
      <c r="G2" s="118" t="s">
        <v>66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20"/>
    </row>
    <row r="3" s="104" customFormat="1" ht="21" customHeight="1" spans="1:18">
      <c r="A3" s="121"/>
      <c r="B3" s="108"/>
      <c r="C3" s="108" t="s">
        <v>67</v>
      </c>
      <c r="D3" s="108" t="s">
        <v>68</v>
      </c>
      <c r="E3" s="108" t="s">
        <v>69</v>
      </c>
      <c r="F3" s="122" t="s">
        <v>70</v>
      </c>
      <c r="G3" s="182" t="s">
        <v>71</v>
      </c>
      <c r="H3" s="183" t="s">
        <v>72</v>
      </c>
      <c r="I3" s="183" t="s">
        <v>73</v>
      </c>
      <c r="J3" s="183" t="s">
        <v>74</v>
      </c>
      <c r="K3" s="183" t="s">
        <v>75</v>
      </c>
      <c r="L3" s="183" t="s">
        <v>76</v>
      </c>
      <c r="M3" s="183" t="s">
        <v>77</v>
      </c>
      <c r="N3" s="183" t="s">
        <v>78</v>
      </c>
      <c r="O3" s="183" t="s">
        <v>79</v>
      </c>
      <c r="P3" s="183" t="s">
        <v>80</v>
      </c>
      <c r="Q3" s="183" t="s">
        <v>81</v>
      </c>
      <c r="R3" s="184" t="s">
        <v>82</v>
      </c>
    </row>
    <row r="4" s="104" customFormat="1" ht="21" customHeight="1" spans="1:18">
      <c r="A4" s="125" t="s">
        <v>60</v>
      </c>
      <c r="B4" s="39" t="s">
        <v>83</v>
      </c>
      <c r="C4" s="70">
        <f>AVERAGE(G4:I4)</f>
        <v>2262.93831616058</v>
      </c>
      <c r="D4" s="70">
        <f>AVERAGE(J4:L4)</f>
        <v>2344.07321773052</v>
      </c>
      <c r="E4" s="70">
        <f>AVERAGE(M4:O4)</f>
        <v>2230.25200471027</v>
      </c>
      <c r="F4" s="126">
        <f>AVERAGE(P4:R4)</f>
        <v>2345.08393124011</v>
      </c>
      <c r="G4" s="127">
        <v>2134.89368553085</v>
      </c>
      <c r="H4" s="111">
        <v>2300.40239887854</v>
      </c>
      <c r="I4" s="110">
        <v>2353.51886407236</v>
      </c>
      <c r="J4" s="111">
        <v>2376.9914041787</v>
      </c>
      <c r="K4" s="111">
        <v>2370.11097779376</v>
      </c>
      <c r="L4" s="110">
        <v>2285.11727121911</v>
      </c>
      <c r="M4" s="111">
        <v>2235.3890116282</v>
      </c>
      <c r="N4" s="111">
        <v>2225.46747367068</v>
      </c>
      <c r="O4" s="110">
        <v>2229.89952883193</v>
      </c>
      <c r="P4" s="111">
        <v>2235.73247647006</v>
      </c>
      <c r="Q4" s="111">
        <v>2329.2131481707</v>
      </c>
      <c r="R4" s="157">
        <v>2470.30616907957</v>
      </c>
    </row>
    <row r="5" s="104" customFormat="1" ht="21" customHeight="1" spans="1:18">
      <c r="A5" s="128"/>
      <c r="B5" s="39" t="s">
        <v>84</v>
      </c>
      <c r="C5" s="70">
        <f t="shared" ref="C5:C23" si="0">AVERAGE(G5:I5)</f>
        <v>2541.69251680836</v>
      </c>
      <c r="D5" s="70">
        <f t="shared" ref="D5:D23" si="1">AVERAGE(J5:L5)</f>
        <v>2563.39188905814</v>
      </c>
      <c r="E5" s="70">
        <f t="shared" ref="E5:E23" si="2">AVERAGE(M5:O5)</f>
        <v>2719.10924312265</v>
      </c>
      <c r="F5" s="126">
        <f t="shared" ref="F5:F22" si="3">AVERAGE(P5:R5)</f>
        <v>2714.2114309752</v>
      </c>
      <c r="G5" s="129">
        <v>2501.27733994969</v>
      </c>
      <c r="H5" s="112">
        <v>2526.66487491209</v>
      </c>
      <c r="I5" s="113">
        <v>2597.13533556329</v>
      </c>
      <c r="J5" s="112">
        <v>2548.62846129866</v>
      </c>
      <c r="K5" s="112">
        <v>2565.61944262039</v>
      </c>
      <c r="L5" s="113">
        <v>2575.92776325538</v>
      </c>
      <c r="M5" s="112">
        <v>2678.8684330737</v>
      </c>
      <c r="N5" s="112">
        <v>2733.19732199673</v>
      </c>
      <c r="O5" s="113">
        <v>2745.26197429751</v>
      </c>
      <c r="P5" s="112">
        <v>2742.63429292559</v>
      </c>
      <c r="Q5" s="112">
        <v>2700</v>
      </c>
      <c r="R5" s="158">
        <v>2700</v>
      </c>
    </row>
    <row r="6" s="104" customFormat="1" ht="21" customHeight="1" spans="1:18">
      <c r="A6" s="128"/>
      <c r="B6" s="39" t="s">
        <v>85</v>
      </c>
      <c r="C6" s="70">
        <f t="shared" si="0"/>
        <v>2586.46394067912</v>
      </c>
      <c r="D6" s="70">
        <f t="shared" si="1"/>
        <v>2449.48856073457</v>
      </c>
      <c r="E6" s="70">
        <f t="shared" si="2"/>
        <v>2205.16194369134</v>
      </c>
      <c r="F6" s="126">
        <f t="shared" si="3"/>
        <v>2101.42585508904</v>
      </c>
      <c r="G6" s="129">
        <v>2614</v>
      </c>
      <c r="H6" s="112">
        <v>2625</v>
      </c>
      <c r="I6" s="113">
        <v>2520.39182203737</v>
      </c>
      <c r="J6" s="112">
        <v>2512.13068830001</v>
      </c>
      <c r="K6" s="112">
        <v>2429.00920272917</v>
      </c>
      <c r="L6" s="113">
        <v>2407.32579117454</v>
      </c>
      <c r="M6" s="112">
        <v>2214.27488235976</v>
      </c>
      <c r="N6" s="112">
        <v>2214.17373230795</v>
      </c>
      <c r="O6" s="113">
        <v>2187.03721640631</v>
      </c>
      <c r="P6" s="112">
        <v>2139.20731562574</v>
      </c>
      <c r="Q6" s="112">
        <v>2103.83873158189</v>
      </c>
      <c r="R6" s="158">
        <v>2061.2315180595</v>
      </c>
    </row>
    <row r="7" s="104" customFormat="1" ht="21" customHeight="1" spans="1:18">
      <c r="A7" s="128"/>
      <c r="B7" s="39" t="s">
        <v>86</v>
      </c>
      <c r="C7" s="70">
        <f t="shared" si="0"/>
        <v>2019.94582172916</v>
      </c>
      <c r="D7" s="70">
        <f t="shared" si="1"/>
        <v>2068.11300577628</v>
      </c>
      <c r="E7" s="70">
        <f t="shared" si="2"/>
        <v>2119.18093406149</v>
      </c>
      <c r="F7" s="126">
        <f t="shared" si="3"/>
        <v>2274.33690345294</v>
      </c>
      <c r="G7" s="129">
        <v>2085.85646546543</v>
      </c>
      <c r="H7" s="112">
        <v>1986.99049986103</v>
      </c>
      <c r="I7" s="113">
        <v>1986.99049986103</v>
      </c>
      <c r="J7" s="112">
        <v>2071.54970299319</v>
      </c>
      <c r="K7" s="112">
        <v>2060.86989188714</v>
      </c>
      <c r="L7" s="113">
        <v>2071.91942244851</v>
      </c>
      <c r="M7" s="112">
        <v>2098.81534256527</v>
      </c>
      <c r="N7" s="112">
        <v>2082.68201288914</v>
      </c>
      <c r="O7" s="113">
        <v>2176.04544673005</v>
      </c>
      <c r="P7" s="112">
        <v>2238.37267542502</v>
      </c>
      <c r="Q7" s="112">
        <v>2273.71492390218</v>
      </c>
      <c r="R7" s="158">
        <v>2310.92311103161</v>
      </c>
    </row>
    <row r="8" s="104" customFormat="1" ht="21" customHeight="1" spans="1:18">
      <c r="A8" s="128"/>
      <c r="B8" s="39" t="s">
        <v>87</v>
      </c>
      <c r="C8" s="70">
        <f t="shared" si="0"/>
        <v>2521.22508030816</v>
      </c>
      <c r="D8" s="70">
        <f t="shared" si="1"/>
        <v>3260.5615680458</v>
      </c>
      <c r="E8" s="70">
        <f t="shared" si="2"/>
        <v>3553.86538809168</v>
      </c>
      <c r="F8" s="126">
        <f t="shared" si="3"/>
        <v>3604.96355602945</v>
      </c>
      <c r="G8" s="129">
        <v>2365.12277264168</v>
      </c>
      <c r="H8" s="112">
        <v>2471.1848190443</v>
      </c>
      <c r="I8" s="113">
        <v>2727.36764923849</v>
      </c>
      <c r="J8" s="112">
        <v>3293.74390943446</v>
      </c>
      <c r="K8" s="112">
        <v>3225.76580175787</v>
      </c>
      <c r="L8" s="113">
        <v>3262.17499294506</v>
      </c>
      <c r="M8" s="112">
        <v>3373.02009683852</v>
      </c>
      <c r="N8" s="113">
        <v>3508.28733466809</v>
      </c>
      <c r="O8" s="113">
        <v>3780.28873276843</v>
      </c>
      <c r="P8" s="112">
        <v>3742.63740127969</v>
      </c>
      <c r="Q8" s="112">
        <v>3536.15387237605</v>
      </c>
      <c r="R8" s="158">
        <v>3536.09939443262</v>
      </c>
    </row>
    <row r="9" s="104" customFormat="1" ht="21" hidden="1" customHeight="1" spans="1:18">
      <c r="A9" s="128"/>
      <c r="B9" s="39" t="s">
        <v>88</v>
      </c>
      <c r="C9" s="70">
        <f t="shared" si="0"/>
        <v>3824.44509202754</v>
      </c>
      <c r="D9" s="70">
        <f t="shared" si="1"/>
        <v>4890.33333333333</v>
      </c>
      <c r="E9" s="70">
        <f t="shared" si="2"/>
        <v>5077.33333333333</v>
      </c>
      <c r="F9" s="130">
        <v>3900</v>
      </c>
      <c r="G9" s="129">
        <v>3635.94254687299</v>
      </c>
      <c r="H9" s="112">
        <v>3566.13213614648</v>
      </c>
      <c r="I9" s="113">
        <v>4271.26059306314</v>
      </c>
      <c r="J9" s="112">
        <v>4362</v>
      </c>
      <c r="K9" s="112">
        <v>5029</v>
      </c>
      <c r="L9" s="113">
        <v>5280</v>
      </c>
      <c r="M9" s="112">
        <v>5705</v>
      </c>
      <c r="N9" s="113">
        <v>5154</v>
      </c>
      <c r="O9" s="152">
        <v>4373</v>
      </c>
      <c r="P9" s="153">
        <v>3900</v>
      </c>
      <c r="Q9" s="153">
        <v>3900</v>
      </c>
      <c r="R9" s="159">
        <v>3900</v>
      </c>
    </row>
    <row r="10" s="104" customFormat="1" ht="21" customHeight="1" spans="1:18">
      <c r="A10" s="131"/>
      <c r="B10" s="132" t="s">
        <v>3</v>
      </c>
      <c r="C10" s="133">
        <f>AVERAGE(C4:C8)</f>
        <v>2386.45313513708</v>
      </c>
      <c r="D10" s="133">
        <f t="shared" ref="D10:R10" si="4">AVERAGE(D4:D8)</f>
        <v>2537.12564826906</v>
      </c>
      <c r="E10" s="133">
        <f t="shared" si="4"/>
        <v>2565.51390273548</v>
      </c>
      <c r="F10" s="134">
        <f t="shared" si="4"/>
        <v>2608.00433535735</v>
      </c>
      <c r="G10" s="135">
        <f t="shared" si="4"/>
        <v>2340.23005271753</v>
      </c>
      <c r="H10" s="136">
        <f t="shared" si="4"/>
        <v>2382.04851853919</v>
      </c>
      <c r="I10" s="154">
        <f t="shared" si="4"/>
        <v>2437.08083415451</v>
      </c>
      <c r="J10" s="136">
        <f t="shared" si="4"/>
        <v>2560.608833241</v>
      </c>
      <c r="K10" s="136">
        <f t="shared" si="4"/>
        <v>2530.27506335767</v>
      </c>
      <c r="L10" s="154">
        <f t="shared" si="4"/>
        <v>2520.49304820852</v>
      </c>
      <c r="M10" s="136">
        <f t="shared" si="4"/>
        <v>2520.07355329309</v>
      </c>
      <c r="N10" s="154">
        <f t="shared" si="4"/>
        <v>2552.76157510652</v>
      </c>
      <c r="O10" s="154">
        <f t="shared" si="4"/>
        <v>2623.70657980685</v>
      </c>
      <c r="P10" s="136">
        <f t="shared" si="4"/>
        <v>2619.71683234522</v>
      </c>
      <c r="Q10" s="136">
        <f t="shared" si="4"/>
        <v>2588.58413520616</v>
      </c>
      <c r="R10" s="160">
        <f t="shared" si="4"/>
        <v>2615.71203852066</v>
      </c>
    </row>
    <row r="11" ht="21" customHeight="1" spans="1:18">
      <c r="A11" s="137" t="s">
        <v>89</v>
      </c>
      <c r="B11" s="138" t="s">
        <v>83</v>
      </c>
      <c r="C11" s="139">
        <f t="shared" si="0"/>
        <v>925.666666666667</v>
      </c>
      <c r="D11" s="139">
        <f t="shared" si="1"/>
        <v>847.666666666667</v>
      </c>
      <c r="E11" s="139">
        <f t="shared" si="2"/>
        <v>1006.66666666667</v>
      </c>
      <c r="F11" s="140">
        <f t="shared" si="3"/>
        <v>1459.66666666667</v>
      </c>
      <c r="G11" s="141">
        <v>917</v>
      </c>
      <c r="H11" s="142">
        <v>937</v>
      </c>
      <c r="I11" s="142">
        <v>923</v>
      </c>
      <c r="J11" s="142">
        <v>833</v>
      </c>
      <c r="K11" s="142">
        <v>843</v>
      </c>
      <c r="L11" s="142">
        <v>867</v>
      </c>
      <c r="M11" s="142">
        <v>932</v>
      </c>
      <c r="N11" s="142">
        <v>1013</v>
      </c>
      <c r="O11" s="142">
        <v>1075</v>
      </c>
      <c r="P11" s="142">
        <v>1416</v>
      </c>
      <c r="Q11" s="142">
        <v>1632</v>
      </c>
      <c r="R11" s="161">
        <v>1331</v>
      </c>
    </row>
    <row r="12" ht="21" customHeight="1" spans="1:18">
      <c r="A12" s="143"/>
      <c r="B12" s="39" t="s">
        <v>84</v>
      </c>
      <c r="C12" s="70">
        <f t="shared" si="0"/>
        <v>1196.66666666667</v>
      </c>
      <c r="D12" s="70">
        <f t="shared" si="1"/>
        <v>1141.33333333333</v>
      </c>
      <c r="E12" s="70">
        <f t="shared" si="2"/>
        <v>1366</v>
      </c>
      <c r="F12" s="126">
        <f t="shared" si="3"/>
        <v>1392.5</v>
      </c>
      <c r="G12" s="144">
        <v>1214</v>
      </c>
      <c r="H12" s="116">
        <v>1229</v>
      </c>
      <c r="I12" s="115">
        <v>1147</v>
      </c>
      <c r="J12" s="116">
        <v>1089</v>
      </c>
      <c r="K12" s="116">
        <v>1157</v>
      </c>
      <c r="L12" s="115">
        <v>1178</v>
      </c>
      <c r="M12" s="116">
        <v>1223</v>
      </c>
      <c r="N12" s="116">
        <v>1358</v>
      </c>
      <c r="O12" s="115">
        <v>1517</v>
      </c>
      <c r="P12" s="116">
        <v>1489</v>
      </c>
      <c r="Q12" s="116">
        <v>1428</v>
      </c>
      <c r="R12" s="162">
        <v>1260.5</v>
      </c>
    </row>
    <row r="13" ht="21" customHeight="1" spans="1:18">
      <c r="A13" s="143"/>
      <c r="B13" s="39" t="s">
        <v>85</v>
      </c>
      <c r="C13" s="70">
        <f t="shared" si="0"/>
        <v>1105.15666666667</v>
      </c>
      <c r="D13" s="70">
        <f t="shared" si="1"/>
        <v>1008.09045112782</v>
      </c>
      <c r="E13" s="70">
        <f t="shared" si="2"/>
        <v>775.319894598155</v>
      </c>
      <c r="F13" s="126">
        <f t="shared" si="3"/>
        <v>585.01025290499</v>
      </c>
      <c r="G13" s="144">
        <v>1163.57</v>
      </c>
      <c r="H13" s="116">
        <v>1116</v>
      </c>
      <c r="I13" s="115">
        <v>1035.9</v>
      </c>
      <c r="J13" s="116">
        <v>1027.73</v>
      </c>
      <c r="K13" s="116">
        <v>1002.85714285714</v>
      </c>
      <c r="L13" s="115">
        <v>993.684210526316</v>
      </c>
      <c r="M13" s="116">
        <v>871.086956521739</v>
      </c>
      <c r="N13" s="116">
        <v>782.272727272727</v>
      </c>
      <c r="O13" s="115">
        <v>672.6</v>
      </c>
      <c r="P13" s="116">
        <v>632.368421052632</v>
      </c>
      <c r="Q13" s="116">
        <v>553.571428571429</v>
      </c>
      <c r="R13" s="162">
        <v>569.090909090909</v>
      </c>
    </row>
    <row r="14" ht="21" customHeight="1" spans="1:18">
      <c r="A14" s="143"/>
      <c r="B14" s="39" t="s">
        <v>86</v>
      </c>
      <c r="C14" s="70">
        <f t="shared" si="0"/>
        <v>655.520833333333</v>
      </c>
      <c r="D14" s="70">
        <f t="shared" si="1"/>
        <v>663.550732892838</v>
      </c>
      <c r="E14" s="70">
        <f t="shared" si="2"/>
        <v>691.649413388544</v>
      </c>
      <c r="F14" s="126">
        <f t="shared" si="3"/>
        <v>854.338765809354</v>
      </c>
      <c r="G14" s="144">
        <v>626.5625</v>
      </c>
      <c r="H14" s="116">
        <v>641.136363636364</v>
      </c>
      <c r="I14" s="115">
        <v>698.863636363636</v>
      </c>
      <c r="J14" s="116">
        <v>628.409090909091</v>
      </c>
      <c r="K14" s="116">
        <v>671.052631578947</v>
      </c>
      <c r="L14" s="115">
        <v>691.190476190476</v>
      </c>
      <c r="M14" s="116">
        <v>660.869565217391</v>
      </c>
      <c r="N14" s="116">
        <v>681.904761904762</v>
      </c>
      <c r="O14" s="115">
        <v>732.173913043478</v>
      </c>
      <c r="P14" s="116">
        <v>776.176470588235</v>
      </c>
      <c r="Q14" s="116">
        <v>836.363636363636</v>
      </c>
      <c r="R14" s="162">
        <v>950.47619047619</v>
      </c>
    </row>
    <row r="15" ht="21" customHeight="1" spans="1:18">
      <c r="A15" s="143"/>
      <c r="B15" s="39" t="s">
        <v>87</v>
      </c>
      <c r="C15" s="70">
        <f t="shared" si="0"/>
        <v>1323.51683716965</v>
      </c>
      <c r="D15" s="70">
        <f t="shared" si="1"/>
        <v>1554.11027568922</v>
      </c>
      <c r="E15" s="70">
        <f t="shared" si="2"/>
        <v>1785.60606060606</v>
      </c>
      <c r="F15" s="126">
        <f t="shared" si="3"/>
        <v>2113.97349453615</v>
      </c>
      <c r="G15" s="144">
        <v>1122.75</v>
      </c>
      <c r="H15" s="116">
        <v>1468.23529411765</v>
      </c>
      <c r="I15" s="115">
        <v>1379.5652173913</v>
      </c>
      <c r="J15" s="116">
        <v>1450</v>
      </c>
      <c r="K15" s="116">
        <v>1584.47368421053</v>
      </c>
      <c r="L15" s="115">
        <v>1627.85714285714</v>
      </c>
      <c r="M15" s="116">
        <v>1614.31818181818</v>
      </c>
      <c r="N15" s="115">
        <v>1804.09090909091</v>
      </c>
      <c r="O15" s="115">
        <v>1938.40909090909</v>
      </c>
      <c r="P15" s="116">
        <v>1967.05882352941</v>
      </c>
      <c r="Q15" s="116">
        <v>2031.81818181818</v>
      </c>
      <c r="R15" s="162">
        <v>2343.04347826087</v>
      </c>
    </row>
    <row r="16" ht="21" hidden="1" customHeight="1" spans="1:18">
      <c r="A16" s="143"/>
      <c r="B16" s="39" t="s">
        <v>88</v>
      </c>
      <c r="C16" s="70">
        <f t="shared" si="0"/>
        <v>2785.52777777778</v>
      </c>
      <c r="D16" s="70">
        <f t="shared" si="1"/>
        <v>3724.19047619048</v>
      </c>
      <c r="E16" s="70">
        <f t="shared" si="2"/>
        <v>1370.26915113872</v>
      </c>
      <c r="F16" s="130">
        <v>1200</v>
      </c>
      <c r="G16" s="144">
        <v>2491.25</v>
      </c>
      <c r="H16" s="116">
        <v>2599.33333333333</v>
      </c>
      <c r="I16" s="115">
        <v>3266</v>
      </c>
      <c r="J16" s="116">
        <v>3540.47619047619</v>
      </c>
      <c r="K16" s="116">
        <v>4064</v>
      </c>
      <c r="L16" s="115">
        <v>3568.09523809524</v>
      </c>
      <c r="M16" s="116">
        <v>1894.28571428571</v>
      </c>
      <c r="N16" s="115">
        <v>1086.52173913043</v>
      </c>
      <c r="O16" s="152">
        <v>1130</v>
      </c>
      <c r="P16" s="153">
        <v>1200</v>
      </c>
      <c r="Q16" s="153">
        <v>1200</v>
      </c>
      <c r="R16" s="159">
        <v>1200</v>
      </c>
    </row>
    <row r="17" ht="21" customHeight="1" spans="1:18">
      <c r="A17" s="143"/>
      <c r="B17" s="132" t="s">
        <v>3</v>
      </c>
      <c r="C17" s="133">
        <f>AVERAGE(C11:C15)</f>
        <v>1041.3055341006</v>
      </c>
      <c r="D17" s="133">
        <f t="shared" ref="D17:R17" si="5">AVERAGE(D11:D15)</f>
        <v>1042.95029194198</v>
      </c>
      <c r="E17" s="133">
        <f t="shared" si="5"/>
        <v>1125.04840705189</v>
      </c>
      <c r="F17" s="134">
        <f t="shared" si="5"/>
        <v>1281.09783598343</v>
      </c>
      <c r="G17" s="135">
        <f t="shared" si="5"/>
        <v>1008.7765</v>
      </c>
      <c r="H17" s="136">
        <f t="shared" si="5"/>
        <v>1078.2743315508</v>
      </c>
      <c r="I17" s="154">
        <f t="shared" si="5"/>
        <v>1036.86577075099</v>
      </c>
      <c r="J17" s="136">
        <f t="shared" si="5"/>
        <v>1005.62781818182</v>
      </c>
      <c r="K17" s="136">
        <f t="shared" si="5"/>
        <v>1051.67669172932</v>
      </c>
      <c r="L17" s="154">
        <f t="shared" si="5"/>
        <v>1071.54636591479</v>
      </c>
      <c r="M17" s="136">
        <f t="shared" si="5"/>
        <v>1060.25494071146</v>
      </c>
      <c r="N17" s="154">
        <f t="shared" si="5"/>
        <v>1127.85367965368</v>
      </c>
      <c r="O17" s="154">
        <f t="shared" si="5"/>
        <v>1187.03660079051</v>
      </c>
      <c r="P17" s="136">
        <f t="shared" si="5"/>
        <v>1256.12074303406</v>
      </c>
      <c r="Q17" s="136">
        <f t="shared" si="5"/>
        <v>1296.35064935065</v>
      </c>
      <c r="R17" s="160">
        <f t="shared" si="5"/>
        <v>1290.82211556559</v>
      </c>
    </row>
    <row r="18" ht="21" customHeight="1" spans="1:18">
      <c r="A18" s="145" t="s">
        <v>90</v>
      </c>
      <c r="B18" s="138" t="s">
        <v>83</v>
      </c>
      <c r="C18" s="139">
        <f t="shared" si="0"/>
        <v>350</v>
      </c>
      <c r="D18" s="139">
        <f t="shared" si="1"/>
        <v>355</v>
      </c>
      <c r="E18" s="139">
        <f t="shared" si="2"/>
        <v>355</v>
      </c>
      <c r="F18" s="140">
        <f t="shared" si="3"/>
        <v>380</v>
      </c>
      <c r="G18" s="141">
        <v>340</v>
      </c>
      <c r="H18" s="146">
        <v>355</v>
      </c>
      <c r="I18" s="142">
        <v>355</v>
      </c>
      <c r="J18" s="146">
        <v>355</v>
      </c>
      <c r="K18" s="146">
        <v>355</v>
      </c>
      <c r="L18" s="142">
        <v>355</v>
      </c>
      <c r="M18" s="146">
        <v>355</v>
      </c>
      <c r="N18" s="146">
        <v>355</v>
      </c>
      <c r="O18" s="142">
        <v>355</v>
      </c>
      <c r="P18" s="146">
        <v>355</v>
      </c>
      <c r="Q18" s="146">
        <v>355</v>
      </c>
      <c r="R18" s="161">
        <v>430</v>
      </c>
    </row>
    <row r="19" ht="21" customHeight="1" spans="1:18">
      <c r="A19" s="128"/>
      <c r="B19" s="39" t="s">
        <v>84</v>
      </c>
      <c r="C19" s="70">
        <f t="shared" si="0"/>
        <v>430</v>
      </c>
      <c r="D19" s="70">
        <f t="shared" si="1"/>
        <v>430</v>
      </c>
      <c r="E19" s="70">
        <f t="shared" si="2"/>
        <v>430</v>
      </c>
      <c r="F19" s="126">
        <f t="shared" si="3"/>
        <v>460</v>
      </c>
      <c r="G19" s="144">
        <v>430</v>
      </c>
      <c r="H19" s="116">
        <v>430</v>
      </c>
      <c r="I19" s="115">
        <v>430</v>
      </c>
      <c r="J19" s="116">
        <v>430</v>
      </c>
      <c r="K19" s="116">
        <v>430</v>
      </c>
      <c r="L19" s="115">
        <v>430</v>
      </c>
      <c r="M19" s="116">
        <v>430</v>
      </c>
      <c r="N19" s="116">
        <v>430</v>
      </c>
      <c r="O19" s="115">
        <v>430</v>
      </c>
      <c r="P19" s="116">
        <v>430</v>
      </c>
      <c r="Q19" s="116">
        <v>450</v>
      </c>
      <c r="R19" s="162">
        <v>500</v>
      </c>
    </row>
    <row r="20" ht="21" customHeight="1" spans="1:18">
      <c r="A20" s="128"/>
      <c r="B20" s="39" t="s">
        <v>85</v>
      </c>
      <c r="C20" s="70">
        <f t="shared" si="0"/>
        <v>453.333333333333</v>
      </c>
      <c r="D20" s="70">
        <f t="shared" si="1"/>
        <v>420</v>
      </c>
      <c r="E20" s="70">
        <f t="shared" si="2"/>
        <v>393.333333333333</v>
      </c>
      <c r="F20" s="126">
        <f t="shared" si="3"/>
        <v>373.333333333333</v>
      </c>
      <c r="G20" s="144">
        <v>470</v>
      </c>
      <c r="H20" s="116">
        <v>470</v>
      </c>
      <c r="I20" s="115">
        <v>420</v>
      </c>
      <c r="J20" s="116">
        <v>420</v>
      </c>
      <c r="K20" s="116">
        <v>420</v>
      </c>
      <c r="L20" s="115">
        <v>420</v>
      </c>
      <c r="M20" s="116">
        <v>400</v>
      </c>
      <c r="N20" s="116">
        <v>400</v>
      </c>
      <c r="O20" s="115">
        <v>380</v>
      </c>
      <c r="P20" s="116">
        <v>380</v>
      </c>
      <c r="Q20" s="116">
        <v>370</v>
      </c>
      <c r="R20" s="162">
        <v>370</v>
      </c>
    </row>
    <row r="21" ht="21" customHeight="1" spans="1:18">
      <c r="A21" s="128"/>
      <c r="B21" s="39" t="s">
        <v>86</v>
      </c>
      <c r="C21" s="70">
        <f t="shared" si="0"/>
        <v>370</v>
      </c>
      <c r="D21" s="70">
        <f t="shared" si="1"/>
        <v>338</v>
      </c>
      <c r="E21" s="70">
        <f t="shared" si="2"/>
        <v>334.666666666667</v>
      </c>
      <c r="F21" s="126">
        <f t="shared" si="3"/>
        <v>348</v>
      </c>
      <c r="G21" s="144">
        <v>370</v>
      </c>
      <c r="H21" s="116">
        <v>370</v>
      </c>
      <c r="I21" s="115">
        <v>370</v>
      </c>
      <c r="J21" s="116">
        <v>338</v>
      </c>
      <c r="K21" s="116">
        <v>338</v>
      </c>
      <c r="L21" s="115">
        <v>338</v>
      </c>
      <c r="M21" s="116">
        <v>338</v>
      </c>
      <c r="N21" s="116">
        <v>338</v>
      </c>
      <c r="O21" s="115">
        <v>328</v>
      </c>
      <c r="P21" s="116">
        <v>328</v>
      </c>
      <c r="Q21" s="116">
        <v>358</v>
      </c>
      <c r="R21" s="162">
        <v>358</v>
      </c>
    </row>
    <row r="22" ht="21" customHeight="1" spans="1:18">
      <c r="A22" s="128"/>
      <c r="B22" s="39" t="s">
        <v>87</v>
      </c>
      <c r="C22" s="70">
        <f t="shared" si="0"/>
        <v>358</v>
      </c>
      <c r="D22" s="70">
        <f t="shared" si="1"/>
        <v>451.333333333333</v>
      </c>
      <c r="E22" s="70">
        <f t="shared" si="2"/>
        <v>558</v>
      </c>
      <c r="F22" s="126">
        <f t="shared" si="3"/>
        <v>608</v>
      </c>
      <c r="G22" s="144">
        <v>358</v>
      </c>
      <c r="H22" s="116">
        <v>358</v>
      </c>
      <c r="I22" s="115">
        <v>358</v>
      </c>
      <c r="J22" s="116">
        <v>408</v>
      </c>
      <c r="K22" s="116">
        <v>458</v>
      </c>
      <c r="L22" s="115">
        <v>488</v>
      </c>
      <c r="M22" s="116">
        <v>508</v>
      </c>
      <c r="N22" s="115">
        <v>558</v>
      </c>
      <c r="O22" s="115">
        <v>608</v>
      </c>
      <c r="P22" s="116">
        <v>608</v>
      </c>
      <c r="Q22" s="116">
        <v>608</v>
      </c>
      <c r="R22" s="162">
        <v>608</v>
      </c>
    </row>
    <row r="23" ht="21" hidden="1" customHeight="1" spans="1:18">
      <c r="A23" s="128"/>
      <c r="B23" s="39" t="s">
        <v>88</v>
      </c>
      <c r="C23" s="70">
        <f t="shared" si="0"/>
        <v>608</v>
      </c>
      <c r="D23" s="70">
        <f t="shared" si="1"/>
        <v>749.733333333333</v>
      </c>
      <c r="E23" s="70">
        <f t="shared" si="2"/>
        <v>958</v>
      </c>
      <c r="F23" s="130">
        <v>800</v>
      </c>
      <c r="G23" s="144">
        <v>608</v>
      </c>
      <c r="H23" s="116">
        <v>608</v>
      </c>
      <c r="I23" s="115">
        <v>608</v>
      </c>
      <c r="J23" s="116">
        <v>645.6</v>
      </c>
      <c r="K23" s="116">
        <v>745.6</v>
      </c>
      <c r="L23" s="115">
        <v>858</v>
      </c>
      <c r="M23" s="116">
        <v>958</v>
      </c>
      <c r="N23" s="115">
        <v>958</v>
      </c>
      <c r="O23" s="152">
        <v>958</v>
      </c>
      <c r="P23" s="153">
        <v>800</v>
      </c>
      <c r="Q23" s="153">
        <v>800</v>
      </c>
      <c r="R23" s="159">
        <v>800</v>
      </c>
    </row>
    <row r="24" ht="22.9" customHeight="1" spans="1:18">
      <c r="A24" s="131"/>
      <c r="B24" s="147" t="s">
        <v>3</v>
      </c>
      <c r="C24" s="148">
        <f>AVERAGE(C18:C22)</f>
        <v>392.266666666667</v>
      </c>
      <c r="D24" s="148">
        <f t="shared" ref="D24:R24" si="6">AVERAGE(D18:D22)</f>
        <v>398.866666666667</v>
      </c>
      <c r="E24" s="148">
        <f t="shared" si="6"/>
        <v>414.2</v>
      </c>
      <c r="F24" s="149">
        <f t="shared" si="6"/>
        <v>433.866666666667</v>
      </c>
      <c r="G24" s="150">
        <f t="shared" si="6"/>
        <v>393.6</v>
      </c>
      <c r="H24" s="151">
        <f t="shared" si="6"/>
        <v>396.6</v>
      </c>
      <c r="I24" s="155">
        <f t="shared" si="6"/>
        <v>386.6</v>
      </c>
      <c r="J24" s="151">
        <f t="shared" si="6"/>
        <v>390.2</v>
      </c>
      <c r="K24" s="151">
        <f t="shared" si="6"/>
        <v>400.2</v>
      </c>
      <c r="L24" s="155">
        <f t="shared" si="6"/>
        <v>406.2</v>
      </c>
      <c r="M24" s="151">
        <f t="shared" si="6"/>
        <v>406.2</v>
      </c>
      <c r="N24" s="155">
        <f t="shared" si="6"/>
        <v>416.2</v>
      </c>
      <c r="O24" s="155">
        <f t="shared" si="6"/>
        <v>420.2</v>
      </c>
      <c r="P24" s="151">
        <f t="shared" si="6"/>
        <v>420.2</v>
      </c>
      <c r="Q24" s="151">
        <f t="shared" si="6"/>
        <v>428.2</v>
      </c>
      <c r="R24" s="163">
        <f t="shared" si="6"/>
        <v>453.2</v>
      </c>
    </row>
  </sheetData>
  <mergeCells count="8">
    <mergeCell ref="A1:R1"/>
    <mergeCell ref="C2:F2"/>
    <mergeCell ref="G2:R2"/>
    <mergeCell ref="A2:A3"/>
    <mergeCell ref="A4:A10"/>
    <mergeCell ref="A11:A17"/>
    <mergeCell ref="A18:A24"/>
    <mergeCell ref="B2:B3"/>
  </mergeCells>
  <printOptions horizontalCentered="1"/>
  <pageMargins left="0" right="0" top="0.590551181102362" bottom="0.354330708661417" header="0.31496062992126" footer="0.31496062992126"/>
  <pageSetup paperSize="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22"/>
  <sheetViews>
    <sheetView workbookViewId="0">
      <selection activeCell="B17" sqref="B17:J17"/>
    </sheetView>
  </sheetViews>
  <sheetFormatPr defaultColWidth="8.875" defaultRowHeight="14.25"/>
  <cols>
    <col min="1" max="1" width="9.125" style="105" customWidth="1"/>
    <col min="2" max="2" width="7.625" style="105" customWidth="1"/>
    <col min="3" max="3" width="6.875" style="106" customWidth="1"/>
    <col min="4" max="4" width="6.875" style="105" customWidth="1"/>
    <col min="5" max="5" width="6.875" style="106" customWidth="1"/>
    <col min="6" max="7" width="6.875" style="105" customWidth="1"/>
    <col min="8" max="8" width="6.875" style="106" customWidth="1"/>
    <col min="9" max="10" width="6.875" style="105" customWidth="1"/>
    <col min="11" max="11" width="6.875" style="106" customWidth="1"/>
    <col min="12" max="13" width="6.875" style="105" customWidth="1"/>
    <col min="14" max="14" width="6.875" style="106" customWidth="1"/>
    <col min="15" max="16384" width="8.875" style="105"/>
  </cols>
  <sheetData>
    <row r="1" ht="28.15" customHeight="1" spans="1:14">
      <c r="A1" s="107" t="s">
        <v>91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="104" customFormat="1" ht="21" customHeight="1" spans="1:14">
      <c r="A2" s="108" t="s">
        <v>63</v>
      </c>
      <c r="B2" s="108" t="s">
        <v>64</v>
      </c>
      <c r="C2" s="185" t="s">
        <v>71</v>
      </c>
      <c r="D2" s="185" t="s">
        <v>72</v>
      </c>
      <c r="E2" s="185" t="s">
        <v>73</v>
      </c>
      <c r="F2" s="185" t="s">
        <v>74</v>
      </c>
      <c r="G2" s="185" t="s">
        <v>75</v>
      </c>
      <c r="H2" s="185" t="s">
        <v>76</v>
      </c>
      <c r="I2" s="185" t="s">
        <v>77</v>
      </c>
      <c r="J2" s="185" t="s">
        <v>78</v>
      </c>
      <c r="K2" s="185" t="s">
        <v>79</v>
      </c>
      <c r="L2" s="185" t="s">
        <v>80</v>
      </c>
      <c r="M2" s="185" t="s">
        <v>81</v>
      </c>
      <c r="N2" s="185" t="s">
        <v>82</v>
      </c>
    </row>
    <row r="3" s="104" customFormat="1" ht="16.15" customHeight="1" spans="1:14">
      <c r="A3" s="39" t="s">
        <v>60</v>
      </c>
      <c r="B3" s="39" t="s">
        <v>84</v>
      </c>
      <c r="C3" s="113">
        <v>2501.27733994969</v>
      </c>
      <c r="D3" s="112">
        <v>2526.66487491209</v>
      </c>
      <c r="E3" s="113">
        <v>2597.13533556329</v>
      </c>
      <c r="F3" s="112">
        <v>2548.62846129866</v>
      </c>
      <c r="G3" s="112">
        <v>2565.61944262039</v>
      </c>
      <c r="H3" s="113">
        <v>2575.92776325538</v>
      </c>
      <c r="I3" s="112">
        <v>2678.8684330737</v>
      </c>
      <c r="J3" s="112">
        <v>2733.19732199673</v>
      </c>
      <c r="K3" s="113">
        <v>2745.26197429751</v>
      </c>
      <c r="L3" s="112">
        <v>2742.63429292559</v>
      </c>
      <c r="M3" s="112">
        <v>2700</v>
      </c>
      <c r="N3" s="113">
        <v>2700</v>
      </c>
    </row>
    <row r="4" s="104" customFormat="1" ht="16.15" customHeight="1" spans="1:14">
      <c r="A4" s="39"/>
      <c r="B4" s="39" t="s">
        <v>85</v>
      </c>
      <c r="C4" s="112">
        <v>2614</v>
      </c>
      <c r="D4" s="112">
        <v>2625</v>
      </c>
      <c r="E4" s="113">
        <v>2520.39182203737</v>
      </c>
      <c r="F4" s="112">
        <v>2512.13068830001</v>
      </c>
      <c r="G4" s="112">
        <v>2429.00920272917</v>
      </c>
      <c r="H4" s="113">
        <v>2407.32579117454</v>
      </c>
      <c r="I4" s="112">
        <v>2214.27488235976</v>
      </c>
      <c r="J4" s="112">
        <v>2214.17373230795</v>
      </c>
      <c r="K4" s="113">
        <v>2187.03721640631</v>
      </c>
      <c r="L4" s="112">
        <v>2139.20731562574</v>
      </c>
      <c r="M4" s="112">
        <v>2103.83873158189</v>
      </c>
      <c r="N4" s="113">
        <v>2061.2315180595</v>
      </c>
    </row>
    <row r="5" s="104" customFormat="1" ht="16.15" customHeight="1" spans="1:14">
      <c r="A5" s="39"/>
      <c r="B5" s="39" t="s">
        <v>86</v>
      </c>
      <c r="C5" s="112">
        <v>2085.85646546543</v>
      </c>
      <c r="D5" s="112">
        <v>1986.99049986103</v>
      </c>
      <c r="E5" s="113">
        <v>1986.99049986103</v>
      </c>
      <c r="F5" s="112">
        <v>2071.54970299319</v>
      </c>
      <c r="G5" s="112">
        <v>2060.86989188714</v>
      </c>
      <c r="H5" s="113">
        <v>2071.91942244851</v>
      </c>
      <c r="I5" s="112">
        <v>2098.81534256527</v>
      </c>
      <c r="J5" s="112">
        <v>2082.68201288914</v>
      </c>
      <c r="K5" s="113">
        <v>2176.04544673005</v>
      </c>
      <c r="L5" s="112">
        <v>2238.37267542502</v>
      </c>
      <c r="M5" s="112">
        <v>2273.71492390218</v>
      </c>
      <c r="N5" s="113">
        <v>2310.92311103161</v>
      </c>
    </row>
    <row r="6" s="104" customFormat="1" ht="16.15" customHeight="1" spans="1:14">
      <c r="A6" s="39"/>
      <c r="B6" s="39" t="s">
        <v>87</v>
      </c>
      <c r="C6" s="112">
        <v>2365.12277264168</v>
      </c>
      <c r="D6" s="112">
        <v>2471.1848190443</v>
      </c>
      <c r="E6" s="113">
        <v>2727.36764923849</v>
      </c>
      <c r="F6" s="112">
        <v>3293.74390943446</v>
      </c>
      <c r="G6" s="112">
        <v>3225.76580175787</v>
      </c>
      <c r="H6" s="113">
        <v>3262.17499294506</v>
      </c>
      <c r="I6" s="112">
        <v>3373.02009683852</v>
      </c>
      <c r="J6" s="112">
        <v>3508.28733466809</v>
      </c>
      <c r="K6" s="113">
        <v>3780.28873276843</v>
      </c>
      <c r="L6" s="112">
        <v>3742.63740127969</v>
      </c>
      <c r="M6" s="112">
        <v>3536.15387237605</v>
      </c>
      <c r="N6" s="113">
        <v>3536.09939443262</v>
      </c>
    </row>
    <row r="7" s="104" customFormat="1" ht="16.15" customHeight="1" spans="1:14">
      <c r="A7" s="39"/>
      <c r="B7" s="39" t="s">
        <v>88</v>
      </c>
      <c r="C7" s="112">
        <v>3635.94254687299</v>
      </c>
      <c r="D7" s="112">
        <v>3566.13213614648</v>
      </c>
      <c r="E7" s="113">
        <v>4271.26059306314</v>
      </c>
      <c r="F7" s="112">
        <v>4362</v>
      </c>
      <c r="G7" s="112">
        <v>5029</v>
      </c>
      <c r="H7" s="113">
        <v>5280</v>
      </c>
      <c r="I7" s="112">
        <v>5705</v>
      </c>
      <c r="J7" s="113">
        <v>5154</v>
      </c>
      <c r="K7" s="113"/>
      <c r="L7" s="112"/>
      <c r="M7" s="112"/>
      <c r="N7" s="113"/>
    </row>
    <row r="8" ht="16.15" customHeight="1" spans="1:14">
      <c r="A8" s="114" t="s">
        <v>89</v>
      </c>
      <c r="B8" s="39" t="s">
        <v>84</v>
      </c>
      <c r="C8" s="115">
        <v>1214</v>
      </c>
      <c r="D8" s="116">
        <v>1229</v>
      </c>
      <c r="E8" s="115">
        <v>1147</v>
      </c>
      <c r="F8" s="116">
        <v>1089</v>
      </c>
      <c r="G8" s="116">
        <v>1157</v>
      </c>
      <c r="H8" s="115">
        <v>1178</v>
      </c>
      <c r="I8" s="116">
        <v>1223</v>
      </c>
      <c r="J8" s="116">
        <v>1358</v>
      </c>
      <c r="K8" s="115">
        <v>1517</v>
      </c>
      <c r="L8" s="116">
        <v>1489</v>
      </c>
      <c r="M8" s="116">
        <v>1428</v>
      </c>
      <c r="N8" s="115">
        <v>1260.5</v>
      </c>
    </row>
    <row r="9" ht="16.15" customHeight="1" spans="1:14">
      <c r="A9" s="114"/>
      <c r="B9" s="39" t="s">
        <v>85</v>
      </c>
      <c r="C9" s="116">
        <v>1163.57</v>
      </c>
      <c r="D9" s="116">
        <v>1116</v>
      </c>
      <c r="E9" s="115">
        <v>1035.9</v>
      </c>
      <c r="F9" s="116">
        <v>1027.73</v>
      </c>
      <c r="G9" s="116">
        <v>1002.85714285714</v>
      </c>
      <c r="H9" s="115">
        <v>993.684210526316</v>
      </c>
      <c r="I9" s="116">
        <v>871.086956521739</v>
      </c>
      <c r="J9" s="116">
        <v>782.272727272727</v>
      </c>
      <c r="K9" s="115">
        <v>672.6</v>
      </c>
      <c r="L9" s="116">
        <v>632.368421052632</v>
      </c>
      <c r="M9" s="116">
        <v>553.571428571429</v>
      </c>
      <c r="N9" s="115">
        <v>569.090909090909</v>
      </c>
    </row>
    <row r="10" ht="16.15" customHeight="1" spans="1:14">
      <c r="A10" s="114"/>
      <c r="B10" s="39" t="s">
        <v>86</v>
      </c>
      <c r="C10" s="116">
        <v>626.5625</v>
      </c>
      <c r="D10" s="116">
        <v>641.136363636364</v>
      </c>
      <c r="E10" s="115">
        <v>698.863636363636</v>
      </c>
      <c r="F10" s="116">
        <v>628.409090909091</v>
      </c>
      <c r="G10" s="116">
        <v>671.052631578947</v>
      </c>
      <c r="H10" s="115">
        <v>691.190476190476</v>
      </c>
      <c r="I10" s="116">
        <v>660.869565217391</v>
      </c>
      <c r="J10" s="116">
        <v>681.904761904762</v>
      </c>
      <c r="K10" s="115">
        <v>732.173913043478</v>
      </c>
      <c r="L10" s="116">
        <v>776.176470588235</v>
      </c>
      <c r="M10" s="116">
        <v>836.363636363636</v>
      </c>
      <c r="N10" s="115">
        <v>950.47619047619</v>
      </c>
    </row>
    <row r="11" ht="16.15" customHeight="1" spans="1:14">
      <c r="A11" s="114"/>
      <c r="B11" s="39" t="s">
        <v>87</v>
      </c>
      <c r="C11" s="116">
        <v>1122.75</v>
      </c>
      <c r="D11" s="116">
        <v>1468.23529411765</v>
      </c>
      <c r="E11" s="115">
        <v>1379.5652173913</v>
      </c>
      <c r="F11" s="116">
        <v>1450</v>
      </c>
      <c r="G11" s="116">
        <v>1584.47368421053</v>
      </c>
      <c r="H11" s="115">
        <v>1627.85714285714</v>
      </c>
      <c r="I11" s="116">
        <v>1614.31818181818</v>
      </c>
      <c r="J11" s="116">
        <v>1804.09090909091</v>
      </c>
      <c r="K11" s="115">
        <v>1938.40909090909</v>
      </c>
      <c r="L11" s="116">
        <v>1967.05882352941</v>
      </c>
      <c r="M11" s="116">
        <v>2031.81818181818</v>
      </c>
      <c r="N11" s="115">
        <v>2343.04347826087</v>
      </c>
    </row>
    <row r="12" ht="16.15" customHeight="1" spans="1:14">
      <c r="A12" s="114"/>
      <c r="B12" s="39" t="s">
        <v>88</v>
      </c>
      <c r="C12" s="116">
        <v>2491.25</v>
      </c>
      <c r="D12" s="116">
        <v>2599.33333333333</v>
      </c>
      <c r="E12" s="115">
        <v>3266</v>
      </c>
      <c r="F12" s="116">
        <v>3540.47619047619</v>
      </c>
      <c r="G12" s="116">
        <v>4064</v>
      </c>
      <c r="H12" s="115">
        <v>3568.09523809524</v>
      </c>
      <c r="I12" s="116">
        <v>1894.28571428571</v>
      </c>
      <c r="J12" s="115">
        <v>1086.52173913043</v>
      </c>
      <c r="K12" s="115"/>
      <c r="L12" s="116"/>
      <c r="M12" s="116"/>
      <c r="N12" s="115"/>
    </row>
    <row r="13" ht="16.15" customHeight="1" spans="1:14">
      <c r="A13" s="39" t="s">
        <v>90</v>
      </c>
      <c r="B13" s="39" t="s">
        <v>84</v>
      </c>
      <c r="C13" s="115">
        <v>430</v>
      </c>
      <c r="D13" s="116">
        <v>430</v>
      </c>
      <c r="E13" s="115">
        <v>430</v>
      </c>
      <c r="F13" s="116">
        <v>430</v>
      </c>
      <c r="G13" s="116">
        <v>430</v>
      </c>
      <c r="H13" s="115">
        <v>430</v>
      </c>
      <c r="I13" s="116">
        <v>430</v>
      </c>
      <c r="J13" s="116">
        <v>430</v>
      </c>
      <c r="K13" s="115">
        <v>430</v>
      </c>
      <c r="L13" s="116">
        <v>430</v>
      </c>
      <c r="M13" s="116">
        <v>450</v>
      </c>
      <c r="N13" s="115">
        <v>500</v>
      </c>
    </row>
    <row r="14" ht="16.15" customHeight="1" spans="1:14">
      <c r="A14" s="39"/>
      <c r="B14" s="39" t="s">
        <v>85</v>
      </c>
      <c r="C14" s="116">
        <v>470</v>
      </c>
      <c r="D14" s="116">
        <v>470</v>
      </c>
      <c r="E14" s="115">
        <v>420</v>
      </c>
      <c r="F14" s="116">
        <v>420</v>
      </c>
      <c r="G14" s="116">
        <v>420</v>
      </c>
      <c r="H14" s="115">
        <v>420</v>
      </c>
      <c r="I14" s="116">
        <v>400</v>
      </c>
      <c r="J14" s="116">
        <v>400</v>
      </c>
      <c r="K14" s="115">
        <v>380</v>
      </c>
      <c r="L14" s="116">
        <v>380</v>
      </c>
      <c r="M14" s="116">
        <v>370</v>
      </c>
      <c r="N14" s="115">
        <v>370</v>
      </c>
    </row>
    <row r="15" ht="16.15" customHeight="1" spans="1:14">
      <c r="A15" s="39"/>
      <c r="B15" s="39" t="s">
        <v>86</v>
      </c>
      <c r="C15" s="116">
        <v>370</v>
      </c>
      <c r="D15" s="116">
        <v>370</v>
      </c>
      <c r="E15" s="115">
        <v>370</v>
      </c>
      <c r="F15" s="116">
        <v>338</v>
      </c>
      <c r="G15" s="116">
        <v>338</v>
      </c>
      <c r="H15" s="115">
        <v>338</v>
      </c>
      <c r="I15" s="116">
        <v>338</v>
      </c>
      <c r="J15" s="116">
        <v>338</v>
      </c>
      <c r="K15" s="115">
        <v>328</v>
      </c>
      <c r="L15" s="116">
        <v>328</v>
      </c>
      <c r="M15" s="116">
        <v>358</v>
      </c>
      <c r="N15" s="115">
        <v>358</v>
      </c>
    </row>
    <row r="16" ht="16.15" customHeight="1" spans="1:14">
      <c r="A16" s="39"/>
      <c r="B16" s="39" t="s">
        <v>87</v>
      </c>
      <c r="C16" s="116">
        <v>358</v>
      </c>
      <c r="D16" s="116">
        <v>358</v>
      </c>
      <c r="E16" s="115">
        <v>358</v>
      </c>
      <c r="F16" s="116">
        <v>408</v>
      </c>
      <c r="G16" s="116">
        <v>458</v>
      </c>
      <c r="H16" s="115">
        <v>488</v>
      </c>
      <c r="I16" s="116">
        <v>508</v>
      </c>
      <c r="J16" s="116">
        <v>558</v>
      </c>
      <c r="K16" s="115">
        <v>608</v>
      </c>
      <c r="L16" s="116">
        <v>608</v>
      </c>
      <c r="M16" s="116">
        <v>608</v>
      </c>
      <c r="N16" s="115">
        <v>608</v>
      </c>
    </row>
    <row r="17" ht="16.15" customHeight="1" spans="1:14">
      <c r="A17" s="39"/>
      <c r="B17" s="39" t="s">
        <v>88</v>
      </c>
      <c r="C17" s="116">
        <v>608</v>
      </c>
      <c r="D17" s="116">
        <v>608</v>
      </c>
      <c r="E17" s="115">
        <v>608</v>
      </c>
      <c r="F17" s="116">
        <v>645.6</v>
      </c>
      <c r="G17" s="116">
        <v>745.6</v>
      </c>
      <c r="H17" s="115">
        <v>858</v>
      </c>
      <c r="I17" s="116">
        <v>958</v>
      </c>
      <c r="J17" s="115">
        <v>958</v>
      </c>
      <c r="K17" s="115"/>
      <c r="L17" s="116"/>
      <c r="M17" s="116"/>
      <c r="N17" s="115"/>
    </row>
    <row r="18" ht="16.15" customHeight="1" spans="1:14">
      <c r="A18" s="39" t="s">
        <v>61</v>
      </c>
      <c r="B18" s="39" t="s">
        <v>84</v>
      </c>
      <c r="C18" s="115">
        <v>964</v>
      </c>
      <c r="D18" s="116">
        <v>984</v>
      </c>
      <c r="E18" s="115">
        <v>984</v>
      </c>
      <c r="F18" s="116">
        <v>964</v>
      </c>
      <c r="G18" s="116">
        <v>914</v>
      </c>
      <c r="H18" s="115">
        <v>911</v>
      </c>
      <c r="I18" s="116">
        <v>911</v>
      </c>
      <c r="J18" s="116">
        <v>901</v>
      </c>
      <c r="K18" s="115">
        <v>896</v>
      </c>
      <c r="L18" s="116">
        <v>974</v>
      </c>
      <c r="M18" s="116">
        <v>974</v>
      </c>
      <c r="N18" s="115">
        <v>967</v>
      </c>
    </row>
    <row r="19" ht="16.15" customHeight="1" spans="1:14">
      <c r="A19" s="39"/>
      <c r="B19" s="39" t="s">
        <v>85</v>
      </c>
      <c r="C19" s="116">
        <v>917</v>
      </c>
      <c r="D19" s="116">
        <v>917</v>
      </c>
      <c r="E19" s="115">
        <v>903.67</v>
      </c>
      <c r="F19" s="116">
        <v>886</v>
      </c>
      <c r="G19" s="116">
        <v>876</v>
      </c>
      <c r="H19" s="115">
        <v>866</v>
      </c>
      <c r="I19" s="116">
        <v>839</v>
      </c>
      <c r="J19" s="116">
        <v>802.53</v>
      </c>
      <c r="K19" s="115">
        <v>802.53</v>
      </c>
      <c r="L19" s="116">
        <v>802.53</v>
      </c>
      <c r="M19" s="116">
        <v>752.53</v>
      </c>
      <c r="N19" s="115">
        <v>752.5</v>
      </c>
    </row>
    <row r="20" ht="16.15" customHeight="1" spans="1:14">
      <c r="A20" s="39"/>
      <c r="B20" s="39" t="s">
        <v>86</v>
      </c>
      <c r="C20" s="116">
        <v>752.33</v>
      </c>
      <c r="D20" s="116">
        <v>772.33</v>
      </c>
      <c r="E20" s="115">
        <v>772.33</v>
      </c>
      <c r="F20" s="116">
        <v>732.33</v>
      </c>
      <c r="G20" s="116">
        <v>702.33</v>
      </c>
      <c r="H20" s="115">
        <v>755.67</v>
      </c>
      <c r="I20" s="116">
        <v>755.67</v>
      </c>
      <c r="J20" s="116">
        <v>692.666666666667</v>
      </c>
      <c r="K20" s="115">
        <v>692.666666666667</v>
      </c>
      <c r="L20" s="116">
        <v>769.333333333333</v>
      </c>
      <c r="M20" s="116">
        <v>823</v>
      </c>
      <c r="N20" s="115">
        <v>902.666666666667</v>
      </c>
    </row>
    <row r="21" ht="16.15" customHeight="1" spans="1:14">
      <c r="A21" s="39"/>
      <c r="B21" s="39" t="s">
        <v>87</v>
      </c>
      <c r="C21" s="116">
        <v>1003</v>
      </c>
      <c r="D21" s="116">
        <v>1003</v>
      </c>
      <c r="E21" s="115">
        <v>859</v>
      </c>
      <c r="F21" s="116">
        <v>956</v>
      </c>
      <c r="G21" s="116">
        <v>1125</v>
      </c>
      <c r="H21" s="115">
        <v>1125</v>
      </c>
      <c r="I21" s="116">
        <v>1203</v>
      </c>
      <c r="J21" s="116">
        <v>1388</v>
      </c>
      <c r="K21" s="115">
        <v>1588</v>
      </c>
      <c r="L21" s="116">
        <v>2309</v>
      </c>
      <c r="M21" s="116">
        <v>1489</v>
      </c>
      <c r="N21" s="115">
        <v>1416</v>
      </c>
    </row>
    <row r="22" ht="16.15" customHeight="1" spans="1:14">
      <c r="A22" s="39"/>
      <c r="B22" s="39" t="s">
        <v>88</v>
      </c>
      <c r="C22" s="116">
        <v>1564.761568</v>
      </c>
      <c r="D22" s="116">
        <v>1707.354545</v>
      </c>
      <c r="E22" s="115">
        <v>1531.446555</v>
      </c>
      <c r="F22" s="116">
        <v>1631.932225</v>
      </c>
      <c r="G22" s="116">
        <v>1574.097596</v>
      </c>
      <c r="H22" s="115">
        <v>1554.386728</v>
      </c>
      <c r="I22" s="116">
        <v>1491</v>
      </c>
      <c r="J22" s="115">
        <v>1443</v>
      </c>
      <c r="K22" s="117"/>
      <c r="L22" s="77"/>
      <c r="M22" s="77"/>
      <c r="N22" s="117"/>
    </row>
  </sheetData>
  <mergeCells count="5">
    <mergeCell ref="A1:N1"/>
    <mergeCell ref="A3:A7"/>
    <mergeCell ref="A8:A12"/>
    <mergeCell ref="A13:A17"/>
    <mergeCell ref="A18:A22"/>
  </mergeCells>
  <printOptions horizontalCentered="1"/>
  <pageMargins left="0" right="0" top="0.393700787401575" bottom="0.354330708661417" header="0.31496062992126" footer="0.31496062992126"/>
  <pageSetup paperSize="9" scale="96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22"/>
  <sheetViews>
    <sheetView workbookViewId="0">
      <selection activeCell="C3" sqref="C3:N3"/>
    </sheetView>
  </sheetViews>
  <sheetFormatPr defaultColWidth="8.875" defaultRowHeight="14.25"/>
  <cols>
    <col min="1" max="1" width="9.125" style="105" customWidth="1"/>
    <col min="2" max="2" width="7.625" style="105" customWidth="1"/>
    <col min="3" max="3" width="6.875" style="106" customWidth="1"/>
    <col min="4" max="4" width="6.875" style="105" customWidth="1"/>
    <col min="5" max="5" width="6.875" style="106" customWidth="1"/>
    <col min="6" max="7" width="6.875" style="105" customWidth="1"/>
    <col min="8" max="8" width="6.875" style="106" customWidth="1"/>
    <col min="9" max="10" width="6.875" style="105" customWidth="1"/>
    <col min="11" max="11" width="6.875" style="106" customWidth="1"/>
    <col min="12" max="13" width="6.875" style="105" customWidth="1"/>
    <col min="14" max="14" width="6.875" style="106" customWidth="1"/>
    <col min="15" max="16384" width="8.875" style="105"/>
  </cols>
  <sheetData>
    <row r="1" ht="28.15" customHeight="1" spans="1:14">
      <c r="A1" s="107" t="s">
        <v>91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="104" customFormat="1" ht="21" customHeight="1" spans="1:14">
      <c r="A2" s="108" t="s">
        <v>63</v>
      </c>
      <c r="B2" s="108" t="s">
        <v>64</v>
      </c>
      <c r="C2" s="185" t="s">
        <v>71</v>
      </c>
      <c r="D2" s="185" t="s">
        <v>72</v>
      </c>
      <c r="E2" s="185" t="s">
        <v>73</v>
      </c>
      <c r="F2" s="185" t="s">
        <v>74</v>
      </c>
      <c r="G2" s="185" t="s">
        <v>75</v>
      </c>
      <c r="H2" s="185" t="s">
        <v>76</v>
      </c>
      <c r="I2" s="185" t="s">
        <v>77</v>
      </c>
      <c r="J2" s="185" t="s">
        <v>78</v>
      </c>
      <c r="K2" s="185" t="s">
        <v>79</v>
      </c>
      <c r="L2" s="185" t="s">
        <v>80</v>
      </c>
      <c r="M2" s="185" t="s">
        <v>81</v>
      </c>
      <c r="N2" s="185" t="s">
        <v>82</v>
      </c>
    </row>
    <row r="3" s="104" customFormat="1" ht="16.15" customHeight="1" spans="1:14">
      <c r="A3" s="39" t="s">
        <v>60</v>
      </c>
      <c r="B3" s="39" t="s">
        <v>83</v>
      </c>
      <c r="C3" s="110">
        <v>2134.89368553085</v>
      </c>
      <c r="D3" s="111">
        <v>2300.40239887854</v>
      </c>
      <c r="E3" s="110">
        <v>2353.51886407236</v>
      </c>
      <c r="F3" s="111">
        <v>2376.9914041787</v>
      </c>
      <c r="G3" s="111">
        <v>2370.11097779376</v>
      </c>
      <c r="H3" s="110">
        <v>2285.11727121911</v>
      </c>
      <c r="I3" s="111">
        <v>2235.3890116282</v>
      </c>
      <c r="J3" s="111">
        <v>2225.46747367068</v>
      </c>
      <c r="K3" s="110">
        <v>2229.89952883193</v>
      </c>
      <c r="L3" s="111">
        <v>2235.73247647006</v>
      </c>
      <c r="M3" s="111">
        <v>2329.2131481707</v>
      </c>
      <c r="N3" s="110">
        <v>2470.30616907957</v>
      </c>
    </row>
    <row r="4" s="104" customFormat="1" ht="16.15" customHeight="1" spans="1:14">
      <c r="A4" s="39"/>
      <c r="B4" s="39" t="s">
        <v>84</v>
      </c>
      <c r="C4" s="112">
        <v>2501.27733994969</v>
      </c>
      <c r="D4" s="112">
        <v>2526.66487491209</v>
      </c>
      <c r="E4" s="113">
        <v>2597.13533556329</v>
      </c>
      <c r="F4" s="112">
        <v>2548.62846129866</v>
      </c>
      <c r="G4" s="112">
        <v>2565.61944262039</v>
      </c>
      <c r="H4" s="113">
        <v>2575.92776325538</v>
      </c>
      <c r="I4" s="112">
        <v>2678.8684330737</v>
      </c>
      <c r="J4" s="112">
        <v>2733.19732199673</v>
      </c>
      <c r="K4" s="113">
        <v>2745.26197429751</v>
      </c>
      <c r="L4" s="112">
        <v>2742.63429292559</v>
      </c>
      <c r="M4" s="112">
        <v>2700</v>
      </c>
      <c r="N4" s="113">
        <v>2700</v>
      </c>
    </row>
    <row r="5" s="104" customFormat="1" ht="16.15" customHeight="1" spans="1:14">
      <c r="A5" s="39"/>
      <c r="B5" s="39" t="s">
        <v>85</v>
      </c>
      <c r="C5" s="112">
        <v>2614</v>
      </c>
      <c r="D5" s="112">
        <v>2625</v>
      </c>
      <c r="E5" s="113">
        <v>2520.39182203737</v>
      </c>
      <c r="F5" s="112">
        <v>2512.13068830001</v>
      </c>
      <c r="G5" s="112">
        <v>2429.00920272917</v>
      </c>
      <c r="H5" s="113">
        <v>2407.32579117454</v>
      </c>
      <c r="I5" s="112">
        <v>2214.27488235976</v>
      </c>
      <c r="J5" s="112">
        <v>2214.17373230795</v>
      </c>
      <c r="K5" s="113">
        <v>2187.03721640631</v>
      </c>
      <c r="L5" s="112">
        <v>2139.20731562574</v>
      </c>
      <c r="M5" s="112">
        <v>2103.83873158189</v>
      </c>
      <c r="N5" s="113">
        <v>2061.2315180595</v>
      </c>
    </row>
    <row r="6" s="104" customFormat="1" ht="16.15" customHeight="1" spans="1:14">
      <c r="A6" s="39"/>
      <c r="B6" s="39" t="s">
        <v>86</v>
      </c>
      <c r="C6" s="112">
        <v>2085.85646546543</v>
      </c>
      <c r="D6" s="112">
        <v>1986.99049986103</v>
      </c>
      <c r="E6" s="113">
        <v>1986.99049986103</v>
      </c>
      <c r="F6" s="112">
        <v>2071.54970299319</v>
      </c>
      <c r="G6" s="112">
        <v>2060.86989188714</v>
      </c>
      <c r="H6" s="113">
        <v>2071.91942244851</v>
      </c>
      <c r="I6" s="112">
        <v>2098.81534256527</v>
      </c>
      <c r="J6" s="112">
        <v>2082.68201288914</v>
      </c>
      <c r="K6" s="113">
        <v>2176.04544673005</v>
      </c>
      <c r="L6" s="112">
        <v>2238.37267542502</v>
      </c>
      <c r="M6" s="112">
        <v>2273.71492390218</v>
      </c>
      <c r="N6" s="113">
        <v>2310.92311103161</v>
      </c>
    </row>
    <row r="7" s="104" customFormat="1" ht="16.15" customHeight="1" spans="1:14">
      <c r="A7" s="39"/>
      <c r="B7" s="39" t="s">
        <v>87</v>
      </c>
      <c r="C7" s="112">
        <v>2365.12277264168</v>
      </c>
      <c r="D7" s="112">
        <v>2471.1848190443</v>
      </c>
      <c r="E7" s="113">
        <v>2727.36764923849</v>
      </c>
      <c r="F7" s="112">
        <v>3293.74390943446</v>
      </c>
      <c r="G7" s="112">
        <v>3225.76580175787</v>
      </c>
      <c r="H7" s="113">
        <v>3262.17499294506</v>
      </c>
      <c r="I7" s="112">
        <v>3373.02009683852</v>
      </c>
      <c r="J7" s="113">
        <v>3508.28733466809</v>
      </c>
      <c r="K7" s="113">
        <v>3780.28873276843</v>
      </c>
      <c r="L7" s="112">
        <v>3742.63740127969</v>
      </c>
      <c r="M7" s="112">
        <v>3536.15387237605</v>
      </c>
      <c r="N7" s="113">
        <v>3536.09939443262</v>
      </c>
    </row>
    <row r="8" ht="16.15" customHeight="1" spans="1:14">
      <c r="A8" s="114" t="s">
        <v>89</v>
      </c>
      <c r="B8" s="39" t="s">
        <v>83</v>
      </c>
      <c r="C8" s="115">
        <v>917</v>
      </c>
      <c r="D8" s="115">
        <v>937</v>
      </c>
      <c r="E8" s="115">
        <v>923</v>
      </c>
      <c r="F8" s="115">
        <v>833</v>
      </c>
      <c r="G8" s="115">
        <v>843</v>
      </c>
      <c r="H8" s="115">
        <v>867</v>
      </c>
      <c r="I8" s="115">
        <v>932</v>
      </c>
      <c r="J8" s="115">
        <v>1013</v>
      </c>
      <c r="K8" s="115">
        <v>1075</v>
      </c>
      <c r="L8" s="115">
        <v>1416</v>
      </c>
      <c r="M8" s="115">
        <v>1632</v>
      </c>
      <c r="N8" s="115">
        <v>1331</v>
      </c>
    </row>
    <row r="9" ht="16.15" customHeight="1" spans="1:14">
      <c r="A9" s="114"/>
      <c r="B9" s="39" t="s">
        <v>84</v>
      </c>
      <c r="C9" s="116">
        <v>1214</v>
      </c>
      <c r="D9" s="116">
        <v>1229</v>
      </c>
      <c r="E9" s="115">
        <v>1147</v>
      </c>
      <c r="F9" s="116">
        <v>1089</v>
      </c>
      <c r="G9" s="116">
        <v>1157</v>
      </c>
      <c r="H9" s="115">
        <v>1178</v>
      </c>
      <c r="I9" s="116">
        <v>1223</v>
      </c>
      <c r="J9" s="116">
        <v>1358</v>
      </c>
      <c r="K9" s="115">
        <v>1517</v>
      </c>
      <c r="L9" s="116">
        <v>1489</v>
      </c>
      <c r="M9" s="116">
        <v>1428</v>
      </c>
      <c r="N9" s="115">
        <v>1260.5</v>
      </c>
    </row>
    <row r="10" ht="16.15" customHeight="1" spans="1:14">
      <c r="A10" s="114"/>
      <c r="B10" s="39" t="s">
        <v>85</v>
      </c>
      <c r="C10" s="116">
        <v>1163.57</v>
      </c>
      <c r="D10" s="116">
        <v>1116</v>
      </c>
      <c r="E10" s="115">
        <v>1035.9</v>
      </c>
      <c r="F10" s="116">
        <v>1027.73</v>
      </c>
      <c r="G10" s="116">
        <v>1002.85714285714</v>
      </c>
      <c r="H10" s="115">
        <v>993.684210526316</v>
      </c>
      <c r="I10" s="116">
        <v>871.086956521739</v>
      </c>
      <c r="J10" s="116">
        <v>782.272727272727</v>
      </c>
      <c r="K10" s="115">
        <v>672.6</v>
      </c>
      <c r="L10" s="116">
        <v>632.368421052632</v>
      </c>
      <c r="M10" s="116">
        <v>553.571428571429</v>
      </c>
      <c r="N10" s="115">
        <v>569.090909090909</v>
      </c>
    </row>
    <row r="11" ht="16.15" customHeight="1" spans="1:14">
      <c r="A11" s="114"/>
      <c r="B11" s="39" t="s">
        <v>86</v>
      </c>
      <c r="C11" s="116">
        <v>626.5625</v>
      </c>
      <c r="D11" s="116">
        <v>641.136363636364</v>
      </c>
      <c r="E11" s="115">
        <v>698.863636363636</v>
      </c>
      <c r="F11" s="116">
        <v>628.409090909091</v>
      </c>
      <c r="G11" s="116">
        <v>671.052631578947</v>
      </c>
      <c r="H11" s="115">
        <v>691.190476190476</v>
      </c>
      <c r="I11" s="116">
        <v>660.869565217391</v>
      </c>
      <c r="J11" s="116">
        <v>681.904761904762</v>
      </c>
      <c r="K11" s="115">
        <v>732.173913043478</v>
      </c>
      <c r="L11" s="116">
        <v>776.176470588235</v>
      </c>
      <c r="M11" s="116">
        <v>836.363636363636</v>
      </c>
      <c r="N11" s="115">
        <v>950.47619047619</v>
      </c>
    </row>
    <row r="12" ht="16.15" customHeight="1" spans="1:14">
      <c r="A12" s="114"/>
      <c r="B12" s="39" t="s">
        <v>87</v>
      </c>
      <c r="C12" s="116">
        <v>1122.75</v>
      </c>
      <c r="D12" s="116">
        <v>1468.23529411765</v>
      </c>
      <c r="E12" s="115">
        <v>1379.5652173913</v>
      </c>
      <c r="F12" s="116">
        <v>1450</v>
      </c>
      <c r="G12" s="116">
        <v>1584.47368421053</v>
      </c>
      <c r="H12" s="115">
        <v>1627.85714285714</v>
      </c>
      <c r="I12" s="116">
        <v>1614.31818181818</v>
      </c>
      <c r="J12" s="115">
        <v>1804.09090909091</v>
      </c>
      <c r="K12" s="115">
        <v>1938.40909090909</v>
      </c>
      <c r="L12" s="116">
        <v>1967.05882352941</v>
      </c>
      <c r="M12" s="116">
        <v>2031.81818181818</v>
      </c>
      <c r="N12" s="115">
        <v>2343.04347826087</v>
      </c>
    </row>
    <row r="13" ht="16.15" customHeight="1" spans="1:14">
      <c r="A13" s="39" t="s">
        <v>90</v>
      </c>
      <c r="B13" s="39" t="s">
        <v>83</v>
      </c>
      <c r="C13" s="115">
        <v>340</v>
      </c>
      <c r="D13" s="116">
        <v>355</v>
      </c>
      <c r="E13" s="115">
        <v>355</v>
      </c>
      <c r="F13" s="116">
        <v>355</v>
      </c>
      <c r="G13" s="116">
        <v>355</v>
      </c>
      <c r="H13" s="115">
        <v>355</v>
      </c>
      <c r="I13" s="116">
        <v>355</v>
      </c>
      <c r="J13" s="116">
        <v>355</v>
      </c>
      <c r="K13" s="115">
        <v>355</v>
      </c>
      <c r="L13" s="116">
        <v>355</v>
      </c>
      <c r="M13" s="116">
        <v>355</v>
      </c>
      <c r="N13" s="115">
        <v>430</v>
      </c>
    </row>
    <row r="14" ht="16.15" customHeight="1" spans="1:14">
      <c r="A14" s="39"/>
      <c r="B14" s="39" t="s">
        <v>84</v>
      </c>
      <c r="C14" s="116">
        <v>430</v>
      </c>
      <c r="D14" s="116">
        <v>430</v>
      </c>
      <c r="E14" s="115">
        <v>430</v>
      </c>
      <c r="F14" s="116">
        <v>430</v>
      </c>
      <c r="G14" s="116">
        <v>430</v>
      </c>
      <c r="H14" s="115">
        <v>430</v>
      </c>
      <c r="I14" s="116">
        <v>430</v>
      </c>
      <c r="J14" s="116">
        <v>430</v>
      </c>
      <c r="K14" s="115">
        <v>430</v>
      </c>
      <c r="L14" s="116">
        <v>430</v>
      </c>
      <c r="M14" s="116">
        <v>450</v>
      </c>
      <c r="N14" s="115">
        <v>500</v>
      </c>
    </row>
    <row r="15" ht="16.15" customHeight="1" spans="1:14">
      <c r="A15" s="39"/>
      <c r="B15" s="39" t="s">
        <v>85</v>
      </c>
      <c r="C15" s="116">
        <v>470</v>
      </c>
      <c r="D15" s="116">
        <v>470</v>
      </c>
      <c r="E15" s="115">
        <v>420</v>
      </c>
      <c r="F15" s="116">
        <v>420</v>
      </c>
      <c r="G15" s="116">
        <v>420</v>
      </c>
      <c r="H15" s="115">
        <v>420</v>
      </c>
      <c r="I15" s="116">
        <v>400</v>
      </c>
      <c r="J15" s="116">
        <v>400</v>
      </c>
      <c r="K15" s="115">
        <v>380</v>
      </c>
      <c r="L15" s="116">
        <v>380</v>
      </c>
      <c r="M15" s="116">
        <v>370</v>
      </c>
      <c r="N15" s="115">
        <v>370</v>
      </c>
    </row>
    <row r="16" ht="16.15" customHeight="1" spans="1:14">
      <c r="A16" s="39"/>
      <c r="B16" s="39" t="s">
        <v>86</v>
      </c>
      <c r="C16" s="116">
        <v>370</v>
      </c>
      <c r="D16" s="116">
        <v>370</v>
      </c>
      <c r="E16" s="115">
        <v>370</v>
      </c>
      <c r="F16" s="116">
        <v>338</v>
      </c>
      <c r="G16" s="116">
        <v>338</v>
      </c>
      <c r="H16" s="115">
        <v>338</v>
      </c>
      <c r="I16" s="116">
        <v>338</v>
      </c>
      <c r="J16" s="116">
        <v>338</v>
      </c>
      <c r="K16" s="115">
        <v>328</v>
      </c>
      <c r="L16" s="116">
        <v>328</v>
      </c>
      <c r="M16" s="116">
        <v>358</v>
      </c>
      <c r="N16" s="115">
        <v>358</v>
      </c>
    </row>
    <row r="17" ht="16.15" customHeight="1" spans="1:14">
      <c r="A17" s="39"/>
      <c r="B17" s="39" t="s">
        <v>87</v>
      </c>
      <c r="C17" s="116">
        <v>358</v>
      </c>
      <c r="D17" s="116">
        <v>358</v>
      </c>
      <c r="E17" s="115">
        <v>358</v>
      </c>
      <c r="F17" s="116">
        <v>408</v>
      </c>
      <c r="G17" s="116">
        <v>458</v>
      </c>
      <c r="H17" s="115">
        <v>488</v>
      </c>
      <c r="I17" s="116">
        <v>508</v>
      </c>
      <c r="J17" s="115">
        <v>558</v>
      </c>
      <c r="K17" s="115">
        <v>608</v>
      </c>
      <c r="L17" s="116">
        <v>608</v>
      </c>
      <c r="M17" s="116">
        <v>608</v>
      </c>
      <c r="N17" s="115">
        <v>608</v>
      </c>
    </row>
    <row r="18" ht="16.15" customHeight="1" spans="1:14">
      <c r="A18" s="39" t="s">
        <v>61</v>
      </c>
      <c r="B18" s="39"/>
      <c r="C18" s="115"/>
      <c r="D18" s="116"/>
      <c r="E18" s="115"/>
      <c r="F18" s="116"/>
      <c r="G18" s="116"/>
      <c r="H18" s="115"/>
      <c r="I18" s="116"/>
      <c r="J18" s="116"/>
      <c r="K18" s="115"/>
      <c r="L18" s="116"/>
      <c r="M18" s="116"/>
      <c r="N18" s="115"/>
    </row>
    <row r="19" ht="16.15" customHeight="1" spans="1:14">
      <c r="A19" s="39"/>
      <c r="B19" s="39"/>
      <c r="C19" s="116"/>
      <c r="D19" s="116"/>
      <c r="E19" s="115"/>
      <c r="F19" s="116"/>
      <c r="G19" s="116"/>
      <c r="H19" s="115"/>
      <c r="I19" s="116"/>
      <c r="J19" s="116"/>
      <c r="K19" s="115"/>
      <c r="L19" s="116"/>
      <c r="M19" s="116"/>
      <c r="N19" s="115"/>
    </row>
    <row r="20" ht="16.15" customHeight="1" spans="1:14">
      <c r="A20" s="39"/>
      <c r="B20" s="39"/>
      <c r="C20" s="116"/>
      <c r="D20" s="116"/>
      <c r="E20" s="115"/>
      <c r="F20" s="116"/>
      <c r="G20" s="116"/>
      <c r="H20" s="115"/>
      <c r="I20" s="116"/>
      <c r="J20" s="116"/>
      <c r="K20" s="115"/>
      <c r="L20" s="116"/>
      <c r="M20" s="116"/>
      <c r="N20" s="115"/>
    </row>
    <row r="21" ht="16.15" customHeight="1" spans="1:14">
      <c r="A21" s="39"/>
      <c r="B21" s="39"/>
      <c r="C21" s="116"/>
      <c r="D21" s="116"/>
      <c r="E21" s="115"/>
      <c r="F21" s="116"/>
      <c r="G21" s="116"/>
      <c r="H21" s="115"/>
      <c r="I21" s="116"/>
      <c r="J21" s="116"/>
      <c r="K21" s="115"/>
      <c r="L21" s="116"/>
      <c r="M21" s="116"/>
      <c r="N21" s="115"/>
    </row>
    <row r="22" ht="16.15" customHeight="1" spans="1:14">
      <c r="A22" s="39"/>
      <c r="B22" s="39"/>
      <c r="C22" s="116"/>
      <c r="D22" s="116"/>
      <c r="E22" s="115"/>
      <c r="F22" s="116"/>
      <c r="G22" s="116"/>
      <c r="H22" s="115"/>
      <c r="I22" s="116"/>
      <c r="J22" s="115"/>
      <c r="K22" s="117"/>
      <c r="L22" s="77"/>
      <c r="M22" s="77"/>
      <c r="N22" s="117"/>
    </row>
  </sheetData>
  <mergeCells count="5">
    <mergeCell ref="A1:N1"/>
    <mergeCell ref="A3:A7"/>
    <mergeCell ref="A8:A12"/>
    <mergeCell ref="A13:A17"/>
    <mergeCell ref="A18:A22"/>
  </mergeCells>
  <printOptions horizontalCentered="1"/>
  <pageMargins left="0" right="0" top="0.393700787401575" bottom="0.354330708661417" header="0.31496062992126" footer="0.31496062992126"/>
  <pageSetup paperSize="9" scale="96" orientation="landscape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Q47"/>
  <sheetViews>
    <sheetView workbookViewId="0">
      <pane xSplit="1" ySplit="1" topLeftCell="AX2" activePane="bottomRight" state="frozenSplit"/>
      <selection/>
      <selection pane="topRight"/>
      <selection pane="bottomLeft"/>
      <selection pane="bottomRight" activeCell="AZ29" sqref="AZ29"/>
    </sheetView>
  </sheetViews>
  <sheetFormatPr defaultColWidth="9" defaultRowHeight="14.25"/>
  <cols>
    <col min="1" max="1" width="44" customWidth="1"/>
    <col min="2" max="49" width="8.875" hidden="1" customWidth="1"/>
    <col min="85" max="85" width="8.875" style="16"/>
    <col min="111" max="111" width="10.25" customWidth="1"/>
    <col min="116" max="118" width="10.125" customWidth="1"/>
  </cols>
  <sheetData>
    <row r="1" s="61" customFormat="1" ht="25.15" customHeight="1" spans="1:118">
      <c r="A1" s="39" t="s">
        <v>92</v>
      </c>
      <c r="B1" s="181" t="s">
        <v>93</v>
      </c>
      <c r="C1" s="181" t="s">
        <v>94</v>
      </c>
      <c r="D1" s="181" t="s">
        <v>95</v>
      </c>
      <c r="E1" s="181" t="s">
        <v>96</v>
      </c>
      <c r="F1" s="181" t="s">
        <v>97</v>
      </c>
      <c r="G1" s="181" t="s">
        <v>98</v>
      </c>
      <c r="H1" s="181" t="s">
        <v>99</v>
      </c>
      <c r="I1" s="181" t="s">
        <v>100</v>
      </c>
      <c r="J1" s="181" t="s">
        <v>101</v>
      </c>
      <c r="K1" s="181" t="s">
        <v>102</v>
      </c>
      <c r="L1" s="181" t="s">
        <v>103</v>
      </c>
      <c r="M1" s="181" t="s">
        <v>104</v>
      </c>
      <c r="N1" s="181" t="s">
        <v>105</v>
      </c>
      <c r="O1" s="181" t="s">
        <v>106</v>
      </c>
      <c r="P1" s="181" t="s">
        <v>107</v>
      </c>
      <c r="Q1" s="181" t="s">
        <v>108</v>
      </c>
      <c r="R1" s="181" t="s">
        <v>109</v>
      </c>
      <c r="S1" s="181" t="s">
        <v>110</v>
      </c>
      <c r="T1" s="181" t="s">
        <v>111</v>
      </c>
      <c r="U1" s="181" t="s">
        <v>112</v>
      </c>
      <c r="V1" s="181" t="s">
        <v>113</v>
      </c>
      <c r="W1" s="181" t="s">
        <v>114</v>
      </c>
      <c r="X1" s="181" t="s">
        <v>115</v>
      </c>
      <c r="Y1" s="181" t="s">
        <v>116</v>
      </c>
      <c r="Z1" s="181" t="s">
        <v>117</v>
      </c>
      <c r="AA1" s="181" t="s">
        <v>118</v>
      </c>
      <c r="AB1" s="181" t="s">
        <v>119</v>
      </c>
      <c r="AC1" s="181" t="s">
        <v>120</v>
      </c>
      <c r="AD1" s="181" t="s">
        <v>121</v>
      </c>
      <c r="AE1" s="181" t="s">
        <v>122</v>
      </c>
      <c r="AF1" s="181" t="s">
        <v>123</v>
      </c>
      <c r="AG1" s="181" t="s">
        <v>124</v>
      </c>
      <c r="AH1" s="181" t="s">
        <v>125</v>
      </c>
      <c r="AI1" s="181" t="s">
        <v>126</v>
      </c>
      <c r="AJ1" s="181" t="s">
        <v>127</v>
      </c>
      <c r="AK1" s="181" t="s">
        <v>128</v>
      </c>
      <c r="AL1" s="181" t="s">
        <v>129</v>
      </c>
      <c r="AM1" s="181" t="s">
        <v>130</v>
      </c>
      <c r="AN1" s="181" t="s">
        <v>131</v>
      </c>
      <c r="AO1" s="181" t="s">
        <v>132</v>
      </c>
      <c r="AP1" s="181" t="s">
        <v>133</v>
      </c>
      <c r="AQ1" s="181" t="s">
        <v>134</v>
      </c>
      <c r="AR1" s="181" t="s">
        <v>135</v>
      </c>
      <c r="AS1" s="181" t="s">
        <v>136</v>
      </c>
      <c r="AT1" s="181" t="s">
        <v>137</v>
      </c>
      <c r="AU1" s="181" t="s">
        <v>138</v>
      </c>
      <c r="AV1" s="181" t="s">
        <v>139</v>
      </c>
      <c r="AW1" s="181" t="s">
        <v>140</v>
      </c>
      <c r="AX1" s="181" t="s">
        <v>4</v>
      </c>
      <c r="AY1" s="181" t="s">
        <v>5</v>
      </c>
      <c r="AZ1" s="181" t="s">
        <v>6</v>
      </c>
      <c r="BA1" s="181" t="s">
        <v>7</v>
      </c>
      <c r="BB1" s="181" t="s">
        <v>8</v>
      </c>
      <c r="BC1" s="181" t="s">
        <v>9</v>
      </c>
      <c r="BD1" s="181" t="s">
        <v>10</v>
      </c>
      <c r="BE1" s="181" t="s">
        <v>11</v>
      </c>
      <c r="BF1" s="181" t="s">
        <v>12</v>
      </c>
      <c r="BG1" s="181" t="s">
        <v>13</v>
      </c>
      <c r="BH1" s="181" t="s">
        <v>14</v>
      </c>
      <c r="BI1" s="186" t="s">
        <v>15</v>
      </c>
      <c r="BJ1" s="181" t="s">
        <v>16</v>
      </c>
      <c r="BK1" s="181" t="s">
        <v>17</v>
      </c>
      <c r="BL1" s="181" t="s">
        <v>18</v>
      </c>
      <c r="BM1" s="181" t="s">
        <v>19</v>
      </c>
      <c r="BN1" s="181" t="s">
        <v>20</v>
      </c>
      <c r="BO1" s="181" t="s">
        <v>21</v>
      </c>
      <c r="BP1" s="181" t="s">
        <v>22</v>
      </c>
      <c r="BQ1" s="181" t="s">
        <v>23</v>
      </c>
      <c r="BR1" s="181" t="s">
        <v>24</v>
      </c>
      <c r="BS1" s="181" t="s">
        <v>25</v>
      </c>
      <c r="BT1" s="181" t="s">
        <v>26</v>
      </c>
      <c r="BU1" s="186" t="s">
        <v>27</v>
      </c>
      <c r="BV1" s="181" t="s">
        <v>28</v>
      </c>
      <c r="BW1" s="181" t="s">
        <v>29</v>
      </c>
      <c r="BX1" s="181" t="s">
        <v>30</v>
      </c>
      <c r="BY1" s="181" t="s">
        <v>31</v>
      </c>
      <c r="BZ1" s="181" t="s">
        <v>32</v>
      </c>
      <c r="CA1" s="181" t="s">
        <v>33</v>
      </c>
      <c r="CB1" s="181" t="s">
        <v>34</v>
      </c>
      <c r="CC1" s="181" t="s">
        <v>35</v>
      </c>
      <c r="CD1" s="181" t="s">
        <v>36</v>
      </c>
      <c r="CE1" s="181" t="s">
        <v>37</v>
      </c>
      <c r="CF1" s="181" t="s">
        <v>38</v>
      </c>
      <c r="CG1" s="186" t="s">
        <v>39</v>
      </c>
      <c r="CH1" s="181" t="s">
        <v>40</v>
      </c>
      <c r="CI1" s="181" t="s">
        <v>41</v>
      </c>
      <c r="CJ1" s="181" t="s">
        <v>42</v>
      </c>
      <c r="CK1" s="181" t="s">
        <v>43</v>
      </c>
      <c r="CL1" s="181" t="s">
        <v>44</v>
      </c>
      <c r="CM1" s="181" t="s">
        <v>45</v>
      </c>
      <c r="CN1" s="181" t="s">
        <v>46</v>
      </c>
      <c r="CO1" s="181" t="s">
        <v>47</v>
      </c>
      <c r="CP1" s="181" t="s">
        <v>48</v>
      </c>
      <c r="CQ1" s="181" t="s">
        <v>49</v>
      </c>
      <c r="CR1" s="181" t="s">
        <v>50</v>
      </c>
      <c r="CS1" s="186" t="s">
        <v>51</v>
      </c>
      <c r="CT1" s="181" t="s">
        <v>52</v>
      </c>
      <c r="CU1" s="181" t="s">
        <v>53</v>
      </c>
      <c r="CV1" s="181" t="s">
        <v>54</v>
      </c>
      <c r="CW1" s="181" t="s">
        <v>55</v>
      </c>
      <c r="CX1" s="181" t="s">
        <v>56</v>
      </c>
      <c r="CY1" s="181" t="s">
        <v>57</v>
      </c>
      <c r="CZ1" s="181" t="s">
        <v>58</v>
      </c>
      <c r="DA1" s="181" t="s">
        <v>59</v>
      </c>
      <c r="DB1" s="99"/>
      <c r="DC1" s="99"/>
      <c r="DD1" s="99"/>
      <c r="DE1" s="99"/>
      <c r="DF1" s="187" t="s">
        <v>141</v>
      </c>
      <c r="DG1" s="99"/>
      <c r="DH1" s="99"/>
      <c r="DI1" s="99"/>
      <c r="DJ1" s="99"/>
      <c r="DK1" s="101"/>
      <c r="DL1" s="188" t="s">
        <v>142</v>
      </c>
      <c r="DM1" s="103"/>
      <c r="DN1" s="103"/>
    </row>
    <row r="2" ht="16.5" spans="1:121">
      <c r="A2" s="88" t="s">
        <v>60</v>
      </c>
      <c r="B2" s="42">
        <v>2214.84253724686</v>
      </c>
      <c r="C2" s="42">
        <v>2336.52802664836</v>
      </c>
      <c r="D2" s="42">
        <v>2486.73561701201</v>
      </c>
      <c r="E2" s="42">
        <v>2463.6406471757</v>
      </c>
      <c r="F2" s="42">
        <v>2421.16058906031</v>
      </c>
      <c r="G2" s="42">
        <v>2389.98441831522</v>
      </c>
      <c r="H2" s="42">
        <v>2517.10202679492</v>
      </c>
      <c r="I2" s="42">
        <v>2610.32495749103</v>
      </c>
      <c r="J2" s="42">
        <v>2740.58145892879</v>
      </c>
      <c r="K2" s="42">
        <v>2534.15628220744</v>
      </c>
      <c r="L2" s="42">
        <v>2670.66059399294</v>
      </c>
      <c r="M2" s="42">
        <v>2577.81847622475</v>
      </c>
      <c r="N2" s="42">
        <v>2589.44395831942</v>
      </c>
      <c r="O2" s="42">
        <v>2675.03974390694</v>
      </c>
      <c r="P2" s="42">
        <v>2661.9709258682</v>
      </c>
      <c r="Q2" s="42">
        <v>2677.49744307477</v>
      </c>
      <c r="R2" s="42">
        <v>2720.9215171283</v>
      </c>
      <c r="S2" s="42">
        <v>2716.1916328704</v>
      </c>
      <c r="T2" s="42">
        <v>2717.93069292358</v>
      </c>
      <c r="U2" s="42">
        <v>2742.67950489356</v>
      </c>
      <c r="V2" s="42">
        <v>2730.55121921408</v>
      </c>
      <c r="W2" s="42">
        <v>2667.02778840469</v>
      </c>
      <c r="X2" s="42">
        <v>2482.10788631239</v>
      </c>
      <c r="Y2" s="42">
        <v>2479.72486912659</v>
      </c>
      <c r="Z2" s="42">
        <v>2369.13681408076</v>
      </c>
      <c r="AA2" s="42">
        <v>2389.92058776453</v>
      </c>
      <c r="AB2" s="42">
        <v>2353.80782960241</v>
      </c>
      <c r="AC2" s="42">
        <v>2228.75944609667</v>
      </c>
      <c r="AD2" s="42">
        <v>2057.65408377272</v>
      </c>
      <c r="AE2" s="42">
        <v>2037.73913355371</v>
      </c>
      <c r="AF2" s="42">
        <v>2060.64942722881</v>
      </c>
      <c r="AG2" s="42">
        <v>2102.88971363419</v>
      </c>
      <c r="AH2" s="42">
        <v>2033.45865565588</v>
      </c>
      <c r="AI2" s="45">
        <v>1899.75616124342</v>
      </c>
      <c r="AJ2" s="42">
        <v>1955.91103711065</v>
      </c>
      <c r="AK2" s="42">
        <v>1983.90829028131</v>
      </c>
      <c r="AL2" s="42">
        <v>2134.89368553085</v>
      </c>
      <c r="AM2" s="42">
        <v>2300.40239887854</v>
      </c>
      <c r="AN2" s="42">
        <v>2353.51886407236</v>
      </c>
      <c r="AO2" s="42">
        <v>2376.9914041787</v>
      </c>
      <c r="AP2" s="42">
        <v>2370.11097779376</v>
      </c>
      <c r="AQ2" s="42">
        <v>2285.11727121911</v>
      </c>
      <c r="AR2" s="42">
        <v>2235.3890116282</v>
      </c>
      <c r="AS2" s="42">
        <v>2225.46747367068</v>
      </c>
      <c r="AT2" s="42">
        <v>2229.89952883193</v>
      </c>
      <c r="AU2" s="42">
        <v>2235.73247647006</v>
      </c>
      <c r="AV2" s="42">
        <v>2329.2131481707</v>
      </c>
      <c r="AW2" s="42">
        <v>2470.30616907957</v>
      </c>
      <c r="AX2" s="42">
        <v>2501.27733994969</v>
      </c>
      <c r="AY2" s="42">
        <v>2526.66487491209</v>
      </c>
      <c r="AZ2" s="42">
        <v>2597.13533556329</v>
      </c>
      <c r="BA2" s="42">
        <v>2548.62846129866</v>
      </c>
      <c r="BB2" s="42">
        <v>2565.61944262039</v>
      </c>
      <c r="BC2" s="42">
        <v>2575.92776325538</v>
      </c>
      <c r="BD2" s="42">
        <v>2678.8684330737</v>
      </c>
      <c r="BE2" s="42">
        <v>2733.19732199673</v>
      </c>
      <c r="BF2" s="42">
        <v>2745.26197429751</v>
      </c>
      <c r="BG2" s="42">
        <v>2742.63429292559</v>
      </c>
      <c r="BH2" s="42">
        <v>2700</v>
      </c>
      <c r="BI2" s="42">
        <v>2700</v>
      </c>
      <c r="BJ2" s="42">
        <v>2614</v>
      </c>
      <c r="BK2" s="42">
        <v>2625</v>
      </c>
      <c r="BL2" s="42">
        <v>2520.39182203737</v>
      </c>
      <c r="BM2" s="42">
        <v>2512.13068830001</v>
      </c>
      <c r="BN2" s="42">
        <v>2429.00920272917</v>
      </c>
      <c r="BO2" s="42">
        <v>2407.32579117454</v>
      </c>
      <c r="BP2" s="42">
        <v>2214.27488235976</v>
      </c>
      <c r="BQ2" s="42">
        <v>2214.17373230795</v>
      </c>
      <c r="BR2" s="42">
        <v>2187.03721640631</v>
      </c>
      <c r="BS2" s="42">
        <v>2139.20731562574</v>
      </c>
      <c r="BT2" s="42">
        <v>2103.83873158189</v>
      </c>
      <c r="BU2" s="42">
        <v>2061.2315180595</v>
      </c>
      <c r="BV2" s="42">
        <v>2085.85646546543</v>
      </c>
      <c r="BW2" s="42">
        <v>1986.99049986103</v>
      </c>
      <c r="BX2" s="42">
        <v>1986.99049986103</v>
      </c>
      <c r="BY2" s="42">
        <v>2071.54970299319</v>
      </c>
      <c r="BZ2" s="42">
        <v>2060.86989188714</v>
      </c>
      <c r="CA2" s="42">
        <v>2071.91942244851</v>
      </c>
      <c r="CB2" s="42">
        <v>2098.81534256527</v>
      </c>
      <c r="CC2" s="42">
        <v>2082.68201288914</v>
      </c>
      <c r="CD2" s="42">
        <v>2176.04544673005</v>
      </c>
      <c r="CE2" s="42">
        <v>2238.37267542502</v>
      </c>
      <c r="CF2" s="42">
        <v>2273.71492390218</v>
      </c>
      <c r="CG2" s="42">
        <v>2310.92311103161</v>
      </c>
      <c r="CH2" s="42">
        <v>2365.12277264168</v>
      </c>
      <c r="CI2" s="42">
        <v>2471.1848190443</v>
      </c>
      <c r="CJ2" s="42">
        <v>2727.36764923849</v>
      </c>
      <c r="CK2" s="42">
        <v>3293.74390943446</v>
      </c>
      <c r="CL2" s="42">
        <v>3225.76580175787</v>
      </c>
      <c r="CM2" s="42">
        <v>3262.17499294506</v>
      </c>
      <c r="CN2" s="42">
        <v>3373.02009683852</v>
      </c>
      <c r="CO2" s="42">
        <v>3508.28733466809</v>
      </c>
      <c r="CP2" s="42">
        <v>3780.28873276843</v>
      </c>
      <c r="CQ2" s="42">
        <v>3742.63740127969</v>
      </c>
      <c r="CR2" s="42">
        <v>3536.15387237605</v>
      </c>
      <c r="CS2" s="42">
        <v>3536.09939443262</v>
      </c>
      <c r="CT2" s="42">
        <v>3635.94254687299</v>
      </c>
      <c r="CU2" s="42">
        <v>3566.13213614648</v>
      </c>
      <c r="CV2" s="42">
        <v>4271.26059306314</v>
      </c>
      <c r="CW2" s="42">
        <v>4362</v>
      </c>
      <c r="CX2" s="42">
        <v>5029</v>
      </c>
      <c r="CY2" s="97">
        <v>5280</v>
      </c>
      <c r="CZ2" s="97">
        <v>5705</v>
      </c>
      <c r="DA2" s="97">
        <v>5154</v>
      </c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>
        <f>(5900*22+4000*63)/85</f>
        <v>4491.76470588235</v>
      </c>
      <c r="DM2" s="53">
        <f>(5900*22+4000*63)/85</f>
        <v>4491.76470588235</v>
      </c>
      <c r="DN2" s="53">
        <f>(5900*22+4000*63)/85</f>
        <v>4491.76470588235</v>
      </c>
      <c r="DO2" s="36">
        <f>AVERAGE(B2:CZ2)</f>
        <v>2627.22334555081</v>
      </c>
      <c r="DP2" s="36">
        <f>MAX(B2:CZ2)</f>
        <v>5705</v>
      </c>
      <c r="DQ2" s="36">
        <f>MIN(B2:CZ2)</f>
        <v>1899.75616124342</v>
      </c>
    </row>
    <row r="3" ht="16.5" hidden="1" spans="1:121">
      <c r="A3" s="19" t="s">
        <v>60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5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7"/>
      <c r="CZ3" s="42"/>
      <c r="DA3" s="42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36"/>
      <c r="DP3" s="36"/>
      <c r="DQ3" s="36"/>
    </row>
    <row r="4" ht="16.5" spans="1:121">
      <c r="A4" s="89" t="s">
        <v>143</v>
      </c>
      <c r="B4" s="23">
        <v>1327</v>
      </c>
      <c r="C4" s="23">
        <v>1491</v>
      </c>
      <c r="D4" s="23">
        <v>1408</v>
      </c>
      <c r="E4" s="23">
        <v>1104</v>
      </c>
      <c r="F4" s="23">
        <v>1307</v>
      </c>
      <c r="G4" s="23">
        <v>1315</v>
      </c>
      <c r="H4" s="23">
        <v>1361</v>
      </c>
      <c r="I4" s="23">
        <v>1291</v>
      </c>
      <c r="J4" s="23">
        <v>1197</v>
      </c>
      <c r="K4" s="23">
        <v>1024</v>
      </c>
      <c r="L4" s="23">
        <v>1145</v>
      </c>
      <c r="M4" s="23">
        <v>1314</v>
      </c>
      <c r="N4" s="23">
        <v>1372</v>
      </c>
      <c r="O4" s="23">
        <v>1354</v>
      </c>
      <c r="P4" s="23">
        <v>1370</v>
      </c>
      <c r="Q4" s="23">
        <v>1171</v>
      </c>
      <c r="R4" s="23">
        <v>1168</v>
      </c>
      <c r="S4" s="23">
        <v>1250</v>
      </c>
      <c r="T4" s="23">
        <v>1268</v>
      </c>
      <c r="U4" s="23">
        <v>1201</v>
      </c>
      <c r="V4" s="23">
        <v>1063</v>
      </c>
      <c r="W4" s="23">
        <v>1048</v>
      </c>
      <c r="X4" s="23">
        <v>1140</v>
      </c>
      <c r="Y4" s="23">
        <v>1080</v>
      </c>
      <c r="Z4" s="23">
        <v>945</v>
      </c>
      <c r="AA4" s="23">
        <v>841</v>
      </c>
      <c r="AB4" s="23">
        <v>760</v>
      </c>
      <c r="AC4" s="23">
        <v>767</v>
      </c>
      <c r="AD4" s="23">
        <v>753</v>
      </c>
      <c r="AE4" s="23">
        <v>711</v>
      </c>
      <c r="AF4" s="23">
        <v>669</v>
      </c>
      <c r="AG4" s="23">
        <v>689</v>
      </c>
      <c r="AH4" s="23">
        <v>729</v>
      </c>
      <c r="AI4" s="23">
        <v>763</v>
      </c>
      <c r="AJ4" s="23">
        <v>870</v>
      </c>
      <c r="AK4" s="23">
        <v>897</v>
      </c>
      <c r="AL4" s="23">
        <v>887</v>
      </c>
      <c r="AM4" s="23">
        <v>907</v>
      </c>
      <c r="AN4" s="23">
        <v>893</v>
      </c>
      <c r="AO4" s="23">
        <v>803</v>
      </c>
      <c r="AP4" s="23">
        <v>813</v>
      </c>
      <c r="AQ4" s="23">
        <v>837</v>
      </c>
      <c r="AR4" s="23">
        <v>902</v>
      </c>
      <c r="AS4" s="23">
        <v>983</v>
      </c>
      <c r="AT4" s="23">
        <v>1045</v>
      </c>
      <c r="AU4" s="23">
        <v>1386</v>
      </c>
      <c r="AV4" s="23">
        <v>1602</v>
      </c>
      <c r="AW4" s="23">
        <v>1301</v>
      </c>
      <c r="AX4" s="23">
        <f>AX19+30</f>
        <v>1214</v>
      </c>
      <c r="AY4" s="23">
        <f t="shared" ref="AY4:DA4" si="0">AY19+30</f>
        <v>1229</v>
      </c>
      <c r="AZ4" s="23">
        <f t="shared" si="0"/>
        <v>1147</v>
      </c>
      <c r="BA4" s="23">
        <f t="shared" si="0"/>
        <v>1089</v>
      </c>
      <c r="BB4" s="23">
        <f t="shared" si="0"/>
        <v>1157</v>
      </c>
      <c r="BC4" s="23">
        <f t="shared" si="0"/>
        <v>1178</v>
      </c>
      <c r="BD4" s="23">
        <f t="shared" si="0"/>
        <v>1223</v>
      </c>
      <c r="BE4" s="23">
        <f t="shared" si="0"/>
        <v>1358</v>
      </c>
      <c r="BF4" s="23">
        <f t="shared" si="0"/>
        <v>1517</v>
      </c>
      <c r="BG4" s="23">
        <f t="shared" si="0"/>
        <v>1489</v>
      </c>
      <c r="BH4" s="23">
        <f t="shared" si="0"/>
        <v>1428</v>
      </c>
      <c r="BI4" s="23">
        <f t="shared" si="0"/>
        <v>1260.5</v>
      </c>
      <c r="BJ4" s="23">
        <f t="shared" si="0"/>
        <v>1163.57</v>
      </c>
      <c r="BK4" s="23">
        <f t="shared" si="0"/>
        <v>1116</v>
      </c>
      <c r="BL4" s="23">
        <f t="shared" si="0"/>
        <v>1035.9</v>
      </c>
      <c r="BM4" s="23">
        <f t="shared" si="0"/>
        <v>1027.73</v>
      </c>
      <c r="BN4" s="23">
        <f t="shared" si="0"/>
        <v>1002.85714285714</v>
      </c>
      <c r="BO4" s="23">
        <f t="shared" si="0"/>
        <v>993.684210526316</v>
      </c>
      <c r="BP4" s="23">
        <f t="shared" si="0"/>
        <v>871.086956521739</v>
      </c>
      <c r="BQ4" s="23">
        <f t="shared" si="0"/>
        <v>782.272727272727</v>
      </c>
      <c r="BR4" s="23">
        <f t="shared" si="0"/>
        <v>672.6</v>
      </c>
      <c r="BS4" s="23">
        <f t="shared" si="0"/>
        <v>632.368421052632</v>
      </c>
      <c r="BT4" s="23">
        <f t="shared" si="0"/>
        <v>553.571428571429</v>
      </c>
      <c r="BU4" s="23">
        <f t="shared" si="0"/>
        <v>569.090909090909</v>
      </c>
      <c r="BV4" s="23">
        <f t="shared" si="0"/>
        <v>626.5625</v>
      </c>
      <c r="BW4" s="23">
        <f t="shared" si="0"/>
        <v>641.136363636364</v>
      </c>
      <c r="BX4" s="23">
        <f t="shared" si="0"/>
        <v>698.863636363636</v>
      </c>
      <c r="BY4" s="23">
        <f t="shared" si="0"/>
        <v>628.409090909091</v>
      </c>
      <c r="BZ4" s="23">
        <f t="shared" si="0"/>
        <v>671.052631578947</v>
      </c>
      <c r="CA4" s="23">
        <f t="shared" si="0"/>
        <v>691.190476190476</v>
      </c>
      <c r="CB4" s="23">
        <f t="shared" si="0"/>
        <v>660.869565217391</v>
      </c>
      <c r="CC4" s="23">
        <f t="shared" si="0"/>
        <v>681.904761904762</v>
      </c>
      <c r="CD4" s="23">
        <f t="shared" si="0"/>
        <v>732.173913043478</v>
      </c>
      <c r="CE4" s="23">
        <f t="shared" si="0"/>
        <v>776.176470588235</v>
      </c>
      <c r="CF4" s="23">
        <f t="shared" si="0"/>
        <v>836.363636363636</v>
      </c>
      <c r="CG4" s="23">
        <f t="shared" si="0"/>
        <v>950.47619047619</v>
      </c>
      <c r="CH4" s="23">
        <f t="shared" si="0"/>
        <v>1122.75</v>
      </c>
      <c r="CI4" s="23">
        <f t="shared" si="0"/>
        <v>1468.23529411765</v>
      </c>
      <c r="CJ4" s="23">
        <f t="shared" si="0"/>
        <v>1379.5652173913</v>
      </c>
      <c r="CK4" s="23">
        <f t="shared" si="0"/>
        <v>1450</v>
      </c>
      <c r="CL4" s="23">
        <f t="shared" si="0"/>
        <v>1584.47368421053</v>
      </c>
      <c r="CM4" s="23">
        <f t="shared" si="0"/>
        <v>1627.85714285714</v>
      </c>
      <c r="CN4" s="23">
        <f t="shared" si="0"/>
        <v>1614.31818181818</v>
      </c>
      <c r="CO4" s="23">
        <f t="shared" si="0"/>
        <v>1804.09090909091</v>
      </c>
      <c r="CP4" s="23">
        <f t="shared" si="0"/>
        <v>1938.40909090909</v>
      </c>
      <c r="CQ4" s="23">
        <f t="shared" si="0"/>
        <v>1967.05882352941</v>
      </c>
      <c r="CR4" s="23">
        <f t="shared" si="0"/>
        <v>2031.81818181818</v>
      </c>
      <c r="CS4" s="23">
        <f t="shared" si="0"/>
        <v>2343.04347826087</v>
      </c>
      <c r="CT4" s="23">
        <f t="shared" si="0"/>
        <v>2491.25</v>
      </c>
      <c r="CU4" s="23">
        <f t="shared" si="0"/>
        <v>2599.33333333333</v>
      </c>
      <c r="CV4" s="23">
        <f t="shared" si="0"/>
        <v>3266</v>
      </c>
      <c r="CW4" s="23">
        <f t="shared" si="0"/>
        <v>3540.47619047619</v>
      </c>
      <c r="CX4" s="23">
        <f t="shared" si="0"/>
        <v>4064</v>
      </c>
      <c r="CY4" s="23">
        <f t="shared" si="0"/>
        <v>3568.09523809524</v>
      </c>
      <c r="CZ4" s="23">
        <f t="shared" si="0"/>
        <v>1894.28571428571</v>
      </c>
      <c r="DA4" s="23">
        <f t="shared" si="0"/>
        <v>1086.52173913043</v>
      </c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36">
        <f>AVERAGE(B4:CZ4)</f>
        <v>1238.66477196465</v>
      </c>
      <c r="DP4" s="36">
        <f>MAX(B4:CZ4)</f>
        <v>4064</v>
      </c>
      <c r="DQ4" s="36">
        <f>MIN(B4:CZ4)</f>
        <v>553.571428571429</v>
      </c>
    </row>
    <row r="5" ht="16.5" hidden="1" spans="1:121">
      <c r="A5" s="19" t="s">
        <v>144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45"/>
      <c r="BU5" s="45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48"/>
      <c r="CY5" s="23"/>
      <c r="CZ5" s="23"/>
      <c r="DA5" s="23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>
        <f>DL2/DO7</f>
        <v>1925.78667547439</v>
      </c>
      <c r="DM5" s="54">
        <f>DM2/DP7</f>
        <v>1181.89315925959</v>
      </c>
      <c r="DN5" s="54">
        <f>DN2/DQ7</f>
        <v>3645.80146593254</v>
      </c>
      <c r="DO5" s="36"/>
      <c r="DP5" s="36"/>
      <c r="DQ5" s="36"/>
    </row>
    <row r="6" ht="16.5" hidden="1" spans="1:121">
      <c r="A6" s="19" t="s">
        <v>144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45"/>
      <c r="BU6" s="45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48"/>
      <c r="CY6" s="23"/>
      <c r="CZ6" s="23"/>
      <c r="DA6" s="23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36"/>
      <c r="DP6" s="36"/>
      <c r="DQ6" s="36"/>
    </row>
    <row r="7" ht="16.5" spans="1:121">
      <c r="A7" s="90" t="s">
        <v>145</v>
      </c>
      <c r="B7" s="43">
        <f>B2/B4</f>
        <v>1.66905993763893</v>
      </c>
      <c r="C7" s="43">
        <f t="shared" ref="C7:BN7" si="1">C2/C4</f>
        <v>1.56708787836912</v>
      </c>
      <c r="D7" s="43">
        <f t="shared" si="1"/>
        <v>1.76614745526421</v>
      </c>
      <c r="E7" s="43">
        <f t="shared" si="1"/>
        <v>2.23155855722437</v>
      </c>
      <c r="F7" s="43">
        <f t="shared" si="1"/>
        <v>1.85245645681738</v>
      </c>
      <c r="G7" s="43">
        <f t="shared" si="1"/>
        <v>1.81747864510663</v>
      </c>
      <c r="H7" s="43">
        <f t="shared" si="1"/>
        <v>1.84945042380229</v>
      </c>
      <c r="I7" s="43">
        <f t="shared" si="1"/>
        <v>2.02194032338577</v>
      </c>
      <c r="J7" s="43">
        <f t="shared" si="1"/>
        <v>2.28954173678262</v>
      </c>
      <c r="K7" s="43">
        <f t="shared" si="1"/>
        <v>2.4747619943432</v>
      </c>
      <c r="L7" s="43">
        <f t="shared" si="1"/>
        <v>2.33245466724274</v>
      </c>
      <c r="M7" s="43">
        <f t="shared" si="1"/>
        <v>1.9618101036718</v>
      </c>
      <c r="N7" s="43">
        <f t="shared" si="1"/>
        <v>1.88734982384797</v>
      </c>
      <c r="O7" s="43">
        <f t="shared" si="1"/>
        <v>1.97565712253098</v>
      </c>
      <c r="P7" s="43">
        <f t="shared" si="1"/>
        <v>1.94304447143664</v>
      </c>
      <c r="Q7" s="43">
        <f t="shared" si="1"/>
        <v>2.2865050752133</v>
      </c>
      <c r="R7" s="43">
        <f t="shared" si="1"/>
        <v>2.32955609343176</v>
      </c>
      <c r="S7" s="43">
        <f t="shared" si="1"/>
        <v>2.17295330629632</v>
      </c>
      <c r="T7" s="43">
        <f t="shared" si="1"/>
        <v>2.14347846445077</v>
      </c>
      <c r="U7" s="43">
        <f t="shared" si="1"/>
        <v>2.28366320141012</v>
      </c>
      <c r="V7" s="43">
        <f t="shared" si="1"/>
        <v>2.56872174902547</v>
      </c>
      <c r="W7" s="43">
        <f t="shared" si="1"/>
        <v>2.5448738438976</v>
      </c>
      <c r="X7" s="43">
        <f t="shared" si="1"/>
        <v>2.17728761957227</v>
      </c>
      <c r="Y7" s="43">
        <f t="shared" si="1"/>
        <v>2.29604154548758</v>
      </c>
      <c r="Z7" s="43">
        <f t="shared" si="1"/>
        <v>2.50702308368334</v>
      </c>
      <c r="AA7" s="43">
        <f t="shared" si="1"/>
        <v>2.84176050863797</v>
      </c>
      <c r="AB7" s="43">
        <f t="shared" si="1"/>
        <v>3.09711556526633</v>
      </c>
      <c r="AC7" s="43">
        <f t="shared" si="1"/>
        <v>2.90581414093438</v>
      </c>
      <c r="AD7" s="43">
        <f t="shared" si="1"/>
        <v>2.73260834498369</v>
      </c>
      <c r="AE7" s="43">
        <f t="shared" si="1"/>
        <v>2.86601847194615</v>
      </c>
      <c r="AF7" s="43">
        <f t="shared" si="1"/>
        <v>3.08019346372019</v>
      </c>
      <c r="AG7" s="43">
        <f t="shared" si="1"/>
        <v>3.05208956986094</v>
      </c>
      <c r="AH7" s="43">
        <f t="shared" si="1"/>
        <v>2.78938087195594</v>
      </c>
      <c r="AI7" s="43">
        <f t="shared" si="1"/>
        <v>2.4898508011054</v>
      </c>
      <c r="AJ7" s="43">
        <f t="shared" si="1"/>
        <v>2.24817360587431</v>
      </c>
      <c r="AK7" s="43">
        <f t="shared" si="1"/>
        <v>2.21171492784984</v>
      </c>
      <c r="AL7" s="43">
        <f t="shared" si="1"/>
        <v>2.4068699949615</v>
      </c>
      <c r="AM7" s="43">
        <f t="shared" si="1"/>
        <v>2.53627607373599</v>
      </c>
      <c r="AN7" s="43">
        <f t="shared" si="1"/>
        <v>2.6355194446499</v>
      </c>
      <c r="AO7" s="43">
        <f t="shared" si="1"/>
        <v>2.96013873496725</v>
      </c>
      <c r="AP7" s="43">
        <f t="shared" si="1"/>
        <v>2.91526565534288</v>
      </c>
      <c r="AQ7" s="43">
        <f t="shared" si="1"/>
        <v>2.7301281615521</v>
      </c>
      <c r="AR7" s="43">
        <f t="shared" si="1"/>
        <v>2.47825832774745</v>
      </c>
      <c r="AS7" s="43">
        <f t="shared" si="1"/>
        <v>2.26395470363243</v>
      </c>
      <c r="AT7" s="43">
        <f t="shared" si="1"/>
        <v>2.13387514720759</v>
      </c>
      <c r="AU7" s="43">
        <f t="shared" si="1"/>
        <v>1.61308259485574</v>
      </c>
      <c r="AV7" s="43">
        <f t="shared" si="1"/>
        <v>1.45394079161717</v>
      </c>
      <c r="AW7" s="43">
        <f t="shared" si="1"/>
        <v>1.89877491858537</v>
      </c>
      <c r="AX7" s="43">
        <f t="shared" si="1"/>
        <v>2.06036024707553</v>
      </c>
      <c r="AY7" s="43">
        <f t="shared" si="1"/>
        <v>2.05587052474539</v>
      </c>
      <c r="AZ7" s="43">
        <f t="shared" si="1"/>
        <v>2.26428538410051</v>
      </c>
      <c r="BA7" s="43">
        <f t="shared" si="1"/>
        <v>2.34033834829996</v>
      </c>
      <c r="BB7" s="43">
        <f t="shared" si="1"/>
        <v>2.21747574988798</v>
      </c>
      <c r="BC7" s="43">
        <f t="shared" si="1"/>
        <v>2.18669589410474</v>
      </c>
      <c r="BD7" s="43">
        <f t="shared" si="1"/>
        <v>2.19040754952878</v>
      </c>
      <c r="BE7" s="43">
        <f t="shared" si="1"/>
        <v>2.01266371281055</v>
      </c>
      <c r="BF7" s="43">
        <f t="shared" si="1"/>
        <v>1.8096651116002</v>
      </c>
      <c r="BG7" s="43">
        <f t="shared" si="1"/>
        <v>1.84193035119247</v>
      </c>
      <c r="BH7" s="43">
        <f t="shared" si="1"/>
        <v>1.89075630252101</v>
      </c>
      <c r="BI7" s="43">
        <f t="shared" si="1"/>
        <v>2.1420071400238</v>
      </c>
      <c r="BJ7" s="43">
        <f t="shared" si="1"/>
        <v>2.24653437266344</v>
      </c>
      <c r="BK7" s="43">
        <f t="shared" si="1"/>
        <v>2.35215053763441</v>
      </c>
      <c r="BL7" s="43">
        <f t="shared" si="1"/>
        <v>2.43304548898288</v>
      </c>
      <c r="BM7" s="43">
        <f t="shared" si="1"/>
        <v>2.44434889348371</v>
      </c>
      <c r="BN7" s="43">
        <f t="shared" si="1"/>
        <v>2.42208894859034</v>
      </c>
      <c r="BO7" s="43">
        <f t="shared" ref="BO7:DA7" si="2">BO2/BO4</f>
        <v>2.42262659069472</v>
      </c>
      <c r="BP7" s="43">
        <f t="shared" si="2"/>
        <v>2.54196767128897</v>
      </c>
      <c r="BQ7" s="43">
        <f t="shared" si="2"/>
        <v>2.83043707790674</v>
      </c>
      <c r="BR7" s="43">
        <f t="shared" si="2"/>
        <v>3.25161643830852</v>
      </c>
      <c r="BS7" s="43">
        <f t="shared" si="2"/>
        <v>3.38284968763121</v>
      </c>
      <c r="BT7" s="43">
        <f t="shared" si="2"/>
        <v>3.80048286995438</v>
      </c>
      <c r="BU7" s="43">
        <f t="shared" si="2"/>
        <v>3.62197231607899</v>
      </c>
      <c r="BV7" s="43">
        <f t="shared" si="2"/>
        <v>3.32904772543111</v>
      </c>
      <c r="BW7" s="43">
        <f t="shared" si="2"/>
        <v>3.09916986862408</v>
      </c>
      <c r="BX7" s="43">
        <f t="shared" si="2"/>
        <v>2.84317339817513</v>
      </c>
      <c r="BY7" s="43">
        <f t="shared" si="2"/>
        <v>3.29649862320797</v>
      </c>
      <c r="BZ7" s="43">
        <f t="shared" si="2"/>
        <v>3.0711002310475</v>
      </c>
      <c r="CA7" s="43">
        <f t="shared" si="2"/>
        <v>2.99760991191311</v>
      </c>
      <c r="CB7" s="43">
        <f t="shared" si="2"/>
        <v>3.17583900519745</v>
      </c>
      <c r="CC7" s="43">
        <f t="shared" si="2"/>
        <v>3.05421244906927</v>
      </c>
      <c r="CD7" s="43">
        <f t="shared" si="2"/>
        <v>2.97203356738665</v>
      </c>
      <c r="CE7" s="43">
        <f t="shared" si="2"/>
        <v>2.88384505359798</v>
      </c>
      <c r="CF7" s="43">
        <f t="shared" si="2"/>
        <v>2.71857219162217</v>
      </c>
      <c r="CG7" s="43">
        <f t="shared" si="2"/>
        <v>2.43133193044408</v>
      </c>
      <c r="CH7" s="43">
        <f t="shared" si="2"/>
        <v>2.10654444234396</v>
      </c>
      <c r="CI7" s="43">
        <f t="shared" si="2"/>
        <v>1.68309863476575</v>
      </c>
      <c r="CJ7" s="43">
        <f t="shared" si="2"/>
        <v>1.9769762348719</v>
      </c>
      <c r="CK7" s="43">
        <f t="shared" si="2"/>
        <v>2.2715475237479</v>
      </c>
      <c r="CL7" s="43">
        <f t="shared" si="2"/>
        <v>2.03585949953162</v>
      </c>
      <c r="CM7" s="43">
        <f t="shared" si="2"/>
        <v>2.0039688416512</v>
      </c>
      <c r="CN7" s="43">
        <f t="shared" si="2"/>
        <v>2.08943945179354</v>
      </c>
      <c r="CO7" s="43">
        <f t="shared" si="2"/>
        <v>1.94462890810526</v>
      </c>
      <c r="CP7" s="43">
        <f t="shared" si="2"/>
        <v>1.95020171464194</v>
      </c>
      <c r="CQ7" s="43">
        <f t="shared" si="2"/>
        <v>1.90265657361707</v>
      </c>
      <c r="CR7" s="43">
        <f t="shared" si="2"/>
        <v>1.74038893047591</v>
      </c>
      <c r="CS7" s="43">
        <f t="shared" si="2"/>
        <v>1.50919068606328</v>
      </c>
      <c r="CT7" s="43">
        <f t="shared" si="2"/>
        <v>1.45948521700873</v>
      </c>
      <c r="CU7" s="43">
        <f t="shared" si="2"/>
        <v>1.37194106289298</v>
      </c>
      <c r="CV7" s="43">
        <f t="shared" si="2"/>
        <v>1.30779565004995</v>
      </c>
      <c r="CW7" s="43">
        <f t="shared" si="2"/>
        <v>1.23203765971755</v>
      </c>
      <c r="CX7" s="43">
        <f t="shared" si="2"/>
        <v>1.23745078740157</v>
      </c>
      <c r="CY7" s="43">
        <f t="shared" si="2"/>
        <v>1.47978112905378</v>
      </c>
      <c r="CZ7" s="43">
        <f t="shared" si="2"/>
        <v>3.01168929110106</v>
      </c>
      <c r="DA7" s="43">
        <f t="shared" si="2"/>
        <v>4.74357743097239</v>
      </c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>
        <f>DL2/DL5</f>
        <v>2.3324310854814</v>
      </c>
      <c r="DM7" s="55">
        <f>DM2/DM5</f>
        <v>3.80048286995438</v>
      </c>
      <c r="DN7" s="55">
        <f>DN2/DN5</f>
        <v>1.23203765971755</v>
      </c>
      <c r="DO7" s="37">
        <f>AVERAGE(B7:CZ7)</f>
        <v>2.3324310854814</v>
      </c>
      <c r="DP7" s="37">
        <f t="shared" ref="DP7:DP12" si="3">MAX(B7:CZ7)</f>
        <v>3.80048286995438</v>
      </c>
      <c r="DQ7" s="37">
        <f t="shared" ref="DQ7:DQ12" si="4">MIN(B7:CZ7)</f>
        <v>1.23203765971755</v>
      </c>
    </row>
    <row r="8" ht="15" customHeight="1" spans="1:121">
      <c r="A8" s="19" t="s">
        <v>60</v>
      </c>
      <c r="B8" s="42">
        <v>2214.84253724686</v>
      </c>
      <c r="C8" s="42">
        <v>2336.52802664836</v>
      </c>
      <c r="D8" s="42">
        <v>2486.73561701201</v>
      </c>
      <c r="E8" s="42">
        <v>2463.6406471757</v>
      </c>
      <c r="F8" s="42">
        <v>2421.16058906031</v>
      </c>
      <c r="G8" s="42">
        <v>2389.98441831522</v>
      </c>
      <c r="H8" s="42">
        <v>2517.10202679492</v>
      </c>
      <c r="I8" s="42">
        <v>2610.32495749103</v>
      </c>
      <c r="J8" s="42">
        <v>2740.58145892879</v>
      </c>
      <c r="K8" s="42">
        <v>2534.15628220744</v>
      </c>
      <c r="L8" s="42">
        <v>2670.66059399294</v>
      </c>
      <c r="M8" s="42">
        <v>2577.81847622475</v>
      </c>
      <c r="N8" s="42">
        <v>2589.44395831942</v>
      </c>
      <c r="O8" s="42">
        <v>2675.03974390694</v>
      </c>
      <c r="P8" s="42">
        <v>2661.9709258682</v>
      </c>
      <c r="Q8" s="42">
        <v>2677.49744307477</v>
      </c>
      <c r="R8" s="42">
        <v>2720.9215171283</v>
      </c>
      <c r="S8" s="42">
        <v>2716.1916328704</v>
      </c>
      <c r="T8" s="42">
        <v>2717.93069292358</v>
      </c>
      <c r="U8" s="42">
        <v>2742.67950489356</v>
      </c>
      <c r="V8" s="42">
        <v>2730.55121921408</v>
      </c>
      <c r="W8" s="42">
        <v>2667.02778840469</v>
      </c>
      <c r="X8" s="42">
        <v>2482.10788631239</v>
      </c>
      <c r="Y8" s="42">
        <v>2479.72486912659</v>
      </c>
      <c r="Z8" s="42">
        <v>2369.13681408076</v>
      </c>
      <c r="AA8" s="42">
        <v>2389.92058776453</v>
      </c>
      <c r="AB8" s="42">
        <v>2353.80782960241</v>
      </c>
      <c r="AC8" s="42">
        <v>2228.75944609667</v>
      </c>
      <c r="AD8" s="42">
        <v>2057.65408377272</v>
      </c>
      <c r="AE8" s="42">
        <v>2037.73913355371</v>
      </c>
      <c r="AF8" s="42">
        <v>2060.64942722881</v>
      </c>
      <c r="AG8" s="42">
        <v>2102.88971363419</v>
      </c>
      <c r="AH8" s="42">
        <v>2033.45865565588</v>
      </c>
      <c r="AI8" s="45">
        <v>1899.75616124342</v>
      </c>
      <c r="AJ8" s="42">
        <v>1955.91103711065</v>
      </c>
      <c r="AK8" s="42">
        <v>1983.90829028131</v>
      </c>
      <c r="AL8" s="42">
        <v>2134.89368553085</v>
      </c>
      <c r="AM8" s="42">
        <v>2300.40239887854</v>
      </c>
      <c r="AN8" s="42">
        <v>2353.51886407236</v>
      </c>
      <c r="AO8" s="42">
        <v>2376.9914041787</v>
      </c>
      <c r="AP8" s="42">
        <v>2370.11097779376</v>
      </c>
      <c r="AQ8" s="42">
        <v>2285.11727121911</v>
      </c>
      <c r="AR8" s="42">
        <v>2235.3890116282</v>
      </c>
      <c r="AS8" s="42">
        <v>2225.46747367068</v>
      </c>
      <c r="AT8" s="42">
        <v>2229.89952883193</v>
      </c>
      <c r="AU8" s="42">
        <v>2235.73247647006</v>
      </c>
      <c r="AV8" s="42">
        <v>2329.2131481707</v>
      </c>
      <c r="AW8" s="42">
        <v>2470.30616907957</v>
      </c>
      <c r="AX8" s="42">
        <v>2501.27733994969</v>
      </c>
      <c r="AY8" s="42">
        <v>2526.66487491209</v>
      </c>
      <c r="AZ8" s="42">
        <v>2597.13533556329</v>
      </c>
      <c r="BA8" s="42">
        <v>2548.62846129866</v>
      </c>
      <c r="BB8" s="42">
        <v>2565.61944262039</v>
      </c>
      <c r="BC8" s="42">
        <v>2575.92776325538</v>
      </c>
      <c r="BD8" s="42">
        <v>2678.8684330737</v>
      </c>
      <c r="BE8" s="42">
        <v>2733.19732199673</v>
      </c>
      <c r="BF8" s="42">
        <v>2745.26197429751</v>
      </c>
      <c r="BG8" s="42">
        <v>2742.63429292559</v>
      </c>
      <c r="BH8" s="42">
        <v>2700</v>
      </c>
      <c r="BI8" s="42">
        <v>2700</v>
      </c>
      <c r="BJ8" s="42">
        <v>2614</v>
      </c>
      <c r="BK8" s="42">
        <v>2625</v>
      </c>
      <c r="BL8" s="42">
        <v>2520.39182203737</v>
      </c>
      <c r="BM8" s="42">
        <v>2512.13068830001</v>
      </c>
      <c r="BN8" s="42">
        <v>2429.00920272917</v>
      </c>
      <c r="BO8" s="42">
        <v>2407.32579117454</v>
      </c>
      <c r="BP8" s="42">
        <v>2214.27488235976</v>
      </c>
      <c r="BQ8" s="42">
        <v>2214.17373230795</v>
      </c>
      <c r="BR8" s="42">
        <v>2187.03721640631</v>
      </c>
      <c r="BS8" s="42">
        <v>2139.20731562574</v>
      </c>
      <c r="BT8" s="42">
        <v>2103.83873158189</v>
      </c>
      <c r="BU8" s="42">
        <v>2061.2315180595</v>
      </c>
      <c r="BV8" s="42">
        <v>2085.85646546543</v>
      </c>
      <c r="BW8" s="42">
        <v>1986.99049986103</v>
      </c>
      <c r="BX8" s="42">
        <v>1986.99049986103</v>
      </c>
      <c r="BY8" s="42">
        <v>2071.54970299319</v>
      </c>
      <c r="BZ8" s="42">
        <v>2060.86989188714</v>
      </c>
      <c r="CA8" s="42">
        <v>2071.91942244851</v>
      </c>
      <c r="CB8" s="42">
        <v>2098.81534256527</v>
      </c>
      <c r="CC8" s="42">
        <v>2082.68201288914</v>
      </c>
      <c r="CD8" s="42">
        <v>2176.04544673005</v>
      </c>
      <c r="CE8" s="42">
        <v>2238.37267542502</v>
      </c>
      <c r="CF8" s="42">
        <v>2273.71492390218</v>
      </c>
      <c r="CG8" s="42">
        <v>2310.92311103161</v>
      </c>
      <c r="CH8" s="42">
        <v>2365.12277264168</v>
      </c>
      <c r="CI8" s="42">
        <v>2471.1848190443</v>
      </c>
      <c r="CJ8" s="42">
        <v>2727.36764923849</v>
      </c>
      <c r="CK8" s="42">
        <v>3293.74390943446</v>
      </c>
      <c r="CL8" s="42">
        <v>3225.76580175787</v>
      </c>
      <c r="CM8" s="42">
        <v>3262.17499294506</v>
      </c>
      <c r="CN8" s="42">
        <v>3373.02009683852</v>
      </c>
      <c r="CO8" s="42">
        <v>3508.28733466809</v>
      </c>
      <c r="CP8" s="42">
        <v>3780.28873276843</v>
      </c>
      <c r="CQ8" s="42">
        <v>3742.63740127969</v>
      </c>
      <c r="CR8" s="42">
        <v>3536.15387237605</v>
      </c>
      <c r="CS8" s="42">
        <v>3536.09939443262</v>
      </c>
      <c r="CT8" s="42">
        <v>3635.94254687299</v>
      </c>
      <c r="CU8" s="42">
        <v>3566.13213614648</v>
      </c>
      <c r="CV8" s="42">
        <v>4271.26059306314</v>
      </c>
      <c r="CW8" s="42">
        <v>4362</v>
      </c>
      <c r="CX8" s="42">
        <v>5029</v>
      </c>
      <c r="CY8" s="97">
        <v>5280</v>
      </c>
      <c r="CZ8" s="97">
        <v>5705</v>
      </c>
      <c r="DA8" s="97">
        <v>5154</v>
      </c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>
        <f>DL2</f>
        <v>4491.76470588235</v>
      </c>
      <c r="DM8" s="53">
        <f>DM2</f>
        <v>4491.76470588235</v>
      </c>
      <c r="DN8" s="53">
        <f>DN2</f>
        <v>4491.76470588235</v>
      </c>
      <c r="DO8" s="36">
        <f t="shared" ref="DO8:DO12" si="5">AVERAGE(B8:CZ8)</f>
        <v>2627.22334555081</v>
      </c>
      <c r="DP8" s="36">
        <f t="shared" si="3"/>
        <v>5705</v>
      </c>
      <c r="DQ8" s="36">
        <f t="shared" si="4"/>
        <v>1899.75616124342</v>
      </c>
    </row>
    <row r="9" ht="16.5" spans="1:121">
      <c r="A9" s="88" t="s">
        <v>146</v>
      </c>
      <c r="B9" s="23">
        <v>400</v>
      </c>
      <c r="C9" s="23">
        <v>400</v>
      </c>
      <c r="D9" s="23">
        <v>400</v>
      </c>
      <c r="E9" s="23">
        <v>380</v>
      </c>
      <c r="F9" s="23">
        <v>380</v>
      </c>
      <c r="G9" s="23">
        <v>380</v>
      </c>
      <c r="H9" s="23">
        <v>380</v>
      </c>
      <c r="I9" s="23">
        <v>380</v>
      </c>
      <c r="J9" s="23">
        <v>380</v>
      </c>
      <c r="K9" s="23">
        <v>380</v>
      </c>
      <c r="L9" s="23">
        <v>380</v>
      </c>
      <c r="M9" s="23">
        <v>380</v>
      </c>
      <c r="N9" s="23">
        <v>390</v>
      </c>
      <c r="O9" s="23">
        <v>390</v>
      </c>
      <c r="P9" s="23">
        <v>380</v>
      </c>
      <c r="Q9" s="23">
        <v>380</v>
      </c>
      <c r="R9" s="23">
        <v>380</v>
      </c>
      <c r="S9" s="23">
        <v>380</v>
      </c>
      <c r="T9" s="23">
        <v>380</v>
      </c>
      <c r="U9" s="23">
        <v>370</v>
      </c>
      <c r="V9" s="23">
        <v>370</v>
      </c>
      <c r="W9" s="23">
        <v>370</v>
      </c>
      <c r="X9" s="23">
        <v>370</v>
      </c>
      <c r="Y9" s="23">
        <v>370</v>
      </c>
      <c r="Z9" s="23">
        <v>350</v>
      </c>
      <c r="AA9" s="23">
        <v>350</v>
      </c>
      <c r="AB9" s="23">
        <v>350</v>
      </c>
      <c r="AC9" s="23">
        <v>350</v>
      </c>
      <c r="AD9" s="23">
        <v>350</v>
      </c>
      <c r="AE9" s="23">
        <v>350</v>
      </c>
      <c r="AF9" s="23">
        <v>350</v>
      </c>
      <c r="AG9" s="23">
        <v>340</v>
      </c>
      <c r="AH9" s="23">
        <v>340</v>
      </c>
      <c r="AI9" s="23">
        <v>340</v>
      </c>
      <c r="AJ9" s="23">
        <v>340</v>
      </c>
      <c r="AK9" s="23">
        <v>340</v>
      </c>
      <c r="AL9" s="23">
        <v>340</v>
      </c>
      <c r="AM9" s="23">
        <v>355</v>
      </c>
      <c r="AN9" s="23">
        <v>355</v>
      </c>
      <c r="AO9" s="23">
        <v>355</v>
      </c>
      <c r="AP9" s="23">
        <v>355</v>
      </c>
      <c r="AQ9" s="23">
        <v>355</v>
      </c>
      <c r="AR9" s="23">
        <v>355</v>
      </c>
      <c r="AS9" s="23">
        <v>355</v>
      </c>
      <c r="AT9" s="23">
        <v>355</v>
      </c>
      <c r="AU9" s="23">
        <v>355</v>
      </c>
      <c r="AV9" s="23">
        <v>355</v>
      </c>
      <c r="AW9" s="23">
        <v>430</v>
      </c>
      <c r="AX9" s="23">
        <v>430</v>
      </c>
      <c r="AY9" s="23">
        <v>430</v>
      </c>
      <c r="AZ9" s="23">
        <v>430</v>
      </c>
      <c r="BA9" s="23">
        <v>430</v>
      </c>
      <c r="BB9" s="23">
        <v>430</v>
      </c>
      <c r="BC9" s="23">
        <v>430</v>
      </c>
      <c r="BD9" s="23">
        <v>430</v>
      </c>
      <c r="BE9" s="23">
        <v>430</v>
      </c>
      <c r="BF9" s="23">
        <v>430</v>
      </c>
      <c r="BG9" s="23">
        <v>430</v>
      </c>
      <c r="BH9" s="23">
        <v>450</v>
      </c>
      <c r="BI9" s="23">
        <v>500</v>
      </c>
      <c r="BJ9" s="23">
        <v>470</v>
      </c>
      <c r="BK9" s="23">
        <v>470</v>
      </c>
      <c r="BL9" s="23">
        <v>420</v>
      </c>
      <c r="BM9" s="23">
        <v>420</v>
      </c>
      <c r="BN9" s="23">
        <v>420</v>
      </c>
      <c r="BO9" s="23">
        <v>420</v>
      </c>
      <c r="BP9" s="23">
        <v>400</v>
      </c>
      <c r="BQ9" s="23">
        <v>400</v>
      </c>
      <c r="BR9" s="23">
        <v>380</v>
      </c>
      <c r="BS9" s="96">
        <v>380</v>
      </c>
      <c r="BT9" s="96">
        <v>370</v>
      </c>
      <c r="BU9" s="96">
        <v>370</v>
      </c>
      <c r="BV9" s="96">
        <v>370</v>
      </c>
      <c r="BW9" s="96">
        <v>370</v>
      </c>
      <c r="BX9" s="96">
        <v>370</v>
      </c>
      <c r="BY9" s="96">
        <v>338</v>
      </c>
      <c r="BZ9" s="96">
        <v>338</v>
      </c>
      <c r="CA9" s="96">
        <v>338</v>
      </c>
      <c r="CB9" s="96">
        <v>338</v>
      </c>
      <c r="CC9" s="96">
        <v>338</v>
      </c>
      <c r="CD9" s="97">
        <v>328</v>
      </c>
      <c r="CE9" s="97">
        <v>328</v>
      </c>
      <c r="CF9" s="96">
        <v>358</v>
      </c>
      <c r="CG9" s="96">
        <v>358</v>
      </c>
      <c r="CH9" s="96">
        <v>358</v>
      </c>
      <c r="CI9" s="96">
        <v>358</v>
      </c>
      <c r="CJ9" s="96">
        <v>358</v>
      </c>
      <c r="CK9" s="96">
        <v>408</v>
      </c>
      <c r="CL9" s="96">
        <v>458</v>
      </c>
      <c r="CM9" s="96">
        <v>488</v>
      </c>
      <c r="CN9" s="96">
        <v>508</v>
      </c>
      <c r="CO9" s="96">
        <v>558</v>
      </c>
      <c r="CP9" s="96">
        <v>608</v>
      </c>
      <c r="CQ9" s="96">
        <v>608</v>
      </c>
      <c r="CR9" s="96">
        <v>608</v>
      </c>
      <c r="CS9" s="96">
        <v>608</v>
      </c>
      <c r="CT9" s="96">
        <v>608</v>
      </c>
      <c r="CU9" s="96">
        <v>608</v>
      </c>
      <c r="CV9" s="96">
        <v>608</v>
      </c>
      <c r="CW9" s="96">
        <v>645.6</v>
      </c>
      <c r="CX9" s="96">
        <v>745.6</v>
      </c>
      <c r="CY9" s="96">
        <v>858</v>
      </c>
      <c r="CZ9" s="96">
        <v>958</v>
      </c>
      <c r="DA9" s="96">
        <v>958</v>
      </c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>
        <f>DL8/DO12</f>
        <v>710.623691727791</v>
      </c>
      <c r="DM9" s="54">
        <f>DL8/DP12</f>
        <v>556.400269842067</v>
      </c>
      <c r="DN9" s="54">
        <f>DL8/DQ12</f>
        <v>836.417155136226</v>
      </c>
      <c r="DO9" s="36">
        <f t="shared" si="5"/>
        <v>416.691262135922</v>
      </c>
      <c r="DP9" s="36">
        <f t="shared" si="3"/>
        <v>958</v>
      </c>
      <c r="DQ9" s="36">
        <f t="shared" si="4"/>
        <v>328</v>
      </c>
    </row>
    <row r="10" ht="16.5" hidden="1" spans="1:121">
      <c r="A10" s="19" t="s">
        <v>146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7"/>
      <c r="CE10" s="97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36"/>
      <c r="DP10" s="36"/>
      <c r="DQ10" s="36"/>
    </row>
    <row r="11" ht="16.5" hidden="1" spans="1:121">
      <c r="A11" s="19" t="s">
        <v>146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7"/>
      <c r="CE11" s="97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36"/>
      <c r="DP11" s="36"/>
      <c r="DQ11" s="36"/>
    </row>
    <row r="12" ht="16.5" spans="1:121">
      <c r="A12" s="91" t="s">
        <v>147</v>
      </c>
      <c r="B12" s="43">
        <f t="shared" ref="B12:BM12" si="6">B8/B9</f>
        <v>5.53710634311715</v>
      </c>
      <c r="C12" s="43">
        <f t="shared" si="6"/>
        <v>5.8413200666209</v>
      </c>
      <c r="D12" s="43">
        <f t="shared" si="6"/>
        <v>6.21683904253003</v>
      </c>
      <c r="E12" s="43">
        <f t="shared" si="6"/>
        <v>6.48326486098868</v>
      </c>
      <c r="F12" s="43">
        <f t="shared" si="6"/>
        <v>6.37147523436924</v>
      </c>
      <c r="G12" s="43">
        <f t="shared" si="6"/>
        <v>6.28943267977689</v>
      </c>
      <c r="H12" s="43">
        <f t="shared" si="6"/>
        <v>6.62395270209189</v>
      </c>
      <c r="I12" s="43">
        <f t="shared" si="6"/>
        <v>6.86927620392376</v>
      </c>
      <c r="J12" s="43">
        <f t="shared" si="6"/>
        <v>7.21205647086524</v>
      </c>
      <c r="K12" s="43">
        <f t="shared" si="6"/>
        <v>6.66883232159853</v>
      </c>
      <c r="L12" s="43">
        <f t="shared" si="6"/>
        <v>7.02805419471826</v>
      </c>
      <c r="M12" s="43">
        <f t="shared" si="6"/>
        <v>6.7837328321704</v>
      </c>
      <c r="N12" s="43">
        <f t="shared" si="6"/>
        <v>6.63959989312672</v>
      </c>
      <c r="O12" s="43">
        <f t="shared" si="6"/>
        <v>6.85907626642805</v>
      </c>
      <c r="P12" s="43">
        <f t="shared" si="6"/>
        <v>7.00518664702158</v>
      </c>
      <c r="Q12" s="43">
        <f t="shared" si="6"/>
        <v>7.04604590282834</v>
      </c>
      <c r="R12" s="43">
        <f t="shared" si="6"/>
        <v>7.16031978191658</v>
      </c>
      <c r="S12" s="43">
        <f t="shared" si="6"/>
        <v>7.14787271808</v>
      </c>
      <c r="T12" s="43">
        <f t="shared" si="6"/>
        <v>7.15244919190416</v>
      </c>
      <c r="U12" s="43">
        <f t="shared" si="6"/>
        <v>7.41264731052313</v>
      </c>
      <c r="V12" s="43">
        <f t="shared" si="6"/>
        <v>7.37986816003805</v>
      </c>
      <c r="W12" s="43">
        <f t="shared" si="6"/>
        <v>7.20818321190457</v>
      </c>
      <c r="X12" s="43">
        <f t="shared" si="6"/>
        <v>6.70839969273619</v>
      </c>
      <c r="Y12" s="43">
        <f t="shared" si="6"/>
        <v>6.70195910574754</v>
      </c>
      <c r="Z12" s="43">
        <f t="shared" si="6"/>
        <v>6.76896232594503</v>
      </c>
      <c r="AA12" s="43">
        <f t="shared" si="6"/>
        <v>6.82834453647009</v>
      </c>
      <c r="AB12" s="43">
        <f t="shared" si="6"/>
        <v>6.72516522743546</v>
      </c>
      <c r="AC12" s="43">
        <f t="shared" si="6"/>
        <v>6.36788413170477</v>
      </c>
      <c r="AD12" s="43">
        <f t="shared" si="6"/>
        <v>5.87901166792206</v>
      </c>
      <c r="AE12" s="43">
        <f t="shared" si="6"/>
        <v>5.82211181015346</v>
      </c>
      <c r="AF12" s="43">
        <f t="shared" si="6"/>
        <v>5.88756979208231</v>
      </c>
      <c r="AG12" s="43">
        <f t="shared" si="6"/>
        <v>6.18496974598291</v>
      </c>
      <c r="AH12" s="43">
        <f t="shared" si="6"/>
        <v>5.98076075192906</v>
      </c>
      <c r="AI12" s="43">
        <f t="shared" si="6"/>
        <v>5.58751812130418</v>
      </c>
      <c r="AJ12" s="43">
        <f t="shared" si="6"/>
        <v>5.75267952091368</v>
      </c>
      <c r="AK12" s="43">
        <f t="shared" si="6"/>
        <v>5.83502438318032</v>
      </c>
      <c r="AL12" s="43">
        <f t="shared" si="6"/>
        <v>6.27909907509073</v>
      </c>
      <c r="AM12" s="43">
        <f t="shared" si="6"/>
        <v>6.48000675740434</v>
      </c>
      <c r="AN12" s="43">
        <f t="shared" si="6"/>
        <v>6.62963060302073</v>
      </c>
      <c r="AO12" s="43">
        <f t="shared" si="6"/>
        <v>6.6957504343062</v>
      </c>
      <c r="AP12" s="43">
        <f t="shared" si="6"/>
        <v>6.67636895153172</v>
      </c>
      <c r="AQ12" s="43">
        <f t="shared" si="6"/>
        <v>6.43695005977214</v>
      </c>
      <c r="AR12" s="43">
        <f t="shared" si="6"/>
        <v>6.2968704552907</v>
      </c>
      <c r="AS12" s="43">
        <f t="shared" si="6"/>
        <v>6.26892246104417</v>
      </c>
      <c r="AT12" s="43">
        <f t="shared" si="6"/>
        <v>6.28140712347023</v>
      </c>
      <c r="AU12" s="43">
        <f t="shared" si="6"/>
        <v>6.29783796188749</v>
      </c>
      <c r="AV12" s="43">
        <f t="shared" si="6"/>
        <v>6.56116379766394</v>
      </c>
      <c r="AW12" s="43">
        <f t="shared" si="6"/>
        <v>5.74489806762691</v>
      </c>
      <c r="AX12" s="43">
        <f t="shared" si="6"/>
        <v>5.81692404639463</v>
      </c>
      <c r="AY12" s="43">
        <f t="shared" si="6"/>
        <v>5.87596482537695</v>
      </c>
      <c r="AZ12" s="43">
        <f t="shared" si="6"/>
        <v>6.03984961758905</v>
      </c>
      <c r="BA12" s="43">
        <f t="shared" si="6"/>
        <v>5.9270429332527</v>
      </c>
      <c r="BB12" s="43">
        <f t="shared" si="6"/>
        <v>5.96655684330323</v>
      </c>
      <c r="BC12" s="43">
        <f t="shared" si="6"/>
        <v>5.99052968198926</v>
      </c>
      <c r="BD12" s="43">
        <f t="shared" si="6"/>
        <v>6.22992658854349</v>
      </c>
      <c r="BE12" s="43">
        <f t="shared" si="6"/>
        <v>6.35627284185286</v>
      </c>
      <c r="BF12" s="43">
        <f t="shared" si="6"/>
        <v>6.38433017278491</v>
      </c>
      <c r="BG12" s="43">
        <f t="shared" si="6"/>
        <v>6.37821928587347</v>
      </c>
      <c r="BH12" s="43">
        <f t="shared" si="6"/>
        <v>6</v>
      </c>
      <c r="BI12" s="43">
        <f t="shared" si="6"/>
        <v>5.4</v>
      </c>
      <c r="BJ12" s="43">
        <f t="shared" si="6"/>
        <v>5.56170212765957</v>
      </c>
      <c r="BK12" s="43">
        <f t="shared" si="6"/>
        <v>5.58510638297872</v>
      </c>
      <c r="BL12" s="43">
        <f t="shared" si="6"/>
        <v>6.00093290961279</v>
      </c>
      <c r="BM12" s="43">
        <f t="shared" si="6"/>
        <v>5.98126354357145</v>
      </c>
      <c r="BN12" s="43">
        <f t="shared" ref="BN12:DA12" si="7">BN8/BN9</f>
        <v>5.78335524459326</v>
      </c>
      <c r="BO12" s="43">
        <f t="shared" si="7"/>
        <v>5.73172807422509</v>
      </c>
      <c r="BP12" s="43">
        <f t="shared" si="7"/>
        <v>5.5356872058994</v>
      </c>
      <c r="BQ12" s="43">
        <f t="shared" si="7"/>
        <v>5.53543433076988</v>
      </c>
      <c r="BR12" s="43">
        <f t="shared" si="7"/>
        <v>5.75536109580608</v>
      </c>
      <c r="BS12" s="43">
        <f t="shared" si="7"/>
        <v>5.62949293585721</v>
      </c>
      <c r="BT12" s="43">
        <f t="shared" si="7"/>
        <v>5.686050625897</v>
      </c>
      <c r="BU12" s="43">
        <f t="shared" si="7"/>
        <v>5.57089599475541</v>
      </c>
      <c r="BV12" s="43">
        <f t="shared" si="7"/>
        <v>5.63744990666333</v>
      </c>
      <c r="BW12" s="43">
        <f t="shared" si="7"/>
        <v>5.370244594219</v>
      </c>
      <c r="BX12" s="43">
        <f t="shared" si="7"/>
        <v>5.370244594219</v>
      </c>
      <c r="BY12" s="43">
        <f t="shared" si="7"/>
        <v>6.12884527512778</v>
      </c>
      <c r="BZ12" s="43">
        <f t="shared" si="7"/>
        <v>6.09724820084953</v>
      </c>
      <c r="CA12" s="43">
        <f t="shared" si="7"/>
        <v>6.12993911967015</v>
      </c>
      <c r="CB12" s="43">
        <f t="shared" si="7"/>
        <v>6.20951284782624</v>
      </c>
      <c r="CC12" s="43">
        <f t="shared" si="7"/>
        <v>6.16178110322231</v>
      </c>
      <c r="CD12" s="43">
        <f t="shared" si="7"/>
        <v>6.63428489856723</v>
      </c>
      <c r="CE12" s="43">
        <f t="shared" si="7"/>
        <v>6.8243069372714</v>
      </c>
      <c r="CF12" s="43">
        <f t="shared" si="7"/>
        <v>6.35115900531335</v>
      </c>
      <c r="CG12" s="43">
        <f t="shared" si="7"/>
        <v>6.45509248891511</v>
      </c>
      <c r="CH12" s="43">
        <f t="shared" si="7"/>
        <v>6.60648819173654</v>
      </c>
      <c r="CI12" s="43">
        <f t="shared" si="7"/>
        <v>6.9027508911852</v>
      </c>
      <c r="CJ12" s="43">
        <f t="shared" si="7"/>
        <v>7.61834538893433</v>
      </c>
      <c r="CK12" s="43">
        <f t="shared" si="7"/>
        <v>8.07290173880995</v>
      </c>
      <c r="CL12" s="43">
        <f t="shared" si="7"/>
        <v>7.0431567723971</v>
      </c>
      <c r="CM12" s="43">
        <f t="shared" si="7"/>
        <v>6.68478482160873</v>
      </c>
      <c r="CN12" s="43">
        <f t="shared" si="7"/>
        <v>6.63980334023331</v>
      </c>
      <c r="CO12" s="43">
        <f t="shared" si="7"/>
        <v>6.28725328793564</v>
      </c>
      <c r="CP12" s="43">
        <f t="shared" si="7"/>
        <v>6.21758015257965</v>
      </c>
      <c r="CQ12" s="43">
        <f t="shared" si="7"/>
        <v>6.15565362052581</v>
      </c>
      <c r="CR12" s="43">
        <f t="shared" si="7"/>
        <v>5.81604255325008</v>
      </c>
      <c r="CS12" s="43">
        <f t="shared" si="7"/>
        <v>5.81595295136944</v>
      </c>
      <c r="CT12" s="43">
        <f t="shared" si="7"/>
        <v>5.98016866262005</v>
      </c>
      <c r="CU12" s="43">
        <f t="shared" si="7"/>
        <v>5.86534890813566</v>
      </c>
      <c r="CV12" s="43">
        <f t="shared" si="7"/>
        <v>7.02509965964332</v>
      </c>
      <c r="CW12" s="43">
        <f t="shared" si="7"/>
        <v>6.75650557620818</v>
      </c>
      <c r="CX12" s="43">
        <f t="shared" si="7"/>
        <v>6.74490343347639</v>
      </c>
      <c r="CY12" s="43">
        <f t="shared" si="7"/>
        <v>6.15384615384615</v>
      </c>
      <c r="CZ12" s="43">
        <f t="shared" si="7"/>
        <v>5.95511482254697</v>
      </c>
      <c r="DA12" s="43">
        <f t="shared" si="7"/>
        <v>5.37995824634655</v>
      </c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5">
        <f>DL8/DL9</f>
        <v>6.3208766583073</v>
      </c>
      <c r="DM12" s="55">
        <f t="shared" ref="DM12:DN12" si="8">DM8/DM9</f>
        <v>8.07290173880995</v>
      </c>
      <c r="DN12" s="55">
        <f t="shared" si="8"/>
        <v>5.370244594219</v>
      </c>
      <c r="DO12" s="37">
        <f t="shared" si="5"/>
        <v>6.3208766583073</v>
      </c>
      <c r="DP12" s="37">
        <f t="shared" si="3"/>
        <v>8.07290173880995</v>
      </c>
      <c r="DQ12" s="37">
        <f t="shared" si="4"/>
        <v>5.370244594219</v>
      </c>
    </row>
    <row r="13" ht="15" customHeight="1" spans="1:121">
      <c r="A13" s="19" t="s">
        <v>60</v>
      </c>
      <c r="B13" s="42">
        <v>2214.84253724686</v>
      </c>
      <c r="C13" s="42">
        <v>2336.52802664836</v>
      </c>
      <c r="D13" s="42">
        <v>2486.73561701201</v>
      </c>
      <c r="E13" s="42">
        <v>2463.6406471757</v>
      </c>
      <c r="F13" s="42">
        <v>2421.16058906031</v>
      </c>
      <c r="G13" s="42">
        <v>2389.98441831522</v>
      </c>
      <c r="H13" s="42">
        <v>2517.10202679492</v>
      </c>
      <c r="I13" s="42">
        <v>2610.32495749103</v>
      </c>
      <c r="J13" s="42">
        <v>2740.58145892879</v>
      </c>
      <c r="K13" s="42">
        <v>2534.15628220744</v>
      </c>
      <c r="L13" s="42">
        <v>2670.66059399294</v>
      </c>
      <c r="M13" s="42">
        <v>2577.81847622475</v>
      </c>
      <c r="N13" s="42">
        <v>2589.44395831942</v>
      </c>
      <c r="O13" s="42">
        <v>2675.03974390694</v>
      </c>
      <c r="P13" s="42">
        <v>2661.9709258682</v>
      </c>
      <c r="Q13" s="42">
        <v>2677.49744307477</v>
      </c>
      <c r="R13" s="42">
        <v>2720.9215171283</v>
      </c>
      <c r="S13" s="42">
        <v>2716.1916328704</v>
      </c>
      <c r="T13" s="42">
        <v>2717.93069292358</v>
      </c>
      <c r="U13" s="42">
        <v>2742.67950489356</v>
      </c>
      <c r="V13" s="42">
        <v>2730.55121921408</v>
      </c>
      <c r="W13" s="42">
        <v>2667.02778840469</v>
      </c>
      <c r="X13" s="42">
        <v>2482.10788631239</v>
      </c>
      <c r="Y13" s="42">
        <v>2479.72486912659</v>
      </c>
      <c r="Z13" s="42">
        <v>2369.13681408076</v>
      </c>
      <c r="AA13" s="42">
        <v>2389.92058776453</v>
      </c>
      <c r="AB13" s="42">
        <v>2353.80782960241</v>
      </c>
      <c r="AC13" s="42">
        <v>2228.75944609667</v>
      </c>
      <c r="AD13" s="42">
        <v>2057.65408377272</v>
      </c>
      <c r="AE13" s="42">
        <v>2037.73913355371</v>
      </c>
      <c r="AF13" s="42">
        <v>2060.64942722881</v>
      </c>
      <c r="AG13" s="42">
        <v>2102.88971363419</v>
      </c>
      <c r="AH13" s="42">
        <v>2033.45865565588</v>
      </c>
      <c r="AI13" s="45">
        <v>1899.75616124342</v>
      </c>
      <c r="AJ13" s="42">
        <v>1955.91103711065</v>
      </c>
      <c r="AK13" s="42">
        <v>1983.90829028131</v>
      </c>
      <c r="AL13" s="42">
        <v>2134.89368553085</v>
      </c>
      <c r="AM13" s="42">
        <v>2300.40239887854</v>
      </c>
      <c r="AN13" s="42">
        <v>2353.51886407236</v>
      </c>
      <c r="AO13" s="42">
        <v>2376.9914041787</v>
      </c>
      <c r="AP13" s="42">
        <v>2370.11097779376</v>
      </c>
      <c r="AQ13" s="42">
        <v>2285.11727121911</v>
      </c>
      <c r="AR13" s="42">
        <v>2235.3890116282</v>
      </c>
      <c r="AS13" s="42">
        <v>2225.46747367068</v>
      </c>
      <c r="AT13" s="42">
        <v>2229.89952883193</v>
      </c>
      <c r="AU13" s="42">
        <v>2235.73247647006</v>
      </c>
      <c r="AV13" s="42">
        <v>2329.2131481707</v>
      </c>
      <c r="AW13" s="42">
        <v>2470.30616907957</v>
      </c>
      <c r="AX13" s="42">
        <v>2501.27733994969</v>
      </c>
      <c r="AY13" s="42">
        <v>2526.66487491209</v>
      </c>
      <c r="AZ13" s="42">
        <v>2597.13533556329</v>
      </c>
      <c r="BA13" s="42">
        <v>2548.62846129866</v>
      </c>
      <c r="BB13" s="42">
        <v>2565.61944262039</v>
      </c>
      <c r="BC13" s="42">
        <v>2575.92776325538</v>
      </c>
      <c r="BD13" s="42">
        <v>2678.8684330737</v>
      </c>
      <c r="BE13" s="42">
        <v>2733.19732199673</v>
      </c>
      <c r="BF13" s="42">
        <v>2745.26197429751</v>
      </c>
      <c r="BG13" s="42">
        <v>2742.63429292559</v>
      </c>
      <c r="BH13" s="42">
        <v>2700</v>
      </c>
      <c r="BI13" s="42">
        <v>2700</v>
      </c>
      <c r="BJ13" s="42">
        <v>2614</v>
      </c>
      <c r="BK13" s="42">
        <v>2625</v>
      </c>
      <c r="BL13" s="42">
        <v>2520.39182203737</v>
      </c>
      <c r="BM13" s="42">
        <v>2512.13068830001</v>
      </c>
      <c r="BN13" s="42">
        <v>2429.00920272917</v>
      </c>
      <c r="BO13" s="42">
        <v>2407.32579117454</v>
      </c>
      <c r="BP13" s="42">
        <v>2214.27488235976</v>
      </c>
      <c r="BQ13" s="42">
        <v>2214.17373230795</v>
      </c>
      <c r="BR13" s="42">
        <v>2187.03721640631</v>
      </c>
      <c r="BS13" s="97">
        <v>2139.20731562574</v>
      </c>
      <c r="BT13" s="97">
        <v>2103.83873158189</v>
      </c>
      <c r="BU13" s="97">
        <v>2061.2315180595</v>
      </c>
      <c r="BV13" s="97">
        <v>2085.85646546543</v>
      </c>
      <c r="BW13" s="97">
        <v>1986.99049986103</v>
      </c>
      <c r="BX13" s="97">
        <v>1986.99049986103</v>
      </c>
      <c r="BY13" s="97">
        <v>2071.54970299319</v>
      </c>
      <c r="BZ13" s="97">
        <v>2060.86989188714</v>
      </c>
      <c r="CA13" s="97">
        <v>2071.91942244851</v>
      </c>
      <c r="CB13" s="97">
        <v>2098.81534256527</v>
      </c>
      <c r="CC13" s="97">
        <v>2082.68201288914</v>
      </c>
      <c r="CD13" s="97">
        <v>2176.04544673005</v>
      </c>
      <c r="CE13" s="97">
        <v>2238.37267542502</v>
      </c>
      <c r="CF13" s="97">
        <v>2273.71492390218</v>
      </c>
      <c r="CG13" s="97">
        <v>2310.92311103161</v>
      </c>
      <c r="CH13" s="97">
        <v>2365.12277264168</v>
      </c>
      <c r="CI13" s="97">
        <v>2471.1848190443</v>
      </c>
      <c r="CJ13" s="97">
        <v>2727.36764923849</v>
      </c>
      <c r="CK13" s="97">
        <v>3293.74390943446</v>
      </c>
      <c r="CL13" s="97">
        <v>3225.76580175787</v>
      </c>
      <c r="CM13" s="97">
        <v>3262.17499294506</v>
      </c>
      <c r="CN13" s="97">
        <v>3373.02009683852</v>
      </c>
      <c r="CO13" s="97">
        <v>3508.28733466809</v>
      </c>
      <c r="CP13" s="97">
        <v>3780.28873276843</v>
      </c>
      <c r="CQ13" s="97">
        <v>3742.63740127969</v>
      </c>
      <c r="CR13" s="97">
        <v>3536.15387237605</v>
      </c>
      <c r="CS13" s="97">
        <v>3536.09939443262</v>
      </c>
      <c r="CT13" s="97">
        <v>3635.94254687299</v>
      </c>
      <c r="CU13" s="97">
        <v>3566.13213614648</v>
      </c>
      <c r="CV13" s="97">
        <v>4271.26059306314</v>
      </c>
      <c r="CW13" s="97">
        <v>4362</v>
      </c>
      <c r="CX13" s="97">
        <v>5029</v>
      </c>
      <c r="CY13" s="97">
        <v>5280</v>
      </c>
      <c r="CZ13" s="97">
        <v>5705</v>
      </c>
      <c r="DA13" s="97">
        <v>5154</v>
      </c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>
        <f>DL7</f>
        <v>2.3324310854814</v>
      </c>
      <c r="DM13" s="53">
        <f>DM7</f>
        <v>3.80048286995438</v>
      </c>
      <c r="DN13" s="53">
        <f>DN7</f>
        <v>1.23203765971755</v>
      </c>
      <c r="DO13" s="36">
        <f t="shared" ref="DO13:DO14" si="9">AVERAGE(B13:CZ13)</f>
        <v>2627.22334555081</v>
      </c>
      <c r="DP13" s="36">
        <f t="shared" ref="DP13:DP14" si="10">MAX(B13:CZ13)</f>
        <v>5705</v>
      </c>
      <c r="DQ13" s="36">
        <f t="shared" ref="DQ13:DQ14" si="11">MIN(B13:CZ13)</f>
        <v>1899.75616124342</v>
      </c>
    </row>
    <row r="14" ht="16.5" spans="1:121">
      <c r="A14" s="88" t="s">
        <v>61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>
        <v>964</v>
      </c>
      <c r="AY14" s="23">
        <v>984</v>
      </c>
      <c r="AZ14" s="23">
        <v>984</v>
      </c>
      <c r="BA14" s="23">
        <v>964</v>
      </c>
      <c r="BB14" s="23">
        <v>914</v>
      </c>
      <c r="BC14" s="23">
        <v>911</v>
      </c>
      <c r="BD14" s="23">
        <v>911</v>
      </c>
      <c r="BE14" s="23">
        <v>901</v>
      </c>
      <c r="BF14" s="23">
        <v>896</v>
      </c>
      <c r="BG14" s="23">
        <v>974</v>
      </c>
      <c r="BH14" s="23">
        <v>974</v>
      </c>
      <c r="BI14" s="23">
        <v>967</v>
      </c>
      <c r="BJ14" s="23">
        <v>917</v>
      </c>
      <c r="BK14" s="23">
        <v>917</v>
      </c>
      <c r="BL14" s="23">
        <v>903.67</v>
      </c>
      <c r="BM14" s="23">
        <v>886</v>
      </c>
      <c r="BN14" s="23">
        <v>876</v>
      </c>
      <c r="BO14" s="23">
        <v>866</v>
      </c>
      <c r="BP14" s="23">
        <v>839</v>
      </c>
      <c r="BQ14" s="23">
        <v>802.53</v>
      </c>
      <c r="BR14" s="23">
        <v>802.53</v>
      </c>
      <c r="BS14" s="96">
        <v>802.53</v>
      </c>
      <c r="BT14" s="96">
        <v>752.53</v>
      </c>
      <c r="BU14" s="96">
        <v>752.5</v>
      </c>
      <c r="BV14" s="96">
        <v>752.33</v>
      </c>
      <c r="BW14" s="96">
        <v>772.33</v>
      </c>
      <c r="BX14" s="96">
        <v>772.33</v>
      </c>
      <c r="BY14" s="96">
        <v>732.33</v>
      </c>
      <c r="BZ14" s="96">
        <v>702.33</v>
      </c>
      <c r="CA14" s="96">
        <v>755.67</v>
      </c>
      <c r="CB14" s="96">
        <v>755.67</v>
      </c>
      <c r="CC14" s="96">
        <v>692.666666666667</v>
      </c>
      <c r="CD14" s="97">
        <v>692.666666666667</v>
      </c>
      <c r="CE14" s="97">
        <v>769.333333333333</v>
      </c>
      <c r="CF14" s="96">
        <v>823</v>
      </c>
      <c r="CG14" s="96">
        <v>902.666666666667</v>
      </c>
      <c r="CH14" s="96">
        <v>1003</v>
      </c>
      <c r="CI14" s="96">
        <v>1003</v>
      </c>
      <c r="CJ14" s="96">
        <v>859</v>
      </c>
      <c r="CK14" s="96">
        <v>956</v>
      </c>
      <c r="CL14" s="96">
        <v>1125</v>
      </c>
      <c r="CM14" s="96">
        <v>1125</v>
      </c>
      <c r="CN14" s="96">
        <v>1203</v>
      </c>
      <c r="CO14" s="96">
        <v>1388</v>
      </c>
      <c r="CP14" s="96">
        <v>1588</v>
      </c>
      <c r="CQ14" s="96">
        <v>2309</v>
      </c>
      <c r="CR14" s="96">
        <v>1489</v>
      </c>
      <c r="CS14" s="96">
        <v>1416</v>
      </c>
      <c r="CT14" s="96">
        <v>1564.761568</v>
      </c>
      <c r="CU14" s="96">
        <v>1707.354545</v>
      </c>
      <c r="CV14" s="96">
        <v>1531.446555</v>
      </c>
      <c r="CW14" s="96">
        <v>1631.932225</v>
      </c>
      <c r="CX14" s="96">
        <v>1574.097596</v>
      </c>
      <c r="CY14" s="96">
        <v>1554.386728</v>
      </c>
      <c r="CZ14" s="96">
        <v>1491</v>
      </c>
      <c r="DA14" s="96">
        <v>1443</v>
      </c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 t="e">
        <f>DL13/DO17</f>
        <v>#DIV/0!</v>
      </c>
      <c r="DM14" s="54" t="e">
        <f>DL13/DP17</f>
        <v>#DIV/0!</v>
      </c>
      <c r="DN14" s="54" t="e">
        <f>DL13/DQ17</f>
        <v>#DIV/0!</v>
      </c>
      <c r="DO14" s="36">
        <f t="shared" si="9"/>
        <v>1038.24713727879</v>
      </c>
      <c r="DP14" s="36">
        <f t="shared" si="10"/>
        <v>2309</v>
      </c>
      <c r="DQ14" s="36">
        <f t="shared" si="11"/>
        <v>692.666666666667</v>
      </c>
    </row>
    <row r="15" ht="16.5" hidden="1" spans="1:121">
      <c r="A15" s="19" t="s">
        <v>61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7"/>
      <c r="CE15" s="97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36"/>
      <c r="DP15" s="36"/>
      <c r="DQ15" s="36"/>
    </row>
    <row r="16" ht="16.5" hidden="1" spans="1:121">
      <c r="A16" s="19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7"/>
      <c r="CE16" s="97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36"/>
      <c r="DP16" s="36"/>
      <c r="DQ16" s="36"/>
    </row>
    <row r="17" ht="16.5" spans="1:121">
      <c r="A17" s="91" t="s">
        <v>148</v>
      </c>
      <c r="B17" s="43" t="e">
        <f>B13/B14</f>
        <v>#DIV/0!</v>
      </c>
      <c r="C17" s="43" t="e">
        <f t="shared" ref="C17:BM17" si="12">C13/C14</f>
        <v>#DIV/0!</v>
      </c>
      <c r="D17" s="43" t="e">
        <f t="shared" si="12"/>
        <v>#DIV/0!</v>
      </c>
      <c r="E17" s="43" t="e">
        <f t="shared" si="12"/>
        <v>#DIV/0!</v>
      </c>
      <c r="F17" s="43" t="e">
        <f t="shared" si="12"/>
        <v>#DIV/0!</v>
      </c>
      <c r="G17" s="43" t="e">
        <f t="shared" si="12"/>
        <v>#DIV/0!</v>
      </c>
      <c r="H17" s="43" t="e">
        <f t="shared" si="12"/>
        <v>#DIV/0!</v>
      </c>
      <c r="I17" s="43" t="e">
        <f t="shared" si="12"/>
        <v>#DIV/0!</v>
      </c>
      <c r="J17" s="43" t="e">
        <f t="shared" si="12"/>
        <v>#DIV/0!</v>
      </c>
      <c r="K17" s="43" t="e">
        <f t="shared" si="12"/>
        <v>#DIV/0!</v>
      </c>
      <c r="L17" s="43" t="e">
        <f t="shared" si="12"/>
        <v>#DIV/0!</v>
      </c>
      <c r="M17" s="43" t="e">
        <f t="shared" si="12"/>
        <v>#DIV/0!</v>
      </c>
      <c r="N17" s="43" t="e">
        <f t="shared" si="12"/>
        <v>#DIV/0!</v>
      </c>
      <c r="O17" s="43" t="e">
        <f t="shared" si="12"/>
        <v>#DIV/0!</v>
      </c>
      <c r="P17" s="43" t="e">
        <f t="shared" si="12"/>
        <v>#DIV/0!</v>
      </c>
      <c r="Q17" s="43" t="e">
        <f t="shared" si="12"/>
        <v>#DIV/0!</v>
      </c>
      <c r="R17" s="43" t="e">
        <f t="shared" si="12"/>
        <v>#DIV/0!</v>
      </c>
      <c r="S17" s="43" t="e">
        <f t="shared" si="12"/>
        <v>#DIV/0!</v>
      </c>
      <c r="T17" s="43" t="e">
        <f t="shared" si="12"/>
        <v>#DIV/0!</v>
      </c>
      <c r="U17" s="43" t="e">
        <f t="shared" si="12"/>
        <v>#DIV/0!</v>
      </c>
      <c r="V17" s="43" t="e">
        <f t="shared" si="12"/>
        <v>#DIV/0!</v>
      </c>
      <c r="W17" s="43" t="e">
        <f t="shared" si="12"/>
        <v>#DIV/0!</v>
      </c>
      <c r="X17" s="43" t="e">
        <f t="shared" si="12"/>
        <v>#DIV/0!</v>
      </c>
      <c r="Y17" s="43" t="e">
        <f t="shared" si="12"/>
        <v>#DIV/0!</v>
      </c>
      <c r="Z17" s="43" t="e">
        <f t="shared" si="12"/>
        <v>#DIV/0!</v>
      </c>
      <c r="AA17" s="43" t="e">
        <f t="shared" si="12"/>
        <v>#DIV/0!</v>
      </c>
      <c r="AB17" s="43" t="e">
        <f t="shared" si="12"/>
        <v>#DIV/0!</v>
      </c>
      <c r="AC17" s="43" t="e">
        <f t="shared" si="12"/>
        <v>#DIV/0!</v>
      </c>
      <c r="AD17" s="43" t="e">
        <f t="shared" si="12"/>
        <v>#DIV/0!</v>
      </c>
      <c r="AE17" s="43" t="e">
        <f t="shared" si="12"/>
        <v>#DIV/0!</v>
      </c>
      <c r="AF17" s="43" t="e">
        <f t="shared" si="12"/>
        <v>#DIV/0!</v>
      </c>
      <c r="AG17" s="43" t="e">
        <f t="shared" si="12"/>
        <v>#DIV/0!</v>
      </c>
      <c r="AH17" s="43" t="e">
        <f t="shared" si="12"/>
        <v>#DIV/0!</v>
      </c>
      <c r="AI17" s="43" t="e">
        <f t="shared" si="12"/>
        <v>#DIV/0!</v>
      </c>
      <c r="AJ17" s="43" t="e">
        <f t="shared" si="12"/>
        <v>#DIV/0!</v>
      </c>
      <c r="AK17" s="43" t="e">
        <f t="shared" si="12"/>
        <v>#DIV/0!</v>
      </c>
      <c r="AL17" s="43" t="e">
        <f t="shared" si="12"/>
        <v>#DIV/0!</v>
      </c>
      <c r="AM17" s="43" t="e">
        <f t="shared" si="12"/>
        <v>#DIV/0!</v>
      </c>
      <c r="AN17" s="43" t="e">
        <f t="shared" si="12"/>
        <v>#DIV/0!</v>
      </c>
      <c r="AO17" s="43" t="e">
        <f t="shared" si="12"/>
        <v>#DIV/0!</v>
      </c>
      <c r="AP17" s="43" t="e">
        <f t="shared" si="12"/>
        <v>#DIV/0!</v>
      </c>
      <c r="AQ17" s="43" t="e">
        <f t="shared" si="12"/>
        <v>#DIV/0!</v>
      </c>
      <c r="AR17" s="43" t="e">
        <f t="shared" si="12"/>
        <v>#DIV/0!</v>
      </c>
      <c r="AS17" s="43" t="e">
        <f t="shared" si="12"/>
        <v>#DIV/0!</v>
      </c>
      <c r="AT17" s="43" t="e">
        <f t="shared" si="12"/>
        <v>#DIV/0!</v>
      </c>
      <c r="AU17" s="43" t="e">
        <f t="shared" si="12"/>
        <v>#DIV/0!</v>
      </c>
      <c r="AV17" s="43" t="e">
        <f t="shared" si="12"/>
        <v>#DIV/0!</v>
      </c>
      <c r="AW17" s="43" t="e">
        <f t="shared" si="12"/>
        <v>#DIV/0!</v>
      </c>
      <c r="AX17" s="43">
        <f t="shared" si="12"/>
        <v>2.59468603729221</v>
      </c>
      <c r="AY17" s="43">
        <f t="shared" si="12"/>
        <v>2.56774885661798</v>
      </c>
      <c r="AZ17" s="43">
        <f t="shared" si="12"/>
        <v>2.63936517841798</v>
      </c>
      <c r="BA17" s="43">
        <f t="shared" si="12"/>
        <v>2.64380545777869</v>
      </c>
      <c r="BB17" s="43">
        <f t="shared" si="12"/>
        <v>2.80702346019736</v>
      </c>
      <c r="BC17" s="43">
        <f t="shared" si="12"/>
        <v>2.82758261608713</v>
      </c>
      <c r="BD17" s="43">
        <f t="shared" si="12"/>
        <v>2.94058005825873</v>
      </c>
      <c r="BE17" s="43">
        <f t="shared" si="12"/>
        <v>3.03351534072889</v>
      </c>
      <c r="BF17" s="43">
        <f t="shared" si="12"/>
        <v>3.06390845345704</v>
      </c>
      <c r="BG17" s="43">
        <f t="shared" si="12"/>
        <v>2.81584629663818</v>
      </c>
      <c r="BH17" s="43">
        <f t="shared" si="12"/>
        <v>2.77207392197125</v>
      </c>
      <c r="BI17" s="43">
        <f t="shared" si="12"/>
        <v>2.79214064115822</v>
      </c>
      <c r="BJ17" s="43">
        <f t="shared" si="12"/>
        <v>2.85059978189749</v>
      </c>
      <c r="BK17" s="43">
        <f t="shared" si="12"/>
        <v>2.86259541984733</v>
      </c>
      <c r="BL17" s="43">
        <f t="shared" si="12"/>
        <v>2.78906218203257</v>
      </c>
      <c r="BM17" s="43">
        <f t="shared" si="12"/>
        <v>2.83536195067721</v>
      </c>
      <c r="BN17" s="43">
        <f t="shared" ref="BN17:DA17" si="13">BN13/BN14</f>
        <v>2.77284155562691</v>
      </c>
      <c r="BO17" s="43">
        <f t="shared" si="13"/>
        <v>2.77982192976275</v>
      </c>
      <c r="BP17" s="43">
        <f t="shared" si="13"/>
        <v>2.63918341163261</v>
      </c>
      <c r="BQ17" s="43">
        <f t="shared" si="13"/>
        <v>2.75899185364778</v>
      </c>
      <c r="BR17" s="43">
        <f t="shared" si="13"/>
        <v>2.72517814462551</v>
      </c>
      <c r="BS17" s="43">
        <f t="shared" si="13"/>
        <v>2.66557925015356</v>
      </c>
      <c r="BT17" s="43">
        <f t="shared" si="13"/>
        <v>2.79568752286539</v>
      </c>
      <c r="BU17" s="43">
        <f t="shared" si="13"/>
        <v>2.73917809708904</v>
      </c>
      <c r="BV17" s="43">
        <f t="shared" si="13"/>
        <v>2.77252863167151</v>
      </c>
      <c r="BW17" s="43">
        <f t="shared" si="13"/>
        <v>2.57272215226785</v>
      </c>
      <c r="BX17" s="43">
        <f t="shared" si="13"/>
        <v>2.57272215226785</v>
      </c>
      <c r="BY17" s="43">
        <f t="shared" si="13"/>
        <v>2.8287106946229</v>
      </c>
      <c r="BZ17" s="43">
        <f t="shared" si="13"/>
        <v>2.93433270953418</v>
      </c>
      <c r="CA17" s="43">
        <f t="shared" si="13"/>
        <v>2.7418309876646</v>
      </c>
      <c r="CB17" s="43">
        <f t="shared" si="13"/>
        <v>2.77742313783169</v>
      </c>
      <c r="CC17" s="43">
        <f t="shared" si="13"/>
        <v>3.0067594026311</v>
      </c>
      <c r="CD17" s="43">
        <f t="shared" si="13"/>
        <v>3.1415478056738</v>
      </c>
      <c r="CE17" s="43">
        <f t="shared" si="13"/>
        <v>2.90949654517984</v>
      </c>
      <c r="CF17" s="43">
        <f t="shared" si="13"/>
        <v>2.76271558189815</v>
      </c>
      <c r="CG17" s="43">
        <f t="shared" si="13"/>
        <v>2.56010684383118</v>
      </c>
      <c r="CH17" s="43">
        <f t="shared" si="13"/>
        <v>2.3580486267614</v>
      </c>
      <c r="CI17" s="43">
        <f t="shared" si="13"/>
        <v>2.46379343872812</v>
      </c>
      <c r="CJ17" s="43">
        <f t="shared" si="13"/>
        <v>3.17504964987019</v>
      </c>
      <c r="CK17" s="43">
        <f t="shared" si="13"/>
        <v>3.44533881740006</v>
      </c>
      <c r="CL17" s="43">
        <f t="shared" si="13"/>
        <v>2.86734737934033</v>
      </c>
      <c r="CM17" s="43">
        <f t="shared" si="13"/>
        <v>2.89971110484005</v>
      </c>
      <c r="CN17" s="43">
        <f t="shared" si="13"/>
        <v>2.80384047950002</v>
      </c>
      <c r="CO17" s="43">
        <f t="shared" si="13"/>
        <v>2.52758453506346</v>
      </c>
      <c r="CP17" s="43">
        <f t="shared" si="13"/>
        <v>2.38053446647886</v>
      </c>
      <c r="CQ17" s="43">
        <f t="shared" si="13"/>
        <v>1.62089103563434</v>
      </c>
      <c r="CR17" s="43">
        <f t="shared" si="13"/>
        <v>2.37485149252925</v>
      </c>
      <c r="CS17" s="43">
        <f t="shared" si="13"/>
        <v>2.49724533505129</v>
      </c>
      <c r="CT17" s="43">
        <f t="shared" si="13"/>
        <v>2.32363998530477</v>
      </c>
      <c r="CU17" s="43">
        <f t="shared" si="13"/>
        <v>2.0886886947939</v>
      </c>
      <c r="CV17" s="43">
        <f t="shared" si="13"/>
        <v>2.78903666544416</v>
      </c>
      <c r="CW17" s="43">
        <f t="shared" si="13"/>
        <v>2.67290512018659</v>
      </c>
      <c r="CX17" s="43">
        <f t="shared" si="13"/>
        <v>3.19484637596766</v>
      </c>
      <c r="CY17" s="43">
        <f t="shared" si="13"/>
        <v>3.39683806152519</v>
      </c>
      <c r="CZ17" s="43">
        <f t="shared" si="13"/>
        <v>3.82629107981221</v>
      </c>
      <c r="DA17" s="43">
        <f t="shared" si="13"/>
        <v>3.57172557172557</v>
      </c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5" t="e">
        <f>DL13/DL14</f>
        <v>#DIV/0!</v>
      </c>
      <c r="DM17" s="55" t="e">
        <f t="shared" ref="DM17:DN17" si="14">DM13/DM14</f>
        <v>#DIV/0!</v>
      </c>
      <c r="DN17" s="55" t="e">
        <f t="shared" si="14"/>
        <v>#DIV/0!</v>
      </c>
      <c r="DO17" s="37" t="e">
        <f t="shared" ref="DO17" si="15">AVERAGE(B17:CZ17)</f>
        <v>#DIV/0!</v>
      </c>
      <c r="DP17" s="37" t="e">
        <f t="shared" ref="DP17" si="16">MAX(B17:CZ17)</f>
        <v>#DIV/0!</v>
      </c>
      <c r="DQ17" s="37" t="e">
        <f t="shared" ref="DQ17" si="17">MIN(B17:CZ17)</f>
        <v>#DIV/0!</v>
      </c>
    </row>
    <row r="18" ht="13.9" customHeight="1" spans="116:121">
      <c r="DL18" s="60" t="s">
        <v>149</v>
      </c>
      <c r="DM18" s="60"/>
      <c r="DN18" s="60"/>
      <c r="DO18" s="60"/>
      <c r="DP18" s="60"/>
      <c r="DQ18" s="60"/>
    </row>
    <row r="19" ht="16.5" spans="1:121">
      <c r="A19" s="88" t="s">
        <v>144</v>
      </c>
      <c r="AX19" s="93">
        <v>1184</v>
      </c>
      <c r="AY19" s="93">
        <v>1199</v>
      </c>
      <c r="AZ19" s="93">
        <v>1117</v>
      </c>
      <c r="BA19" s="93">
        <v>1059</v>
      </c>
      <c r="BB19" s="93">
        <v>1127</v>
      </c>
      <c r="BC19" s="93">
        <v>1148</v>
      </c>
      <c r="BD19" s="93">
        <v>1193</v>
      </c>
      <c r="BE19" s="93">
        <v>1328</v>
      </c>
      <c r="BF19" s="93">
        <v>1487</v>
      </c>
      <c r="BG19" s="93">
        <v>1459</v>
      </c>
      <c r="BH19" s="93">
        <v>1398</v>
      </c>
      <c r="BI19" s="95">
        <v>1230.5</v>
      </c>
      <c r="BJ19" s="95">
        <v>1133.57</v>
      </c>
      <c r="BK19" s="95">
        <v>1086</v>
      </c>
      <c r="BL19" s="95">
        <v>1005.9</v>
      </c>
      <c r="BM19" s="95">
        <v>997.73</v>
      </c>
      <c r="BN19" s="95">
        <v>972.857142857143</v>
      </c>
      <c r="BO19" s="95">
        <v>963.684210526316</v>
      </c>
      <c r="BP19" s="95">
        <v>841.086956521739</v>
      </c>
      <c r="BQ19" s="95">
        <v>752.272727272727</v>
      </c>
      <c r="BR19" s="95">
        <v>642.6</v>
      </c>
      <c r="BS19" s="95">
        <v>602.368421052632</v>
      </c>
      <c r="BT19" s="95">
        <v>523.571428571429</v>
      </c>
      <c r="BU19" s="95">
        <v>539.090909090909</v>
      </c>
      <c r="BV19" s="95">
        <v>596.5625</v>
      </c>
      <c r="BW19" s="95">
        <v>611.136363636364</v>
      </c>
      <c r="BX19" s="95">
        <v>668.863636363636</v>
      </c>
      <c r="BY19" s="95">
        <v>598.409090909091</v>
      </c>
      <c r="BZ19" s="95">
        <v>641.052631578947</v>
      </c>
      <c r="CA19" s="95">
        <v>661.190476190476</v>
      </c>
      <c r="CB19" s="95">
        <v>630.869565217391</v>
      </c>
      <c r="CC19" s="95">
        <v>651.904761904762</v>
      </c>
      <c r="CD19" s="95">
        <v>702.173913043478</v>
      </c>
      <c r="CE19" s="95">
        <v>746.176470588235</v>
      </c>
      <c r="CF19" s="95">
        <v>806.363636363636</v>
      </c>
      <c r="CG19" s="95">
        <v>920.47619047619</v>
      </c>
      <c r="CH19" s="95">
        <v>1092.75</v>
      </c>
      <c r="CI19" s="95">
        <v>1438.23529411765</v>
      </c>
      <c r="CJ19" s="95">
        <v>1349.5652173913</v>
      </c>
      <c r="CK19" s="95">
        <v>1420</v>
      </c>
      <c r="CL19" s="95">
        <v>1554.47368421053</v>
      </c>
      <c r="CM19" s="95">
        <v>1597.85714285714</v>
      </c>
      <c r="CN19" s="95">
        <v>1584.31818181818</v>
      </c>
      <c r="CO19" s="95">
        <v>1774.09090909091</v>
      </c>
      <c r="CP19" s="95">
        <v>1908.40909090909</v>
      </c>
      <c r="CQ19" s="95">
        <v>1937.05882352941</v>
      </c>
      <c r="CR19" s="95">
        <v>2001.81818181818</v>
      </c>
      <c r="CS19" s="95">
        <v>2313.04347826087</v>
      </c>
      <c r="CT19" s="95">
        <v>2461.25</v>
      </c>
      <c r="CU19" s="95">
        <v>2569.33333333333</v>
      </c>
      <c r="CV19" s="95">
        <v>3236</v>
      </c>
      <c r="CW19" s="95">
        <v>3510.47619047619</v>
      </c>
      <c r="CX19" s="95">
        <v>4034</v>
      </c>
      <c r="CY19" s="98">
        <v>3538.09523809524</v>
      </c>
      <c r="CZ19" s="95">
        <v>1864.28571428571</v>
      </c>
      <c r="DA19" s="95">
        <v>1056.52173913043</v>
      </c>
      <c r="DL19" s="60"/>
      <c r="DM19" s="60"/>
      <c r="DN19" s="60"/>
      <c r="DO19" s="60"/>
      <c r="DP19" s="60"/>
      <c r="DQ19" s="60"/>
    </row>
    <row r="20" spans="116:121">
      <c r="DL20" s="60"/>
      <c r="DM20" s="60"/>
      <c r="DN20" s="60"/>
      <c r="DO20" s="60"/>
      <c r="DP20" s="60"/>
      <c r="DQ20" s="60"/>
    </row>
    <row r="21" spans="116:121">
      <c r="DL21" s="60"/>
      <c r="DM21" s="60"/>
      <c r="DN21" s="60"/>
      <c r="DO21" s="60"/>
      <c r="DP21" s="60"/>
      <c r="DQ21" s="60"/>
    </row>
    <row r="22" spans="116:121">
      <c r="DL22" s="60"/>
      <c r="DM22" s="60"/>
      <c r="DN22" s="60"/>
      <c r="DO22" s="60"/>
      <c r="DP22" s="60"/>
      <c r="DQ22" s="60"/>
    </row>
    <row r="23" spans="116:121">
      <c r="DL23" s="60"/>
      <c r="DM23" s="60"/>
      <c r="DN23" s="60"/>
      <c r="DO23" s="60"/>
      <c r="DP23" s="60"/>
      <c r="DQ23" s="60"/>
    </row>
    <row r="24" spans="116:121">
      <c r="DL24" s="60"/>
      <c r="DM24" s="60"/>
      <c r="DN24" s="60"/>
      <c r="DO24" s="60"/>
      <c r="DP24" s="60"/>
      <c r="DQ24" s="60"/>
    </row>
    <row r="25" spans="116:121">
      <c r="DL25" s="60"/>
      <c r="DM25" s="60"/>
      <c r="DN25" s="60"/>
      <c r="DO25" s="60"/>
      <c r="DP25" s="60"/>
      <c r="DQ25" s="60"/>
    </row>
    <row r="26" spans="116:121">
      <c r="DL26" s="60"/>
      <c r="DM26" s="60"/>
      <c r="DN26" s="60"/>
      <c r="DO26" s="60"/>
      <c r="DP26" s="60"/>
      <c r="DQ26" s="60"/>
    </row>
    <row r="27" spans="116:121">
      <c r="DL27" s="60"/>
      <c r="DM27" s="60"/>
      <c r="DN27" s="60"/>
      <c r="DO27" s="60"/>
      <c r="DP27" s="60"/>
      <c r="DQ27" s="60"/>
    </row>
    <row r="28" spans="116:121">
      <c r="DL28" s="60"/>
      <c r="DM28" s="60"/>
      <c r="DN28" s="60"/>
      <c r="DO28" s="60"/>
      <c r="DP28" s="60"/>
      <c r="DQ28" s="60"/>
    </row>
    <row r="29" spans="116:121">
      <c r="DL29" s="60"/>
      <c r="DM29" s="60"/>
      <c r="DN29" s="60"/>
      <c r="DO29" s="60"/>
      <c r="DP29" s="60"/>
      <c r="DQ29" s="60"/>
    </row>
    <row r="30" spans="116:121">
      <c r="DL30" s="60"/>
      <c r="DM30" s="60"/>
      <c r="DN30" s="60"/>
      <c r="DO30" s="60"/>
      <c r="DP30" s="60"/>
      <c r="DQ30" s="60"/>
    </row>
    <row r="31" spans="116:121">
      <c r="DL31" s="60"/>
      <c r="DM31" s="60"/>
      <c r="DN31" s="60"/>
      <c r="DO31" s="60"/>
      <c r="DP31" s="60"/>
      <c r="DQ31" s="60"/>
    </row>
    <row r="32" spans="116:121">
      <c r="DL32" s="60"/>
      <c r="DM32" s="60"/>
      <c r="DN32" s="60"/>
      <c r="DO32" s="60"/>
      <c r="DP32" s="60"/>
      <c r="DQ32" s="60"/>
    </row>
    <row r="33" spans="116:121">
      <c r="DL33" s="60"/>
      <c r="DM33" s="60"/>
      <c r="DN33" s="60"/>
      <c r="DO33" s="60"/>
      <c r="DP33" s="60"/>
      <c r="DQ33" s="60"/>
    </row>
    <row r="34" ht="116.65" customHeight="1" spans="116:121">
      <c r="DL34" s="60"/>
      <c r="DM34" s="60"/>
      <c r="DN34" s="60"/>
      <c r="DO34" s="60"/>
      <c r="DP34" s="60"/>
      <c r="DQ34" s="60"/>
    </row>
    <row r="35" spans="1:11">
      <c r="A35" s="92" t="str">
        <f>DL18</f>
        <v>4、紧盯历史价格规律：
二铵、硫磺、磷矿石14-22年历史价格
（1）二铵均价2621、最高价5280（22年6月）、最低价1900（16年10月）。
（2）硫磺港口现货均价1224、最高价4034（22年5月）、最低价524（19年11月）。
（3）27%磷矿石均价417、最高价958（22年7月）、最低价328（20年9、10月）。
二铵与硫磺、磷矿14-22年历史价格比值
（1）二铵与硫磺价格平均比值2.368，最高比值4.018（19年11月）、最低比值1.243（22年4月）。
（2）二铵与磷矿价格平均比值6.314，最高比值8.073（19年11月）、最低比值5.297（22年7月）。
按二铵下半年预测均价4492，参照二铵与硫磺、磷矿历史价格比值对硫磺及磷矿石下半年均价测算：
（1）硫磺：按平均比值测算为1897、按最高比值测算为1118、按最低比值测算为3615。
（2）27%磷矿石：按平均比值测算为711、按最高比值测算为556、按最低比值测算为836。
故对比当前硫磺、磷矿价格：
（1）硫磺当前价2000，下半年达到平均比值需降价103，达到最高比值需降价882。
（2）27%磷矿石当前价958，下半年达到平均比值需降价247，达到最高比值需降价401。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</row>
    <row r="36" spans="1:1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</row>
    <row r="37" spans="1:1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</row>
    <row r="38" spans="1:1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</row>
    <row r="39" spans="1:1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</row>
    <row r="40" spans="1:1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</row>
    <row r="41" spans="1:1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</row>
    <row r="42" spans="1:1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</row>
    <row r="43" spans="1:1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</row>
    <row r="44" spans="1:1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</row>
    <row r="45" spans="1:1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</row>
    <row r="46" spans="1:1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</row>
    <row r="47" ht="58.15" customHeight="1" spans="1:1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</row>
  </sheetData>
  <mergeCells count="3">
    <mergeCell ref="DL1:DN1"/>
    <mergeCell ref="DL18:DQ34"/>
    <mergeCell ref="A35:K47"/>
  </mergeCells>
  <conditionalFormatting sqref="AX2:DA2">
    <cfRule type="top10" dxfId="0" priority="12" bottom="1" rank="1"/>
    <cfRule type="top10" dxfId="1" priority="14" rank="1"/>
  </conditionalFormatting>
  <conditionalFormatting sqref="AX4:DA4">
    <cfRule type="top10" dxfId="1" priority="13" rank="1"/>
  </conditionalFormatting>
  <conditionalFormatting sqref="BO4:DA4">
    <cfRule type="top10" dxfId="0" priority="11" bottom="1" rank="1"/>
  </conditionalFormatting>
  <conditionalFormatting sqref="AX7:DA7">
    <cfRule type="top10" dxfId="0" priority="5" bottom="1" rank="1"/>
    <cfRule type="top10" dxfId="1" priority="6" rank="1"/>
  </conditionalFormatting>
  <conditionalFormatting sqref="AX9:DA9">
    <cfRule type="top10" dxfId="0" priority="9" bottom="1" rank="1"/>
    <cfRule type="top10" dxfId="1" priority="10" rank="1"/>
  </conditionalFormatting>
  <conditionalFormatting sqref="AX12:DA12">
    <cfRule type="top10" dxfId="0" priority="3" bottom="1" rank="1"/>
    <cfRule type="top10" dxfId="1" priority="4" rank="1"/>
  </conditionalFormatting>
  <conditionalFormatting sqref="AX14:DA14">
    <cfRule type="top10" dxfId="0" priority="7" bottom="1" rank="1"/>
    <cfRule type="top10" dxfId="1" priority="8" rank="1"/>
  </conditionalFormatting>
  <conditionalFormatting sqref="AX17:DA17">
    <cfRule type="top10" dxfId="0" priority="1" bottom="1" rank="1"/>
    <cfRule type="top10" dxfId="1" priority="2" rank="1"/>
  </conditionalFormatting>
  <pageMargins left="0.7" right="0.7" top="0.75" bottom="0.75" header="0.3" footer="0.3"/>
  <pageSetup paperSize="9" scale="95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2"/>
  <sheetViews>
    <sheetView workbookViewId="0">
      <pane xSplit="1" ySplit="1" topLeftCell="CK2" activePane="bottomRight" state="frozenSplit"/>
      <selection/>
      <selection pane="topRight"/>
      <selection pane="bottomLeft"/>
      <selection pane="bottomRight" activeCell="AX13" sqref="AX13:DA13"/>
    </sheetView>
  </sheetViews>
  <sheetFormatPr defaultColWidth="9" defaultRowHeight="14.25"/>
  <cols>
    <col min="1" max="1" width="20.75" customWidth="1"/>
    <col min="2" max="49" width="9" hidden="1" customWidth="1"/>
    <col min="68" max="84" width="9" customWidth="1"/>
    <col min="85" max="85" width="9" style="16" customWidth="1"/>
    <col min="86" max="87" width="10" customWidth="1"/>
    <col min="88" max="89" width="9" customWidth="1"/>
    <col min="90" max="105" width="10" customWidth="1"/>
  </cols>
  <sheetData>
    <row r="1" ht="16.5" spans="1:105">
      <c r="A1" s="17" t="s">
        <v>92</v>
      </c>
      <c r="B1" s="189" t="s">
        <v>93</v>
      </c>
      <c r="C1" s="189" t="s">
        <v>94</v>
      </c>
      <c r="D1" s="189" t="s">
        <v>95</v>
      </c>
      <c r="E1" s="189" t="s">
        <v>96</v>
      </c>
      <c r="F1" s="189" t="s">
        <v>97</v>
      </c>
      <c r="G1" s="189" t="s">
        <v>98</v>
      </c>
      <c r="H1" s="189" t="s">
        <v>99</v>
      </c>
      <c r="I1" s="189" t="s">
        <v>100</v>
      </c>
      <c r="J1" s="189" t="s">
        <v>101</v>
      </c>
      <c r="K1" s="189" t="s">
        <v>102</v>
      </c>
      <c r="L1" s="189" t="s">
        <v>103</v>
      </c>
      <c r="M1" s="189" t="s">
        <v>104</v>
      </c>
      <c r="N1" s="189" t="s">
        <v>105</v>
      </c>
      <c r="O1" s="189" t="s">
        <v>106</v>
      </c>
      <c r="P1" s="189" t="s">
        <v>107</v>
      </c>
      <c r="Q1" s="189" t="s">
        <v>108</v>
      </c>
      <c r="R1" s="189" t="s">
        <v>109</v>
      </c>
      <c r="S1" s="189" t="s">
        <v>110</v>
      </c>
      <c r="T1" s="189" t="s">
        <v>111</v>
      </c>
      <c r="U1" s="189" t="s">
        <v>112</v>
      </c>
      <c r="V1" s="189" t="s">
        <v>113</v>
      </c>
      <c r="W1" s="189" t="s">
        <v>114</v>
      </c>
      <c r="X1" s="189" t="s">
        <v>115</v>
      </c>
      <c r="Y1" s="189" t="s">
        <v>116</v>
      </c>
      <c r="Z1" s="189" t="s">
        <v>117</v>
      </c>
      <c r="AA1" s="189" t="s">
        <v>118</v>
      </c>
      <c r="AB1" s="189" t="s">
        <v>119</v>
      </c>
      <c r="AC1" s="189" t="s">
        <v>120</v>
      </c>
      <c r="AD1" s="189" t="s">
        <v>121</v>
      </c>
      <c r="AE1" s="189" t="s">
        <v>122</v>
      </c>
      <c r="AF1" s="189" t="s">
        <v>123</v>
      </c>
      <c r="AG1" s="189" t="s">
        <v>124</v>
      </c>
      <c r="AH1" s="189" t="s">
        <v>125</v>
      </c>
      <c r="AI1" s="189" t="s">
        <v>126</v>
      </c>
      <c r="AJ1" s="189" t="s">
        <v>127</v>
      </c>
      <c r="AK1" s="189" t="s">
        <v>128</v>
      </c>
      <c r="AL1" s="189" t="s">
        <v>129</v>
      </c>
      <c r="AM1" s="189" t="s">
        <v>130</v>
      </c>
      <c r="AN1" s="189" t="s">
        <v>131</v>
      </c>
      <c r="AO1" s="189" t="s">
        <v>132</v>
      </c>
      <c r="AP1" s="189" t="s">
        <v>133</v>
      </c>
      <c r="AQ1" s="189" t="s">
        <v>134</v>
      </c>
      <c r="AR1" s="189" t="s">
        <v>135</v>
      </c>
      <c r="AS1" s="189" t="s">
        <v>136</v>
      </c>
      <c r="AT1" s="189" t="s">
        <v>137</v>
      </c>
      <c r="AU1" s="189" t="s">
        <v>138</v>
      </c>
      <c r="AV1" s="189" t="s">
        <v>139</v>
      </c>
      <c r="AW1" s="189" t="s">
        <v>140</v>
      </c>
      <c r="AX1" s="189" t="s">
        <v>4</v>
      </c>
      <c r="AY1" s="189" t="s">
        <v>5</v>
      </c>
      <c r="AZ1" s="189" t="s">
        <v>6</v>
      </c>
      <c r="BA1" s="189" t="s">
        <v>7</v>
      </c>
      <c r="BB1" s="189" t="s">
        <v>8</v>
      </c>
      <c r="BC1" s="189" t="s">
        <v>9</v>
      </c>
      <c r="BD1" s="189" t="s">
        <v>10</v>
      </c>
      <c r="BE1" s="189" t="s">
        <v>11</v>
      </c>
      <c r="BF1" s="189" t="s">
        <v>12</v>
      </c>
      <c r="BG1" s="189" t="s">
        <v>13</v>
      </c>
      <c r="BH1" s="189" t="s">
        <v>14</v>
      </c>
      <c r="BI1" s="189" t="s">
        <v>15</v>
      </c>
      <c r="BJ1" s="189" t="s">
        <v>16</v>
      </c>
      <c r="BK1" s="189" t="s">
        <v>17</v>
      </c>
      <c r="BL1" s="189" t="s">
        <v>18</v>
      </c>
      <c r="BM1" s="189" t="s">
        <v>19</v>
      </c>
      <c r="BN1" s="189" t="s">
        <v>20</v>
      </c>
      <c r="BO1" s="189" t="s">
        <v>21</v>
      </c>
      <c r="BP1" s="189" t="s">
        <v>22</v>
      </c>
      <c r="BQ1" s="189" t="s">
        <v>23</v>
      </c>
      <c r="BR1" s="189" t="s">
        <v>24</v>
      </c>
      <c r="BS1" s="189" t="s">
        <v>25</v>
      </c>
      <c r="BT1" s="189" t="s">
        <v>26</v>
      </c>
      <c r="BU1" s="189" t="s">
        <v>27</v>
      </c>
      <c r="BV1" s="189" t="s">
        <v>28</v>
      </c>
      <c r="BW1" s="189" t="s">
        <v>29</v>
      </c>
      <c r="BX1" s="189" t="s">
        <v>30</v>
      </c>
      <c r="BY1" s="189" t="s">
        <v>31</v>
      </c>
      <c r="BZ1" s="189" t="s">
        <v>32</v>
      </c>
      <c r="CA1" s="189" t="s">
        <v>33</v>
      </c>
      <c r="CB1" s="189" t="s">
        <v>34</v>
      </c>
      <c r="CC1" s="189" t="s">
        <v>35</v>
      </c>
      <c r="CD1" s="189" t="s">
        <v>36</v>
      </c>
      <c r="CE1" s="189" t="s">
        <v>37</v>
      </c>
      <c r="CF1" s="189" t="s">
        <v>38</v>
      </c>
      <c r="CG1" s="190" t="s">
        <v>39</v>
      </c>
      <c r="CH1" s="189" t="s">
        <v>40</v>
      </c>
      <c r="CI1" s="189" t="s">
        <v>41</v>
      </c>
      <c r="CJ1" s="189" t="s">
        <v>42</v>
      </c>
      <c r="CK1" s="189" t="s">
        <v>43</v>
      </c>
      <c r="CL1" s="189" t="s">
        <v>44</v>
      </c>
      <c r="CM1" s="189" t="s">
        <v>45</v>
      </c>
      <c r="CN1" s="189" t="s">
        <v>46</v>
      </c>
      <c r="CO1" s="189" t="s">
        <v>47</v>
      </c>
      <c r="CP1" s="189" t="s">
        <v>48</v>
      </c>
      <c r="CQ1" s="189" t="s">
        <v>49</v>
      </c>
      <c r="CR1" s="189" t="s">
        <v>50</v>
      </c>
      <c r="CS1" s="189" t="s">
        <v>51</v>
      </c>
      <c r="CT1" s="189" t="s">
        <v>52</v>
      </c>
      <c r="CU1" s="189" t="s">
        <v>53</v>
      </c>
      <c r="CV1" s="189" t="s">
        <v>54</v>
      </c>
      <c r="CW1" s="189" t="s">
        <v>55</v>
      </c>
      <c r="CX1" s="189" t="s">
        <v>56</v>
      </c>
      <c r="CY1" s="189" t="s">
        <v>57</v>
      </c>
      <c r="CZ1" s="189" t="s">
        <v>58</v>
      </c>
      <c r="DA1" s="189" t="s">
        <v>59</v>
      </c>
    </row>
    <row r="2" ht="16.5" spans="1:105">
      <c r="A2" s="19" t="s">
        <v>60</v>
      </c>
      <c r="B2" s="42">
        <v>2214.84253724686</v>
      </c>
      <c r="C2" s="42">
        <v>2336.52802664836</v>
      </c>
      <c r="D2" s="42">
        <v>2486.73561701201</v>
      </c>
      <c r="E2" s="42">
        <v>2463.6406471757</v>
      </c>
      <c r="F2" s="42">
        <v>2421.16058906031</v>
      </c>
      <c r="G2" s="42">
        <v>2389.98441831522</v>
      </c>
      <c r="H2" s="42">
        <v>2517.10202679492</v>
      </c>
      <c r="I2" s="42">
        <v>2610.32495749103</v>
      </c>
      <c r="J2" s="42">
        <v>2740.58145892879</v>
      </c>
      <c r="K2" s="42">
        <v>2534.15628220744</v>
      </c>
      <c r="L2" s="42">
        <v>2670.66059399294</v>
      </c>
      <c r="M2" s="42">
        <v>2577.81847622475</v>
      </c>
      <c r="N2" s="42">
        <v>2589.44395831942</v>
      </c>
      <c r="O2" s="42">
        <v>2675.03974390694</v>
      </c>
      <c r="P2" s="42">
        <v>2661.9709258682</v>
      </c>
      <c r="Q2" s="42">
        <v>2677.49744307477</v>
      </c>
      <c r="R2" s="42">
        <v>2720.9215171283</v>
      </c>
      <c r="S2" s="42">
        <v>2716.1916328704</v>
      </c>
      <c r="T2" s="42">
        <v>2717.93069292358</v>
      </c>
      <c r="U2" s="42">
        <v>2742.67950489356</v>
      </c>
      <c r="V2" s="42">
        <v>2730.55121921408</v>
      </c>
      <c r="W2" s="42">
        <v>2667.02778840469</v>
      </c>
      <c r="X2" s="42">
        <v>2482.10788631239</v>
      </c>
      <c r="Y2" s="42">
        <v>2479.72486912659</v>
      </c>
      <c r="Z2" s="42">
        <v>2369.13681408076</v>
      </c>
      <c r="AA2" s="42">
        <v>2389.92058776453</v>
      </c>
      <c r="AB2" s="42">
        <v>2353.80782960241</v>
      </c>
      <c r="AC2" s="42">
        <v>2228.75944609667</v>
      </c>
      <c r="AD2" s="42">
        <v>2057.65408377272</v>
      </c>
      <c r="AE2" s="42">
        <v>2037.73913355371</v>
      </c>
      <c r="AF2" s="42">
        <v>2060.64942722881</v>
      </c>
      <c r="AG2" s="42">
        <v>2102.88971363419</v>
      </c>
      <c r="AH2" s="42">
        <v>2033.45865565588</v>
      </c>
      <c r="AI2" s="45">
        <v>1899.75616124342</v>
      </c>
      <c r="AJ2" s="42">
        <v>1955.91103711065</v>
      </c>
      <c r="AK2" s="42">
        <v>1983.90829028131</v>
      </c>
      <c r="AL2" s="42">
        <v>2134.89368553085</v>
      </c>
      <c r="AM2" s="42">
        <v>2300.40239887854</v>
      </c>
      <c r="AN2" s="42">
        <v>2353.51886407236</v>
      </c>
      <c r="AO2" s="42">
        <v>2376.9914041787</v>
      </c>
      <c r="AP2" s="42">
        <v>2370.11097779376</v>
      </c>
      <c r="AQ2" s="42">
        <v>2285.11727121911</v>
      </c>
      <c r="AR2" s="42">
        <v>2235.3890116282</v>
      </c>
      <c r="AS2" s="42">
        <v>2225.46747367068</v>
      </c>
      <c r="AT2" s="42">
        <v>2229.89952883193</v>
      </c>
      <c r="AU2" s="42">
        <v>2235.73247647006</v>
      </c>
      <c r="AV2" s="42">
        <v>2329.2131481707</v>
      </c>
      <c r="AW2" s="42">
        <v>2470.30616907957</v>
      </c>
      <c r="AX2" s="42">
        <v>2501.27733994969</v>
      </c>
      <c r="AY2" s="42">
        <v>2526.66487491209</v>
      </c>
      <c r="AZ2" s="42">
        <v>2597.13533556329</v>
      </c>
      <c r="BA2" s="42">
        <v>2548.62846129866</v>
      </c>
      <c r="BB2" s="42">
        <v>2565.61944262039</v>
      </c>
      <c r="BC2" s="42">
        <v>2575.92776325538</v>
      </c>
      <c r="BD2" s="42">
        <v>2678.8684330737</v>
      </c>
      <c r="BE2" s="42">
        <v>2733.19732199673</v>
      </c>
      <c r="BF2" s="42">
        <v>2745.26197429751</v>
      </c>
      <c r="BG2" s="42">
        <v>2742.63429292559</v>
      </c>
      <c r="BH2" s="42">
        <v>2700</v>
      </c>
      <c r="BI2" s="42">
        <v>2700</v>
      </c>
      <c r="BJ2" s="42">
        <v>2614</v>
      </c>
      <c r="BK2" s="42">
        <v>2625</v>
      </c>
      <c r="BL2" s="42">
        <v>2520.39182203737</v>
      </c>
      <c r="BM2" s="42">
        <v>2512.13068830001</v>
      </c>
      <c r="BN2" s="42">
        <v>2429.00920272917</v>
      </c>
      <c r="BO2" s="42">
        <v>2407.32579117454</v>
      </c>
      <c r="BP2" s="42">
        <v>2214.27488235976</v>
      </c>
      <c r="BQ2" s="42">
        <v>2214.17373230795</v>
      </c>
      <c r="BR2" s="42">
        <v>2187.03721640631</v>
      </c>
      <c r="BS2" s="42">
        <v>2139.20731562574</v>
      </c>
      <c r="BT2" s="42">
        <v>2103.83873158189</v>
      </c>
      <c r="BU2" s="42">
        <v>2061.2315180595</v>
      </c>
      <c r="BV2" s="42">
        <v>2085.85646546543</v>
      </c>
      <c r="BW2" s="42">
        <v>1986.99049986103</v>
      </c>
      <c r="BX2" s="42">
        <v>1986.99049986103</v>
      </c>
      <c r="BY2" s="42">
        <v>2071.54970299319</v>
      </c>
      <c r="BZ2" s="42">
        <v>2060.86989188714</v>
      </c>
      <c r="CA2" s="42">
        <v>2071.91942244851</v>
      </c>
      <c r="CB2" s="42">
        <v>2098.81534256527</v>
      </c>
      <c r="CC2" s="42">
        <v>2082.68201288914</v>
      </c>
      <c r="CD2" s="42">
        <v>2176.04544673005</v>
      </c>
      <c r="CE2" s="42">
        <v>2238.37267542502</v>
      </c>
      <c r="CF2" s="42">
        <v>2273.71492390218</v>
      </c>
      <c r="CG2" s="42">
        <v>2310.92311103161</v>
      </c>
      <c r="CH2" s="42">
        <v>2365.12277264168</v>
      </c>
      <c r="CI2" s="42">
        <v>2471.1848190443</v>
      </c>
      <c r="CJ2" s="42">
        <v>2727.36764923849</v>
      </c>
      <c r="CK2" s="42">
        <v>3293.74390943446</v>
      </c>
      <c r="CL2" s="42">
        <v>3225.76580175787</v>
      </c>
      <c r="CM2" s="42">
        <v>3262.17499294506</v>
      </c>
      <c r="CN2" s="42">
        <v>3373.02009683852</v>
      </c>
      <c r="CO2" s="42">
        <v>3508.28733466809</v>
      </c>
      <c r="CP2" s="42">
        <v>3780.28873276843</v>
      </c>
      <c r="CQ2" s="42">
        <v>3742.63740127969</v>
      </c>
      <c r="CR2" s="42">
        <v>3536.15387237605</v>
      </c>
      <c r="CS2" s="42">
        <v>3536.09939443262</v>
      </c>
      <c r="CT2" s="42">
        <v>3635.94254687299</v>
      </c>
      <c r="CU2" s="42">
        <v>3566.13213614648</v>
      </c>
      <c r="CV2" s="42">
        <v>4271.26059306314</v>
      </c>
      <c r="CW2" s="42">
        <v>4362</v>
      </c>
      <c r="CX2" s="42">
        <v>5029</v>
      </c>
      <c r="CY2" s="47">
        <v>5280</v>
      </c>
      <c r="CZ2" s="42">
        <v>5705</v>
      </c>
      <c r="DA2" s="53">
        <v>5460</v>
      </c>
    </row>
    <row r="3" ht="16.5" hidden="1" spans="1:105">
      <c r="A3" s="19" t="s">
        <v>60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5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7"/>
      <c r="CZ3" s="42">
        <v>5074.32941176471</v>
      </c>
      <c r="DA3" s="53">
        <v>4400</v>
      </c>
    </row>
    <row r="4" ht="16.5" spans="1:105">
      <c r="A4" s="19" t="s">
        <v>144</v>
      </c>
      <c r="B4" s="23">
        <v>1327</v>
      </c>
      <c r="C4" s="23">
        <v>1491</v>
      </c>
      <c r="D4" s="23">
        <v>1408</v>
      </c>
      <c r="E4" s="23">
        <v>1104</v>
      </c>
      <c r="F4" s="23">
        <v>1307</v>
      </c>
      <c r="G4" s="23">
        <v>1315</v>
      </c>
      <c r="H4" s="23">
        <v>1361</v>
      </c>
      <c r="I4" s="23">
        <v>1291</v>
      </c>
      <c r="J4" s="23">
        <v>1197</v>
      </c>
      <c r="K4" s="23">
        <v>1024</v>
      </c>
      <c r="L4" s="23">
        <v>1145</v>
      </c>
      <c r="M4" s="23">
        <v>1314</v>
      </c>
      <c r="N4" s="23">
        <v>1372</v>
      </c>
      <c r="O4" s="23">
        <v>1354</v>
      </c>
      <c r="P4" s="23">
        <v>1370</v>
      </c>
      <c r="Q4" s="23">
        <v>1171</v>
      </c>
      <c r="R4" s="23">
        <v>1168</v>
      </c>
      <c r="S4" s="23">
        <v>1250</v>
      </c>
      <c r="T4" s="23">
        <v>1268</v>
      </c>
      <c r="U4" s="23">
        <v>1201</v>
      </c>
      <c r="V4" s="23">
        <v>1063</v>
      </c>
      <c r="W4" s="23">
        <v>1048</v>
      </c>
      <c r="X4" s="23">
        <v>1140</v>
      </c>
      <c r="Y4" s="23">
        <v>1080</v>
      </c>
      <c r="Z4" s="23">
        <v>945</v>
      </c>
      <c r="AA4" s="23">
        <v>841</v>
      </c>
      <c r="AB4" s="23">
        <v>760</v>
      </c>
      <c r="AC4" s="23">
        <v>767</v>
      </c>
      <c r="AD4" s="23">
        <v>753</v>
      </c>
      <c r="AE4" s="23">
        <v>711</v>
      </c>
      <c r="AF4" s="23">
        <v>669</v>
      </c>
      <c r="AG4" s="23">
        <v>689</v>
      </c>
      <c r="AH4" s="23">
        <v>729</v>
      </c>
      <c r="AI4" s="23">
        <v>763</v>
      </c>
      <c r="AJ4" s="23">
        <v>870</v>
      </c>
      <c r="AK4" s="23">
        <v>897</v>
      </c>
      <c r="AL4" s="23">
        <v>887</v>
      </c>
      <c r="AM4" s="23">
        <v>907</v>
      </c>
      <c r="AN4" s="23">
        <v>893</v>
      </c>
      <c r="AO4" s="23">
        <v>803</v>
      </c>
      <c r="AP4" s="23">
        <v>813</v>
      </c>
      <c r="AQ4" s="23">
        <v>837</v>
      </c>
      <c r="AR4" s="23">
        <v>902</v>
      </c>
      <c r="AS4" s="23">
        <v>983</v>
      </c>
      <c r="AT4" s="23">
        <v>1045</v>
      </c>
      <c r="AU4" s="23">
        <v>1386</v>
      </c>
      <c r="AV4" s="23">
        <v>1602</v>
      </c>
      <c r="AW4" s="23">
        <v>1301</v>
      </c>
      <c r="AX4" s="23">
        <v>1184</v>
      </c>
      <c r="AY4" s="23">
        <v>1199</v>
      </c>
      <c r="AZ4" s="23">
        <v>1117</v>
      </c>
      <c r="BA4" s="23">
        <v>1059</v>
      </c>
      <c r="BB4" s="23">
        <v>1127</v>
      </c>
      <c r="BC4" s="23">
        <v>1148</v>
      </c>
      <c r="BD4" s="23">
        <v>1193</v>
      </c>
      <c r="BE4" s="23">
        <v>1328</v>
      </c>
      <c r="BF4" s="23">
        <v>1487</v>
      </c>
      <c r="BG4" s="23">
        <v>1459</v>
      </c>
      <c r="BH4" s="23">
        <v>1398</v>
      </c>
      <c r="BI4" s="23">
        <v>1230.5</v>
      </c>
      <c r="BJ4" s="23">
        <v>1133.57</v>
      </c>
      <c r="BK4" s="23">
        <v>1086</v>
      </c>
      <c r="BL4" s="23">
        <v>1005.9</v>
      </c>
      <c r="BM4" s="23">
        <v>997.73</v>
      </c>
      <c r="BN4" s="23">
        <v>972.857142857143</v>
      </c>
      <c r="BO4" s="23">
        <v>963.684210526316</v>
      </c>
      <c r="BP4" s="23">
        <v>841.086956521739</v>
      </c>
      <c r="BQ4" s="23">
        <v>752.272727272727</v>
      </c>
      <c r="BR4" s="23">
        <v>642.6</v>
      </c>
      <c r="BS4" s="23">
        <v>602.368421052632</v>
      </c>
      <c r="BT4" s="45">
        <v>523.571428571429</v>
      </c>
      <c r="BU4" s="45">
        <v>539.090909090909</v>
      </c>
      <c r="BV4" s="23">
        <v>596.5625</v>
      </c>
      <c r="BW4" s="23">
        <v>611.136363636364</v>
      </c>
      <c r="BX4" s="23">
        <v>668.863636363636</v>
      </c>
      <c r="BY4" s="23">
        <v>598.409090909091</v>
      </c>
      <c r="BZ4" s="23">
        <v>641.052631578947</v>
      </c>
      <c r="CA4" s="23">
        <v>661.190476190476</v>
      </c>
      <c r="CB4" s="23">
        <v>630.869565217391</v>
      </c>
      <c r="CC4" s="23">
        <v>651.904761904762</v>
      </c>
      <c r="CD4" s="23">
        <v>702.173913043478</v>
      </c>
      <c r="CE4" s="23">
        <v>746.176470588235</v>
      </c>
      <c r="CF4" s="23">
        <v>806.363636363636</v>
      </c>
      <c r="CG4" s="23">
        <v>920.47619047619</v>
      </c>
      <c r="CH4" s="23">
        <v>1092.75</v>
      </c>
      <c r="CI4" s="23">
        <v>1438.23529411765</v>
      </c>
      <c r="CJ4" s="23">
        <v>1349.5652173913</v>
      </c>
      <c r="CK4" s="23">
        <v>1420</v>
      </c>
      <c r="CL4" s="23">
        <v>1554.47368421053</v>
      </c>
      <c r="CM4" s="23">
        <v>1597.85714285714</v>
      </c>
      <c r="CN4" s="23">
        <v>1584.31818181818</v>
      </c>
      <c r="CO4" s="23">
        <v>1774.09090909091</v>
      </c>
      <c r="CP4" s="23">
        <v>1908.40909090909</v>
      </c>
      <c r="CQ4" s="23">
        <v>1937.05882352941</v>
      </c>
      <c r="CR4" s="23">
        <v>2001.81818181818</v>
      </c>
      <c r="CS4" s="23">
        <v>2313.04347826087</v>
      </c>
      <c r="CT4" s="23">
        <v>2461.25</v>
      </c>
      <c r="CU4" s="23">
        <v>2569.33333333333</v>
      </c>
      <c r="CV4" s="23">
        <v>3236</v>
      </c>
      <c r="CW4" s="23">
        <v>3510.47619047619</v>
      </c>
      <c r="CX4" s="48">
        <v>4034</v>
      </c>
      <c r="CY4" s="23">
        <v>3538.09523809524</v>
      </c>
      <c r="CZ4" s="23">
        <v>1864.28571428571</v>
      </c>
      <c r="DA4" s="54">
        <v>1056.52173913043</v>
      </c>
    </row>
    <row r="5" ht="16.5" hidden="1" spans="1:105">
      <c r="A5" s="19" t="s">
        <v>144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45"/>
      <c r="BU5" s="45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48"/>
      <c r="CY5" s="23"/>
      <c r="CZ5" s="23">
        <v>2000</v>
      </c>
      <c r="DA5" s="54">
        <v>1900</v>
      </c>
    </row>
    <row r="6" ht="16.5" hidden="1" spans="1:105">
      <c r="A6" s="19" t="s">
        <v>144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45"/>
      <c r="BU6" s="45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48"/>
      <c r="CY6" s="23"/>
      <c r="CZ6" s="23">
        <v>2000</v>
      </c>
      <c r="DA6" s="54">
        <v>1200</v>
      </c>
    </row>
    <row r="7" ht="16.5" hidden="1" spans="1:105">
      <c r="A7" s="19" t="s">
        <v>145</v>
      </c>
      <c r="B7" s="43">
        <f>B2/B4</f>
        <v>1.66905993763893</v>
      </c>
      <c r="C7" s="43">
        <f t="shared" ref="C7:BN7" si="0">C2/C4</f>
        <v>1.56708787836912</v>
      </c>
      <c r="D7" s="43">
        <f t="shared" si="0"/>
        <v>1.76614745526421</v>
      </c>
      <c r="E7" s="43">
        <f t="shared" si="0"/>
        <v>2.23155855722437</v>
      </c>
      <c r="F7" s="43">
        <f t="shared" si="0"/>
        <v>1.85245645681738</v>
      </c>
      <c r="G7" s="43">
        <f t="shared" si="0"/>
        <v>1.81747864510663</v>
      </c>
      <c r="H7" s="43">
        <f t="shared" si="0"/>
        <v>1.84945042380229</v>
      </c>
      <c r="I7" s="43">
        <f t="shared" si="0"/>
        <v>2.02194032338577</v>
      </c>
      <c r="J7" s="43">
        <f t="shared" si="0"/>
        <v>2.28954173678262</v>
      </c>
      <c r="K7" s="43">
        <f t="shared" si="0"/>
        <v>2.4747619943432</v>
      </c>
      <c r="L7" s="43">
        <f t="shared" si="0"/>
        <v>2.33245466724274</v>
      </c>
      <c r="M7" s="43">
        <f t="shared" si="0"/>
        <v>1.9618101036718</v>
      </c>
      <c r="N7" s="43">
        <f t="shared" si="0"/>
        <v>1.88734982384797</v>
      </c>
      <c r="O7" s="43">
        <f t="shared" si="0"/>
        <v>1.97565712253098</v>
      </c>
      <c r="P7" s="43">
        <f t="shared" si="0"/>
        <v>1.94304447143664</v>
      </c>
      <c r="Q7" s="43">
        <f t="shared" si="0"/>
        <v>2.2865050752133</v>
      </c>
      <c r="R7" s="43">
        <f t="shared" si="0"/>
        <v>2.32955609343176</v>
      </c>
      <c r="S7" s="43">
        <f t="shared" si="0"/>
        <v>2.17295330629632</v>
      </c>
      <c r="T7" s="43">
        <f t="shared" si="0"/>
        <v>2.14347846445077</v>
      </c>
      <c r="U7" s="43">
        <f t="shared" si="0"/>
        <v>2.28366320141012</v>
      </c>
      <c r="V7" s="43">
        <f t="shared" si="0"/>
        <v>2.56872174902547</v>
      </c>
      <c r="W7" s="43">
        <f t="shared" si="0"/>
        <v>2.5448738438976</v>
      </c>
      <c r="X7" s="43">
        <f t="shared" si="0"/>
        <v>2.17728761957227</v>
      </c>
      <c r="Y7" s="43">
        <f t="shared" si="0"/>
        <v>2.29604154548758</v>
      </c>
      <c r="Z7" s="43">
        <f t="shared" si="0"/>
        <v>2.50702308368334</v>
      </c>
      <c r="AA7" s="43">
        <f t="shared" si="0"/>
        <v>2.84176050863797</v>
      </c>
      <c r="AB7" s="43">
        <f t="shared" si="0"/>
        <v>3.09711556526633</v>
      </c>
      <c r="AC7" s="43">
        <f t="shared" si="0"/>
        <v>2.90581414093438</v>
      </c>
      <c r="AD7" s="43">
        <f t="shared" si="0"/>
        <v>2.73260834498369</v>
      </c>
      <c r="AE7" s="43">
        <f t="shared" si="0"/>
        <v>2.86601847194615</v>
      </c>
      <c r="AF7" s="43">
        <f t="shared" si="0"/>
        <v>3.08019346372019</v>
      </c>
      <c r="AG7" s="43">
        <f t="shared" si="0"/>
        <v>3.05208956986094</v>
      </c>
      <c r="AH7" s="43">
        <f t="shared" si="0"/>
        <v>2.78938087195594</v>
      </c>
      <c r="AI7" s="43">
        <f t="shared" si="0"/>
        <v>2.4898508011054</v>
      </c>
      <c r="AJ7" s="43">
        <f t="shared" si="0"/>
        <v>2.24817360587431</v>
      </c>
      <c r="AK7" s="43">
        <f t="shared" si="0"/>
        <v>2.21171492784984</v>
      </c>
      <c r="AL7" s="43">
        <f t="shared" si="0"/>
        <v>2.4068699949615</v>
      </c>
      <c r="AM7" s="43">
        <f t="shared" si="0"/>
        <v>2.53627607373599</v>
      </c>
      <c r="AN7" s="43">
        <f t="shared" si="0"/>
        <v>2.6355194446499</v>
      </c>
      <c r="AO7" s="43">
        <f t="shared" si="0"/>
        <v>2.96013873496725</v>
      </c>
      <c r="AP7" s="43">
        <f t="shared" si="0"/>
        <v>2.91526565534288</v>
      </c>
      <c r="AQ7" s="43">
        <f t="shared" si="0"/>
        <v>2.7301281615521</v>
      </c>
      <c r="AR7" s="43">
        <f t="shared" si="0"/>
        <v>2.47825832774745</v>
      </c>
      <c r="AS7" s="43">
        <f t="shared" si="0"/>
        <v>2.26395470363243</v>
      </c>
      <c r="AT7" s="43">
        <f t="shared" si="0"/>
        <v>2.13387514720759</v>
      </c>
      <c r="AU7" s="43">
        <f t="shared" si="0"/>
        <v>1.61308259485574</v>
      </c>
      <c r="AV7" s="43">
        <f t="shared" si="0"/>
        <v>1.45394079161717</v>
      </c>
      <c r="AW7" s="43">
        <f t="shared" si="0"/>
        <v>1.89877491858537</v>
      </c>
      <c r="AX7" s="43">
        <f t="shared" si="0"/>
        <v>2.11256532090345</v>
      </c>
      <c r="AY7" s="43">
        <f t="shared" si="0"/>
        <v>2.10731015422193</v>
      </c>
      <c r="AZ7" s="43">
        <f t="shared" si="0"/>
        <v>2.32509877848101</v>
      </c>
      <c r="BA7" s="43">
        <f t="shared" si="0"/>
        <v>2.406636885079</v>
      </c>
      <c r="BB7" s="43">
        <f t="shared" si="0"/>
        <v>2.2765034983322</v>
      </c>
      <c r="BC7" s="43">
        <f t="shared" si="0"/>
        <v>2.24383951503082</v>
      </c>
      <c r="BD7" s="43">
        <f t="shared" si="0"/>
        <v>2.24548904700226</v>
      </c>
      <c r="BE7" s="43">
        <f t="shared" si="0"/>
        <v>2.05813051355175</v>
      </c>
      <c r="BF7" s="43">
        <f t="shared" si="0"/>
        <v>1.84617483140384</v>
      </c>
      <c r="BG7" s="43">
        <f t="shared" si="0"/>
        <v>1.87980417609705</v>
      </c>
      <c r="BH7" s="43">
        <f t="shared" si="0"/>
        <v>1.931330472103</v>
      </c>
      <c r="BI7" s="43">
        <f t="shared" si="0"/>
        <v>2.19422998780983</v>
      </c>
      <c r="BJ7" s="43">
        <f t="shared" si="0"/>
        <v>2.30598904346445</v>
      </c>
      <c r="BK7" s="43">
        <f t="shared" si="0"/>
        <v>2.4171270718232</v>
      </c>
      <c r="BL7" s="43">
        <f t="shared" si="0"/>
        <v>2.50560873052726</v>
      </c>
      <c r="BM7" s="43">
        <f t="shared" si="0"/>
        <v>2.51784619917213</v>
      </c>
      <c r="BN7" s="43">
        <f t="shared" si="0"/>
        <v>2.49677891616802</v>
      </c>
      <c r="BO7" s="43">
        <f t="shared" ref="BO7:CZ7" si="1">BO2/BO4</f>
        <v>2.4980442398862</v>
      </c>
      <c r="BP7" s="43">
        <f t="shared" si="1"/>
        <v>2.63263490794906</v>
      </c>
      <c r="BQ7" s="43">
        <f t="shared" si="1"/>
        <v>2.94331251424622</v>
      </c>
      <c r="BR7" s="43">
        <f t="shared" si="1"/>
        <v>3.40341925989155</v>
      </c>
      <c r="BS7" s="43">
        <f t="shared" si="1"/>
        <v>3.55132712947916</v>
      </c>
      <c r="BT7" s="43">
        <f t="shared" si="1"/>
        <v>4.01824587205272</v>
      </c>
      <c r="BU7" s="43">
        <f t="shared" si="1"/>
        <v>3.82353232692319</v>
      </c>
      <c r="BV7" s="43">
        <f t="shared" si="1"/>
        <v>3.49645924017254</v>
      </c>
      <c r="BW7" s="43">
        <f t="shared" si="1"/>
        <v>3.25130464834084</v>
      </c>
      <c r="BX7" s="43">
        <f t="shared" si="1"/>
        <v>2.9706959562992</v>
      </c>
      <c r="BY7" s="43">
        <f t="shared" si="1"/>
        <v>3.4617617520585</v>
      </c>
      <c r="BZ7" s="43">
        <f t="shared" si="1"/>
        <v>3.2148216704315</v>
      </c>
      <c r="CA7" s="43">
        <f t="shared" si="1"/>
        <v>3.13361958022461</v>
      </c>
      <c r="CB7" s="43">
        <f t="shared" si="1"/>
        <v>3.32686098408003</v>
      </c>
      <c r="CC7" s="43">
        <f t="shared" si="1"/>
        <v>3.1947642272222</v>
      </c>
      <c r="CD7" s="43">
        <f t="shared" si="1"/>
        <v>3.09901209131834</v>
      </c>
      <c r="CE7" s="43">
        <f t="shared" si="1"/>
        <v>2.99978994735714</v>
      </c>
      <c r="CF7" s="43">
        <f t="shared" si="1"/>
        <v>2.81971411081443</v>
      </c>
      <c r="CG7" s="43">
        <f t="shared" si="1"/>
        <v>2.51057347809952</v>
      </c>
      <c r="CH7" s="43">
        <f t="shared" si="1"/>
        <v>2.16437682236713</v>
      </c>
      <c r="CI7" s="43">
        <f t="shared" si="1"/>
        <v>1.71820621365043</v>
      </c>
      <c r="CJ7" s="43">
        <f t="shared" si="1"/>
        <v>2.02092319370121</v>
      </c>
      <c r="CK7" s="43">
        <f t="shared" si="1"/>
        <v>2.31953796439046</v>
      </c>
      <c r="CL7" s="43">
        <f t="shared" si="1"/>
        <v>2.07514983014726</v>
      </c>
      <c r="CM7" s="43">
        <f t="shared" si="1"/>
        <v>2.04159364779754</v>
      </c>
      <c r="CN7" s="43">
        <f t="shared" si="1"/>
        <v>2.12900422121496</v>
      </c>
      <c r="CO7" s="43">
        <f t="shared" si="1"/>
        <v>1.977512717466</v>
      </c>
      <c r="CP7" s="43">
        <f t="shared" si="1"/>
        <v>1.98085869050626</v>
      </c>
      <c r="CQ7" s="43">
        <f t="shared" si="1"/>
        <v>1.93212377229744</v>
      </c>
      <c r="CR7" s="43">
        <f t="shared" si="1"/>
        <v>1.7664710534122</v>
      </c>
      <c r="CS7" s="43">
        <f t="shared" si="1"/>
        <v>1.52876477578854</v>
      </c>
      <c r="CT7" s="43">
        <f t="shared" si="1"/>
        <v>1.47727477780518</v>
      </c>
      <c r="CU7" s="43">
        <f t="shared" si="1"/>
        <v>1.38796009450434</v>
      </c>
      <c r="CV7" s="43">
        <f t="shared" si="1"/>
        <v>1.31991983716413</v>
      </c>
      <c r="CW7" s="43">
        <f t="shared" si="1"/>
        <v>1.24256646771568</v>
      </c>
      <c r="CX7" s="43">
        <f t="shared" si="1"/>
        <v>1.24665344571145</v>
      </c>
      <c r="CY7" s="43">
        <f t="shared" si="1"/>
        <v>1.49232839838493</v>
      </c>
      <c r="CZ7" s="43">
        <f t="shared" si="1"/>
        <v>3.06015325670498</v>
      </c>
      <c r="DA7" s="55"/>
    </row>
    <row r="8" ht="16.5" hidden="1" spans="1:105">
      <c r="A8" s="19" t="s">
        <v>60</v>
      </c>
      <c r="B8" s="42">
        <v>2214.84253724686</v>
      </c>
      <c r="C8" s="42">
        <v>2336.52802664836</v>
      </c>
      <c r="D8" s="42">
        <v>2486.73561701201</v>
      </c>
      <c r="E8" s="42">
        <v>2463.6406471757</v>
      </c>
      <c r="F8" s="42">
        <v>2421.16058906031</v>
      </c>
      <c r="G8" s="42">
        <v>2389.98441831522</v>
      </c>
      <c r="H8" s="42">
        <v>2517.10202679492</v>
      </c>
      <c r="I8" s="42">
        <v>2610.32495749103</v>
      </c>
      <c r="J8" s="42">
        <v>2740.58145892879</v>
      </c>
      <c r="K8" s="42">
        <v>2534.15628220744</v>
      </c>
      <c r="L8" s="42">
        <v>2670.66059399294</v>
      </c>
      <c r="M8" s="42">
        <v>2577.81847622475</v>
      </c>
      <c r="N8" s="42">
        <v>2589.44395831942</v>
      </c>
      <c r="O8" s="42">
        <v>2675.03974390694</v>
      </c>
      <c r="P8" s="42">
        <v>2661.9709258682</v>
      </c>
      <c r="Q8" s="42">
        <v>2677.49744307477</v>
      </c>
      <c r="R8" s="42">
        <v>2720.9215171283</v>
      </c>
      <c r="S8" s="42">
        <v>2716.1916328704</v>
      </c>
      <c r="T8" s="42">
        <v>2717.93069292358</v>
      </c>
      <c r="U8" s="42">
        <v>2742.67950489356</v>
      </c>
      <c r="V8" s="42">
        <v>2730.55121921408</v>
      </c>
      <c r="W8" s="42">
        <v>2667.02778840469</v>
      </c>
      <c r="X8" s="42">
        <v>2482.10788631239</v>
      </c>
      <c r="Y8" s="42">
        <v>2479.72486912659</v>
      </c>
      <c r="Z8" s="42">
        <v>2369.13681408076</v>
      </c>
      <c r="AA8" s="42">
        <v>2389.92058776453</v>
      </c>
      <c r="AB8" s="42">
        <v>2353.80782960241</v>
      </c>
      <c r="AC8" s="42">
        <v>2228.75944609667</v>
      </c>
      <c r="AD8" s="42">
        <v>2057.65408377272</v>
      </c>
      <c r="AE8" s="42">
        <v>2037.73913355371</v>
      </c>
      <c r="AF8" s="42">
        <v>2060.64942722881</v>
      </c>
      <c r="AG8" s="42">
        <v>2102.88971363419</v>
      </c>
      <c r="AH8" s="42">
        <v>2033.45865565588</v>
      </c>
      <c r="AI8" s="45">
        <v>1899.75616124342</v>
      </c>
      <c r="AJ8" s="42">
        <v>1955.91103711065</v>
      </c>
      <c r="AK8" s="42">
        <v>1983.90829028131</v>
      </c>
      <c r="AL8" s="42">
        <v>2134.89368553085</v>
      </c>
      <c r="AM8" s="42">
        <v>2300.40239887854</v>
      </c>
      <c r="AN8" s="42">
        <v>2353.51886407236</v>
      </c>
      <c r="AO8" s="42">
        <v>2376.9914041787</v>
      </c>
      <c r="AP8" s="42">
        <v>2370.11097779376</v>
      </c>
      <c r="AQ8" s="42">
        <v>2285.11727121911</v>
      </c>
      <c r="AR8" s="42">
        <v>2235.3890116282</v>
      </c>
      <c r="AS8" s="42">
        <v>2225.46747367068</v>
      </c>
      <c r="AT8" s="42">
        <v>2229.89952883193</v>
      </c>
      <c r="AU8" s="42">
        <v>2235.73247647006</v>
      </c>
      <c r="AV8" s="42">
        <v>2329.2131481707</v>
      </c>
      <c r="AW8" s="42">
        <v>2470.30616907957</v>
      </c>
      <c r="AX8" s="42">
        <v>2501.27733994969</v>
      </c>
      <c r="AY8" s="42">
        <v>2526.66487491209</v>
      </c>
      <c r="AZ8" s="42">
        <v>2597.13533556329</v>
      </c>
      <c r="BA8" s="42">
        <v>2548.62846129866</v>
      </c>
      <c r="BB8" s="42">
        <v>2565.61944262039</v>
      </c>
      <c r="BC8" s="42">
        <v>2575.92776325538</v>
      </c>
      <c r="BD8" s="42">
        <v>2678.8684330737</v>
      </c>
      <c r="BE8" s="42">
        <v>2733.19732199673</v>
      </c>
      <c r="BF8" s="42">
        <v>2745.26197429751</v>
      </c>
      <c r="BG8" s="42">
        <v>2742.63429292559</v>
      </c>
      <c r="BH8" s="42">
        <v>2700</v>
      </c>
      <c r="BI8" s="42">
        <v>2700</v>
      </c>
      <c r="BJ8" s="42">
        <v>2614</v>
      </c>
      <c r="BK8" s="42">
        <v>2625</v>
      </c>
      <c r="BL8" s="42">
        <v>2520.39182203737</v>
      </c>
      <c r="BM8" s="42">
        <v>2512.13068830001</v>
      </c>
      <c r="BN8" s="42">
        <v>2429.00920272917</v>
      </c>
      <c r="BO8" s="42">
        <v>2407.32579117454</v>
      </c>
      <c r="BP8" s="42">
        <v>2214.27488235976</v>
      </c>
      <c r="BQ8" s="42">
        <v>2214.17373230795</v>
      </c>
      <c r="BR8" s="42">
        <v>2187.03721640631</v>
      </c>
      <c r="BS8" s="42">
        <v>2139.20731562574</v>
      </c>
      <c r="BT8" s="42">
        <v>2103.83873158189</v>
      </c>
      <c r="BU8" s="42">
        <v>2061.2315180595</v>
      </c>
      <c r="BV8" s="42">
        <v>2085.85646546543</v>
      </c>
      <c r="BW8" s="42">
        <v>1986.99049986103</v>
      </c>
      <c r="BX8" s="42">
        <v>1986.99049986103</v>
      </c>
      <c r="BY8" s="42">
        <v>2071.54970299319</v>
      </c>
      <c r="BZ8" s="42">
        <v>2060.86989188714</v>
      </c>
      <c r="CA8" s="42">
        <v>2071.91942244851</v>
      </c>
      <c r="CB8" s="42">
        <v>2098.81534256527</v>
      </c>
      <c r="CC8" s="42">
        <v>2082.68201288914</v>
      </c>
      <c r="CD8" s="42">
        <v>2176.04544673005</v>
      </c>
      <c r="CE8" s="42">
        <v>2238.37267542502</v>
      </c>
      <c r="CF8" s="42">
        <v>2273.71492390218</v>
      </c>
      <c r="CG8" s="42">
        <v>2310.92311103161</v>
      </c>
      <c r="CH8" s="42">
        <v>2365.12277264168</v>
      </c>
      <c r="CI8" s="42">
        <v>2471.1848190443</v>
      </c>
      <c r="CJ8" s="42">
        <v>2727.36764923849</v>
      </c>
      <c r="CK8" s="42">
        <v>3293.74390943446</v>
      </c>
      <c r="CL8" s="42">
        <v>3225.76580175787</v>
      </c>
      <c r="CM8" s="42">
        <v>3262.17499294506</v>
      </c>
      <c r="CN8" s="42">
        <v>3373.02009683852</v>
      </c>
      <c r="CO8" s="42">
        <v>3508.28733466809</v>
      </c>
      <c r="CP8" s="42">
        <v>3780.28873276843</v>
      </c>
      <c r="CQ8" s="42">
        <v>3742.63740127969</v>
      </c>
      <c r="CR8" s="42">
        <v>3536.15387237605</v>
      </c>
      <c r="CS8" s="42">
        <v>3536.09939443262</v>
      </c>
      <c r="CT8" s="42">
        <v>3635.94254687299</v>
      </c>
      <c r="CU8" s="42">
        <v>3566.13213614648</v>
      </c>
      <c r="CV8" s="42">
        <v>4271.26059306314</v>
      </c>
      <c r="CW8" s="42">
        <v>4362</v>
      </c>
      <c r="CX8" s="42">
        <v>5029</v>
      </c>
      <c r="CY8" s="47">
        <v>5280</v>
      </c>
      <c r="CZ8" s="42">
        <f>(5900*22+4786*63)/85</f>
        <v>5074.32941176471</v>
      </c>
      <c r="DA8" s="53">
        <v>4400</v>
      </c>
    </row>
    <row r="9" ht="16.5" spans="1:105">
      <c r="A9" s="19" t="s">
        <v>146</v>
      </c>
      <c r="B9" s="23">
        <v>400</v>
      </c>
      <c r="C9" s="23">
        <v>400</v>
      </c>
      <c r="D9" s="23">
        <v>400</v>
      </c>
      <c r="E9" s="23">
        <v>380</v>
      </c>
      <c r="F9" s="23">
        <v>380</v>
      </c>
      <c r="G9" s="23">
        <v>380</v>
      </c>
      <c r="H9" s="23">
        <v>380</v>
      </c>
      <c r="I9" s="23">
        <v>380</v>
      </c>
      <c r="J9" s="23">
        <v>380</v>
      </c>
      <c r="K9" s="23">
        <v>380</v>
      </c>
      <c r="L9" s="23">
        <v>380</v>
      </c>
      <c r="M9" s="23">
        <v>380</v>
      </c>
      <c r="N9" s="23">
        <v>390</v>
      </c>
      <c r="O9" s="23">
        <v>390</v>
      </c>
      <c r="P9" s="23">
        <v>380</v>
      </c>
      <c r="Q9" s="23">
        <v>380</v>
      </c>
      <c r="R9" s="23">
        <v>380</v>
      </c>
      <c r="S9" s="23">
        <v>380</v>
      </c>
      <c r="T9" s="23">
        <v>380</v>
      </c>
      <c r="U9" s="23">
        <v>370</v>
      </c>
      <c r="V9" s="23">
        <v>370</v>
      </c>
      <c r="W9" s="23">
        <v>370</v>
      </c>
      <c r="X9" s="23">
        <v>370</v>
      </c>
      <c r="Y9" s="23">
        <v>370</v>
      </c>
      <c r="Z9" s="23">
        <v>350</v>
      </c>
      <c r="AA9" s="23">
        <v>350</v>
      </c>
      <c r="AB9" s="23">
        <v>350</v>
      </c>
      <c r="AC9" s="23">
        <v>350</v>
      </c>
      <c r="AD9" s="23">
        <v>350</v>
      </c>
      <c r="AE9" s="23">
        <v>350</v>
      </c>
      <c r="AF9" s="23">
        <v>350</v>
      </c>
      <c r="AG9" s="23">
        <v>340</v>
      </c>
      <c r="AH9" s="23">
        <v>340</v>
      </c>
      <c r="AI9" s="23">
        <v>340</v>
      </c>
      <c r="AJ9" s="23">
        <v>340</v>
      </c>
      <c r="AK9" s="23">
        <v>340</v>
      </c>
      <c r="AL9" s="23">
        <v>340</v>
      </c>
      <c r="AM9" s="23">
        <v>355</v>
      </c>
      <c r="AN9" s="23">
        <v>355</v>
      </c>
      <c r="AO9" s="23">
        <v>355</v>
      </c>
      <c r="AP9" s="23">
        <v>355</v>
      </c>
      <c r="AQ9" s="23">
        <v>355</v>
      </c>
      <c r="AR9" s="23">
        <v>355</v>
      </c>
      <c r="AS9" s="23">
        <v>355</v>
      </c>
      <c r="AT9" s="23">
        <v>355</v>
      </c>
      <c r="AU9" s="23">
        <v>355</v>
      </c>
      <c r="AV9" s="23">
        <v>355</v>
      </c>
      <c r="AW9" s="23">
        <v>430</v>
      </c>
      <c r="AX9" s="23">
        <v>430</v>
      </c>
      <c r="AY9" s="23">
        <v>430</v>
      </c>
      <c r="AZ9" s="23">
        <v>430</v>
      </c>
      <c r="BA9" s="23">
        <v>430</v>
      </c>
      <c r="BB9" s="23">
        <v>430</v>
      </c>
      <c r="BC9" s="23">
        <v>430</v>
      </c>
      <c r="BD9" s="23">
        <v>430</v>
      </c>
      <c r="BE9" s="23">
        <v>430</v>
      </c>
      <c r="BF9" s="23">
        <v>430</v>
      </c>
      <c r="BG9" s="23">
        <v>430</v>
      </c>
      <c r="BH9" s="23">
        <v>450</v>
      </c>
      <c r="BI9" s="23">
        <v>500</v>
      </c>
      <c r="BJ9" s="23">
        <v>470</v>
      </c>
      <c r="BK9" s="23">
        <v>470</v>
      </c>
      <c r="BL9" s="23">
        <v>420</v>
      </c>
      <c r="BM9" s="23">
        <v>420</v>
      </c>
      <c r="BN9" s="23">
        <v>420</v>
      </c>
      <c r="BO9" s="23">
        <v>420</v>
      </c>
      <c r="BP9" s="23">
        <v>400</v>
      </c>
      <c r="BQ9" s="23">
        <v>400</v>
      </c>
      <c r="BR9" s="23">
        <v>380</v>
      </c>
      <c r="BS9" s="23">
        <v>380</v>
      </c>
      <c r="BT9" s="23">
        <v>370</v>
      </c>
      <c r="BU9" s="23">
        <v>370</v>
      </c>
      <c r="BV9" s="23">
        <v>370</v>
      </c>
      <c r="BW9" s="23">
        <v>370</v>
      </c>
      <c r="BX9" s="23">
        <v>370</v>
      </c>
      <c r="BY9" s="23">
        <v>338</v>
      </c>
      <c r="BZ9" s="23">
        <v>338</v>
      </c>
      <c r="CA9" s="23">
        <v>338</v>
      </c>
      <c r="CB9" s="23">
        <v>338</v>
      </c>
      <c r="CC9" s="23">
        <v>338</v>
      </c>
      <c r="CD9" s="45">
        <v>328</v>
      </c>
      <c r="CE9" s="45">
        <v>328</v>
      </c>
      <c r="CF9" s="23">
        <v>358</v>
      </c>
      <c r="CG9" s="23">
        <v>358</v>
      </c>
      <c r="CH9" s="23">
        <v>358</v>
      </c>
      <c r="CI9" s="23">
        <v>358</v>
      </c>
      <c r="CJ9" s="23">
        <v>358</v>
      </c>
      <c r="CK9" s="23">
        <v>408</v>
      </c>
      <c r="CL9" s="23">
        <v>458</v>
      </c>
      <c r="CM9" s="23">
        <v>488</v>
      </c>
      <c r="CN9" s="23">
        <v>508</v>
      </c>
      <c r="CO9" s="23">
        <v>558</v>
      </c>
      <c r="CP9" s="23">
        <v>608</v>
      </c>
      <c r="CQ9" s="23">
        <v>608</v>
      </c>
      <c r="CR9" s="23">
        <v>608</v>
      </c>
      <c r="CS9" s="23">
        <v>608</v>
      </c>
      <c r="CT9" s="23">
        <v>608</v>
      </c>
      <c r="CU9" s="23">
        <v>608</v>
      </c>
      <c r="CV9" s="23">
        <v>608</v>
      </c>
      <c r="CW9" s="23">
        <v>645.6</v>
      </c>
      <c r="CX9" s="23">
        <v>745.6</v>
      </c>
      <c r="CY9" s="23">
        <v>858</v>
      </c>
      <c r="CZ9" s="23">
        <v>958</v>
      </c>
      <c r="DA9" s="54">
        <v>958</v>
      </c>
    </row>
    <row r="10" ht="16.5" hidden="1" spans="1:105">
      <c r="A10" s="19" t="s">
        <v>146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45"/>
      <c r="CE10" s="45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>
        <v>958</v>
      </c>
      <c r="DA10" s="54">
        <v>650</v>
      </c>
    </row>
    <row r="11" ht="16.5" hidden="1" spans="1:105">
      <c r="A11" s="19" t="s">
        <v>146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45"/>
      <c r="CE11" s="45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>
        <v>958</v>
      </c>
      <c r="DA11" s="54">
        <v>850</v>
      </c>
    </row>
    <row r="12" ht="16.5" hidden="1" spans="1:105">
      <c r="A12" s="26" t="s">
        <v>147</v>
      </c>
      <c r="B12" s="83">
        <f t="shared" ref="B12:BM12" si="2">B8/B9</f>
        <v>5.53710634311715</v>
      </c>
      <c r="C12" s="83">
        <f t="shared" si="2"/>
        <v>5.8413200666209</v>
      </c>
      <c r="D12" s="83">
        <f t="shared" si="2"/>
        <v>6.21683904253003</v>
      </c>
      <c r="E12" s="83">
        <f t="shared" si="2"/>
        <v>6.48326486098868</v>
      </c>
      <c r="F12" s="83">
        <f t="shared" si="2"/>
        <v>6.37147523436924</v>
      </c>
      <c r="G12" s="83">
        <f t="shared" si="2"/>
        <v>6.28943267977689</v>
      </c>
      <c r="H12" s="83">
        <f t="shared" si="2"/>
        <v>6.62395270209189</v>
      </c>
      <c r="I12" s="83">
        <f t="shared" si="2"/>
        <v>6.86927620392376</v>
      </c>
      <c r="J12" s="83">
        <f t="shared" si="2"/>
        <v>7.21205647086524</v>
      </c>
      <c r="K12" s="83">
        <f t="shared" si="2"/>
        <v>6.66883232159853</v>
      </c>
      <c r="L12" s="83">
        <f t="shared" si="2"/>
        <v>7.02805419471826</v>
      </c>
      <c r="M12" s="83">
        <f t="shared" si="2"/>
        <v>6.7837328321704</v>
      </c>
      <c r="N12" s="83">
        <f t="shared" si="2"/>
        <v>6.63959989312672</v>
      </c>
      <c r="O12" s="83">
        <f t="shared" si="2"/>
        <v>6.85907626642805</v>
      </c>
      <c r="P12" s="83">
        <f t="shared" si="2"/>
        <v>7.00518664702158</v>
      </c>
      <c r="Q12" s="83">
        <f t="shared" si="2"/>
        <v>7.04604590282834</v>
      </c>
      <c r="R12" s="83">
        <f t="shared" si="2"/>
        <v>7.16031978191658</v>
      </c>
      <c r="S12" s="83">
        <f t="shared" si="2"/>
        <v>7.14787271808</v>
      </c>
      <c r="T12" s="83">
        <f t="shared" si="2"/>
        <v>7.15244919190416</v>
      </c>
      <c r="U12" s="83">
        <f t="shared" si="2"/>
        <v>7.41264731052313</v>
      </c>
      <c r="V12" s="83">
        <f t="shared" si="2"/>
        <v>7.37986816003805</v>
      </c>
      <c r="W12" s="83">
        <f t="shared" si="2"/>
        <v>7.20818321190457</v>
      </c>
      <c r="X12" s="83">
        <f t="shared" si="2"/>
        <v>6.70839969273619</v>
      </c>
      <c r="Y12" s="83">
        <f t="shared" si="2"/>
        <v>6.70195910574754</v>
      </c>
      <c r="Z12" s="83">
        <f t="shared" si="2"/>
        <v>6.76896232594503</v>
      </c>
      <c r="AA12" s="83">
        <f t="shared" si="2"/>
        <v>6.82834453647009</v>
      </c>
      <c r="AB12" s="83">
        <f t="shared" si="2"/>
        <v>6.72516522743546</v>
      </c>
      <c r="AC12" s="83">
        <f t="shared" si="2"/>
        <v>6.36788413170477</v>
      </c>
      <c r="AD12" s="83">
        <f t="shared" si="2"/>
        <v>5.87901166792206</v>
      </c>
      <c r="AE12" s="83">
        <f t="shared" si="2"/>
        <v>5.82211181015346</v>
      </c>
      <c r="AF12" s="83">
        <f t="shared" si="2"/>
        <v>5.88756979208231</v>
      </c>
      <c r="AG12" s="83">
        <f t="shared" si="2"/>
        <v>6.18496974598291</v>
      </c>
      <c r="AH12" s="83">
        <f t="shared" si="2"/>
        <v>5.98076075192906</v>
      </c>
      <c r="AI12" s="83">
        <f t="shared" si="2"/>
        <v>5.58751812130418</v>
      </c>
      <c r="AJ12" s="83">
        <f t="shared" si="2"/>
        <v>5.75267952091368</v>
      </c>
      <c r="AK12" s="83">
        <f t="shared" si="2"/>
        <v>5.83502438318032</v>
      </c>
      <c r="AL12" s="83">
        <f t="shared" si="2"/>
        <v>6.27909907509073</v>
      </c>
      <c r="AM12" s="83">
        <f t="shared" si="2"/>
        <v>6.48000675740434</v>
      </c>
      <c r="AN12" s="83">
        <f t="shared" si="2"/>
        <v>6.62963060302073</v>
      </c>
      <c r="AO12" s="83">
        <f t="shared" si="2"/>
        <v>6.6957504343062</v>
      </c>
      <c r="AP12" s="83">
        <f t="shared" si="2"/>
        <v>6.67636895153172</v>
      </c>
      <c r="AQ12" s="83">
        <f t="shared" si="2"/>
        <v>6.43695005977214</v>
      </c>
      <c r="AR12" s="83">
        <f t="shared" si="2"/>
        <v>6.2968704552907</v>
      </c>
      <c r="AS12" s="83">
        <f t="shared" si="2"/>
        <v>6.26892246104417</v>
      </c>
      <c r="AT12" s="83">
        <f t="shared" si="2"/>
        <v>6.28140712347023</v>
      </c>
      <c r="AU12" s="83">
        <f t="shared" si="2"/>
        <v>6.29783796188749</v>
      </c>
      <c r="AV12" s="83">
        <f t="shared" si="2"/>
        <v>6.56116379766394</v>
      </c>
      <c r="AW12" s="83">
        <f t="shared" si="2"/>
        <v>5.74489806762691</v>
      </c>
      <c r="AX12" s="83">
        <f t="shared" si="2"/>
        <v>5.81692404639463</v>
      </c>
      <c r="AY12" s="83">
        <f t="shared" si="2"/>
        <v>5.87596482537695</v>
      </c>
      <c r="AZ12" s="83">
        <f t="shared" si="2"/>
        <v>6.03984961758905</v>
      </c>
      <c r="BA12" s="83">
        <f t="shared" si="2"/>
        <v>5.9270429332527</v>
      </c>
      <c r="BB12" s="83">
        <f t="shared" si="2"/>
        <v>5.96655684330323</v>
      </c>
      <c r="BC12" s="83">
        <f t="shared" si="2"/>
        <v>5.99052968198926</v>
      </c>
      <c r="BD12" s="83">
        <f t="shared" si="2"/>
        <v>6.22992658854349</v>
      </c>
      <c r="BE12" s="83">
        <f t="shared" si="2"/>
        <v>6.35627284185286</v>
      </c>
      <c r="BF12" s="83">
        <f t="shared" si="2"/>
        <v>6.38433017278491</v>
      </c>
      <c r="BG12" s="83">
        <f t="shared" si="2"/>
        <v>6.37821928587347</v>
      </c>
      <c r="BH12" s="83">
        <f t="shared" si="2"/>
        <v>6</v>
      </c>
      <c r="BI12" s="83">
        <f t="shared" si="2"/>
        <v>5.4</v>
      </c>
      <c r="BJ12" s="83">
        <f t="shared" si="2"/>
        <v>5.56170212765957</v>
      </c>
      <c r="BK12" s="83">
        <f t="shared" si="2"/>
        <v>5.58510638297872</v>
      </c>
      <c r="BL12" s="83">
        <f t="shared" si="2"/>
        <v>6.00093290961279</v>
      </c>
      <c r="BM12" s="83">
        <f t="shared" si="2"/>
        <v>5.98126354357145</v>
      </c>
      <c r="BN12" s="83">
        <f t="shared" ref="BN12:CZ12" si="3">BN8/BN9</f>
        <v>5.78335524459326</v>
      </c>
      <c r="BO12" s="83">
        <f t="shared" si="3"/>
        <v>5.73172807422509</v>
      </c>
      <c r="BP12" s="83">
        <f t="shared" si="3"/>
        <v>5.5356872058994</v>
      </c>
      <c r="BQ12" s="83">
        <f t="shared" si="3"/>
        <v>5.53543433076988</v>
      </c>
      <c r="BR12" s="83">
        <f t="shared" si="3"/>
        <v>5.75536109580608</v>
      </c>
      <c r="BS12" s="83">
        <f t="shared" si="3"/>
        <v>5.62949293585721</v>
      </c>
      <c r="BT12" s="83">
        <f t="shared" si="3"/>
        <v>5.686050625897</v>
      </c>
      <c r="BU12" s="83">
        <f t="shared" si="3"/>
        <v>5.57089599475541</v>
      </c>
      <c r="BV12" s="83">
        <f t="shared" si="3"/>
        <v>5.63744990666333</v>
      </c>
      <c r="BW12" s="86">
        <f t="shared" si="3"/>
        <v>5.370244594219</v>
      </c>
      <c r="BX12" s="86">
        <f t="shared" si="3"/>
        <v>5.370244594219</v>
      </c>
      <c r="BY12" s="83">
        <f t="shared" si="3"/>
        <v>6.12884527512778</v>
      </c>
      <c r="BZ12" s="83">
        <f t="shared" si="3"/>
        <v>6.09724820084953</v>
      </c>
      <c r="CA12" s="83">
        <f t="shared" si="3"/>
        <v>6.12993911967015</v>
      </c>
      <c r="CB12" s="83">
        <f t="shared" si="3"/>
        <v>6.20951284782624</v>
      </c>
      <c r="CC12" s="83">
        <f t="shared" si="3"/>
        <v>6.16178110322231</v>
      </c>
      <c r="CD12" s="83">
        <f t="shared" si="3"/>
        <v>6.63428489856723</v>
      </c>
      <c r="CE12" s="83">
        <f t="shared" si="3"/>
        <v>6.8243069372714</v>
      </c>
      <c r="CF12" s="83">
        <f t="shared" si="3"/>
        <v>6.35115900531335</v>
      </c>
      <c r="CG12" s="83">
        <f t="shared" si="3"/>
        <v>6.45509248891511</v>
      </c>
      <c r="CH12" s="83">
        <f t="shared" si="3"/>
        <v>6.60648819173654</v>
      </c>
      <c r="CI12" s="83">
        <f t="shared" si="3"/>
        <v>6.9027508911852</v>
      </c>
      <c r="CJ12" s="83">
        <f t="shared" si="3"/>
        <v>7.61834538893433</v>
      </c>
      <c r="CK12" s="83">
        <f t="shared" si="3"/>
        <v>8.07290173880995</v>
      </c>
      <c r="CL12" s="83">
        <f t="shared" si="3"/>
        <v>7.0431567723971</v>
      </c>
      <c r="CM12" s="83">
        <f t="shared" si="3"/>
        <v>6.68478482160873</v>
      </c>
      <c r="CN12" s="83">
        <f t="shared" si="3"/>
        <v>6.63980334023331</v>
      </c>
      <c r="CO12" s="83">
        <f t="shared" si="3"/>
        <v>6.28725328793564</v>
      </c>
      <c r="CP12" s="83">
        <f t="shared" si="3"/>
        <v>6.21758015257965</v>
      </c>
      <c r="CQ12" s="83">
        <f t="shared" si="3"/>
        <v>6.15565362052581</v>
      </c>
      <c r="CR12" s="83">
        <f t="shared" si="3"/>
        <v>5.81604255325008</v>
      </c>
      <c r="CS12" s="83">
        <f t="shared" si="3"/>
        <v>5.81595295136944</v>
      </c>
      <c r="CT12" s="83">
        <f t="shared" si="3"/>
        <v>5.98016866262005</v>
      </c>
      <c r="CU12" s="83">
        <f t="shared" si="3"/>
        <v>5.86534890813566</v>
      </c>
      <c r="CV12" s="83">
        <f t="shared" si="3"/>
        <v>7.02509965964332</v>
      </c>
      <c r="CW12" s="83">
        <f t="shared" si="3"/>
        <v>6.75650557620818</v>
      </c>
      <c r="CX12" s="83">
        <f t="shared" si="3"/>
        <v>6.74490343347639</v>
      </c>
      <c r="CY12" s="83">
        <f t="shared" si="3"/>
        <v>6.15384615384615</v>
      </c>
      <c r="CZ12" s="87">
        <f t="shared" si="3"/>
        <v>5.29679479307381</v>
      </c>
      <c r="DA12" s="56"/>
    </row>
    <row r="13" ht="13.9" customHeight="1" spans="1:105">
      <c r="A13" s="84" t="s">
        <v>61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>
        <v>964</v>
      </c>
      <c r="AY13" s="84">
        <v>984</v>
      </c>
      <c r="AZ13" s="84">
        <v>984</v>
      </c>
      <c r="BA13" s="84">
        <v>964</v>
      </c>
      <c r="BB13" s="84">
        <v>914</v>
      </c>
      <c r="BC13" s="84">
        <v>911</v>
      </c>
      <c r="BD13" s="84">
        <v>911</v>
      </c>
      <c r="BE13" s="84">
        <v>901</v>
      </c>
      <c r="BF13" s="84">
        <v>896</v>
      </c>
      <c r="BG13" s="84">
        <v>974</v>
      </c>
      <c r="BH13" s="84">
        <v>974</v>
      </c>
      <c r="BI13" s="84">
        <v>967</v>
      </c>
      <c r="BJ13" s="84">
        <v>917</v>
      </c>
      <c r="BK13" s="84">
        <v>917</v>
      </c>
      <c r="BL13" s="84">
        <v>903.67</v>
      </c>
      <c r="BM13" s="84">
        <v>886</v>
      </c>
      <c r="BN13" s="84">
        <v>876</v>
      </c>
      <c r="BO13" s="84">
        <v>866</v>
      </c>
      <c r="BP13" s="85">
        <v>839</v>
      </c>
      <c r="BQ13" s="85">
        <v>802.53</v>
      </c>
      <c r="BR13" s="85">
        <v>802.53</v>
      </c>
      <c r="BS13" s="85">
        <v>802.53</v>
      </c>
      <c r="BT13" s="85">
        <v>752.53</v>
      </c>
      <c r="BU13" s="85">
        <v>752.5</v>
      </c>
      <c r="BV13" s="85">
        <v>752.33</v>
      </c>
      <c r="BW13" s="85">
        <v>772.33</v>
      </c>
      <c r="BX13" s="85">
        <v>772.33</v>
      </c>
      <c r="BY13" s="85">
        <v>732.33</v>
      </c>
      <c r="BZ13" s="85">
        <v>702.33</v>
      </c>
      <c r="CA13" s="85">
        <v>755.67</v>
      </c>
      <c r="CB13" s="85">
        <v>755.67</v>
      </c>
      <c r="CC13" s="85">
        <v>692.666666666667</v>
      </c>
      <c r="CD13" s="85">
        <v>692.666666666667</v>
      </c>
      <c r="CE13" s="85">
        <v>769.333333333333</v>
      </c>
      <c r="CF13" s="85">
        <v>823</v>
      </c>
      <c r="CG13" s="85">
        <v>902.666666666667</v>
      </c>
      <c r="CH13" s="85">
        <v>1003</v>
      </c>
      <c r="CI13" s="85">
        <v>1003</v>
      </c>
      <c r="CJ13" s="85">
        <v>859</v>
      </c>
      <c r="CK13" s="85">
        <v>956</v>
      </c>
      <c r="CL13" s="85">
        <v>1125</v>
      </c>
      <c r="CM13" s="85">
        <v>1125</v>
      </c>
      <c r="CN13" s="85">
        <v>1203</v>
      </c>
      <c r="CO13" s="85">
        <v>1388</v>
      </c>
      <c r="CP13" s="85">
        <v>1588</v>
      </c>
      <c r="CQ13" s="85">
        <v>2309</v>
      </c>
      <c r="CR13" s="85">
        <v>1489</v>
      </c>
      <c r="CS13" s="85">
        <v>1416</v>
      </c>
      <c r="CT13" s="85">
        <v>1564.761568</v>
      </c>
      <c r="CU13" s="85">
        <v>1707.354545</v>
      </c>
      <c r="CV13" s="85">
        <v>1531.446555</v>
      </c>
      <c r="CW13" s="85">
        <v>1631.932225</v>
      </c>
      <c r="CX13" s="85">
        <v>1574.097596</v>
      </c>
      <c r="CY13" s="85">
        <v>1554.386728</v>
      </c>
      <c r="CZ13" s="85">
        <v>1491</v>
      </c>
      <c r="DA13" s="85">
        <v>1443</v>
      </c>
    </row>
    <row r="14" spans="103:103">
      <c r="CY14" s="14"/>
    </row>
    <row r="29" ht="116.65" customHeight="1"/>
    <row r="30" spans="1:11">
      <c r="A30" s="44" t="e">
        <f>#REF!</f>
        <v>#REF!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</row>
    <row r="32" spans="1:1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3" spans="1:1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</row>
    <row r="34" spans="1:1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</row>
    <row r="35" spans="1:1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</row>
    <row r="36" spans="1:1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</row>
    <row r="37" spans="1:1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</row>
    <row r="38" spans="1:1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</row>
    <row r="39" spans="1:1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</row>
    <row r="40" spans="1:1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spans="1:1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</row>
    <row r="42" ht="58.15" customHeight="1" spans="1:1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</row>
  </sheetData>
  <mergeCells count="1">
    <mergeCell ref="A30:K42"/>
  </mergeCells>
  <pageMargins left="0.7" right="0.7" top="0.75" bottom="0.75" header="0.3" footer="0.3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4"/>
  <sheetViews>
    <sheetView workbookViewId="0">
      <pane ySplit="2" topLeftCell="A3" activePane="bottomLeft" state="frozenSplit"/>
      <selection/>
      <selection pane="bottomLeft" activeCell="M2" sqref="M2"/>
    </sheetView>
  </sheetViews>
  <sheetFormatPr defaultColWidth="9" defaultRowHeight="12" customHeight="1"/>
  <cols>
    <col min="2" max="2" width="9" style="62"/>
    <col min="3" max="5" width="9" hidden="1" customWidth="1"/>
    <col min="8" max="8" width="9" hidden="1" customWidth="1"/>
    <col min="9" max="9" width="8.625" style="16"/>
    <col min="10" max="10" width="9" hidden="1" customWidth="1"/>
    <col min="11" max="11" width="8.625" style="16"/>
    <col min="12" max="12" width="14.5" style="16" customWidth="1"/>
  </cols>
  <sheetData>
    <row r="1" customHeight="1" spans="1:10">
      <c r="A1" s="17"/>
      <c r="F1" s="63" t="s">
        <v>60</v>
      </c>
      <c r="G1" s="63"/>
      <c r="H1" s="64"/>
      <c r="I1" s="69"/>
      <c r="J1" t="s">
        <v>150</v>
      </c>
    </row>
    <row r="2" s="61" customFormat="1" ht="22.15" customHeight="1" spans="1:13">
      <c r="A2" s="39" t="s">
        <v>92</v>
      </c>
      <c r="B2" s="65" t="s">
        <v>60</v>
      </c>
      <c r="C2" s="39" t="s">
        <v>151</v>
      </c>
      <c r="D2" s="39" t="s">
        <v>152</v>
      </c>
      <c r="E2" s="39" t="s">
        <v>153</v>
      </c>
      <c r="F2" s="39" t="s">
        <v>154</v>
      </c>
      <c r="G2" s="39" t="s">
        <v>155</v>
      </c>
      <c r="H2" s="66"/>
      <c r="I2" s="65" t="s">
        <v>156</v>
      </c>
      <c r="J2" s="39" t="s">
        <v>157</v>
      </c>
      <c r="K2" s="65" t="s">
        <v>89</v>
      </c>
      <c r="L2" s="65" t="s">
        <v>158</v>
      </c>
      <c r="M2" s="66" t="s">
        <v>159</v>
      </c>
    </row>
    <row r="3" customHeight="1" spans="1:13">
      <c r="A3" s="189" t="s">
        <v>93</v>
      </c>
      <c r="B3" s="20">
        <v>2214.84253724686</v>
      </c>
      <c r="C3" s="23">
        <v>1588.92705022831</v>
      </c>
      <c r="D3" s="23">
        <v>515.520442207971</v>
      </c>
      <c r="E3" s="23">
        <v>405</v>
      </c>
      <c r="F3" s="23">
        <v>2234.48821767336</v>
      </c>
      <c r="G3" s="23">
        <v>2240.92196360763</v>
      </c>
      <c r="H3" s="54"/>
      <c r="I3" s="22">
        <v>827</v>
      </c>
      <c r="J3" s="70">
        <f>0.9*I3+50+1000+100+100+20</f>
        <v>2014.3</v>
      </c>
      <c r="K3" s="21">
        <v>1327</v>
      </c>
      <c r="L3" s="21">
        <v>400</v>
      </c>
      <c r="M3" s="54">
        <f>0.9*I3+50+1000</f>
        <v>1794.3</v>
      </c>
    </row>
    <row r="4" customHeight="1" spans="1:13">
      <c r="A4" s="189" t="s">
        <v>94</v>
      </c>
      <c r="B4" s="20">
        <v>2336.52802664836</v>
      </c>
      <c r="C4" s="23">
        <v>1492.503993249</v>
      </c>
      <c r="D4" s="23">
        <v>476.02093638947</v>
      </c>
      <c r="E4" s="23">
        <v>460.535714285714</v>
      </c>
      <c r="F4" s="23">
        <v>2450</v>
      </c>
      <c r="G4" s="23">
        <v>2346.66791853582</v>
      </c>
      <c r="H4" s="54"/>
      <c r="I4" s="21">
        <v>800</v>
      </c>
      <c r="J4" s="70">
        <f t="shared" ref="J4:J67" si="0">0.9*I4+50+1000+100+100+20</f>
        <v>1990</v>
      </c>
      <c r="K4" s="21">
        <v>1491</v>
      </c>
      <c r="L4" s="21">
        <v>400</v>
      </c>
      <c r="M4" s="54">
        <f t="shared" ref="M4:M67" si="1">0.9*I4+50+1000</f>
        <v>1770</v>
      </c>
    </row>
    <row r="5" customHeight="1" spans="1:13">
      <c r="A5" s="189" t="s">
        <v>95</v>
      </c>
      <c r="B5" s="20">
        <v>2486.73561701201</v>
      </c>
      <c r="C5" s="23">
        <v>1433.54884767959</v>
      </c>
      <c r="D5" s="23">
        <v>440.919514490324</v>
      </c>
      <c r="E5" s="23">
        <v>461.806451612903</v>
      </c>
      <c r="F5" s="23">
        <v>2543.22795762239</v>
      </c>
      <c r="G5" s="23">
        <v>2415.56080533126</v>
      </c>
      <c r="H5" s="54"/>
      <c r="I5" s="21">
        <v>770</v>
      </c>
      <c r="J5" s="70">
        <f t="shared" si="0"/>
        <v>1963</v>
      </c>
      <c r="K5" s="21">
        <v>1408</v>
      </c>
      <c r="L5" s="21">
        <v>400</v>
      </c>
      <c r="M5" s="54">
        <f t="shared" si="1"/>
        <v>1743</v>
      </c>
    </row>
    <row r="6" customHeight="1" spans="1:13">
      <c r="A6" s="189" t="s">
        <v>96</v>
      </c>
      <c r="B6" s="20">
        <v>2463.6406471757</v>
      </c>
      <c r="C6" s="23">
        <v>1317.31706169171</v>
      </c>
      <c r="D6" s="23">
        <v>385.271815253007</v>
      </c>
      <c r="E6" s="23">
        <v>432.2</v>
      </c>
      <c r="F6" s="23">
        <v>2585.6642</v>
      </c>
      <c r="G6" s="23">
        <v>2475.494936328</v>
      </c>
      <c r="H6" s="54"/>
      <c r="I6" s="21">
        <v>735</v>
      </c>
      <c r="J6" s="70">
        <f t="shared" si="0"/>
        <v>1931.5</v>
      </c>
      <c r="K6" s="21">
        <v>1104</v>
      </c>
      <c r="L6" s="21">
        <v>380</v>
      </c>
      <c r="M6" s="54">
        <f t="shared" si="1"/>
        <v>1711.5</v>
      </c>
    </row>
    <row r="7" customHeight="1" spans="1:13">
      <c r="A7" s="189" t="s">
        <v>97</v>
      </c>
      <c r="B7" s="20">
        <v>2421.16058906031</v>
      </c>
      <c r="C7" s="23">
        <v>1259.85140896059</v>
      </c>
      <c r="D7" s="23">
        <v>317.634032387731</v>
      </c>
      <c r="E7" s="23">
        <v>434.354838709677</v>
      </c>
      <c r="F7" s="23">
        <v>2420</v>
      </c>
      <c r="G7" s="23">
        <v>2429.40340909091</v>
      </c>
      <c r="H7" s="54"/>
      <c r="I7" s="21">
        <v>695</v>
      </c>
      <c r="J7" s="70">
        <f t="shared" si="0"/>
        <v>1895.5</v>
      </c>
      <c r="K7" s="21">
        <v>1307</v>
      </c>
      <c r="L7" s="21">
        <v>380</v>
      </c>
      <c r="M7" s="54">
        <f t="shared" si="1"/>
        <v>1675.5</v>
      </c>
    </row>
    <row r="8" customHeight="1" spans="1:13">
      <c r="A8" s="189" t="s">
        <v>98</v>
      </c>
      <c r="B8" s="20">
        <v>2389.98441831522</v>
      </c>
      <c r="C8" s="23">
        <v>1234.70996998136</v>
      </c>
      <c r="D8" s="23">
        <v>289.514252369965</v>
      </c>
      <c r="E8" s="23">
        <v>436.6</v>
      </c>
      <c r="F8" s="23">
        <v>2507.9257408834</v>
      </c>
      <c r="G8" s="23">
        <v>2433.2803652407</v>
      </c>
      <c r="H8" s="54"/>
      <c r="I8" s="21">
        <v>695</v>
      </c>
      <c r="J8" s="70">
        <f t="shared" si="0"/>
        <v>1895.5</v>
      </c>
      <c r="K8" s="21">
        <v>1315</v>
      </c>
      <c r="L8" s="21">
        <v>380</v>
      </c>
      <c r="M8" s="54">
        <f t="shared" si="1"/>
        <v>1675.5</v>
      </c>
    </row>
    <row r="9" customHeight="1" spans="1:13">
      <c r="A9" s="189" t="s">
        <v>99</v>
      </c>
      <c r="B9" s="20">
        <v>2517.10202679492</v>
      </c>
      <c r="C9" s="23">
        <v>1314.48078347825</v>
      </c>
      <c r="D9" s="23">
        <v>286.555653551177</v>
      </c>
      <c r="E9" s="23">
        <v>436.806451612903</v>
      </c>
      <c r="F9" s="23">
        <v>2516.4097</v>
      </c>
      <c r="G9" s="23">
        <v>2550</v>
      </c>
      <c r="H9" s="54"/>
      <c r="I9" s="21">
        <v>671</v>
      </c>
      <c r="J9" s="70">
        <f t="shared" si="0"/>
        <v>1873.9</v>
      </c>
      <c r="K9" s="21">
        <v>1361</v>
      </c>
      <c r="L9" s="21">
        <v>380</v>
      </c>
      <c r="M9" s="54">
        <f t="shared" si="1"/>
        <v>1653.9</v>
      </c>
    </row>
    <row r="10" customHeight="1" spans="1:13">
      <c r="A10" s="189" t="s">
        <v>100</v>
      </c>
      <c r="B10" s="20">
        <v>2610.32495749103</v>
      </c>
      <c r="C10" s="23">
        <v>1298.96048311823</v>
      </c>
      <c r="D10" s="23">
        <v>283.399136284479</v>
      </c>
      <c r="E10" s="23">
        <v>455.322580645161</v>
      </c>
      <c r="F10" s="23">
        <v>2595.45454545455</v>
      </c>
      <c r="G10" s="23">
        <v>2650</v>
      </c>
      <c r="H10" s="54"/>
      <c r="I10" s="21">
        <v>667</v>
      </c>
      <c r="J10" s="70">
        <f t="shared" si="0"/>
        <v>1870.3</v>
      </c>
      <c r="K10" s="21">
        <v>1291</v>
      </c>
      <c r="L10" s="21">
        <v>380</v>
      </c>
      <c r="M10" s="54">
        <f t="shared" si="1"/>
        <v>1650.3</v>
      </c>
    </row>
    <row r="11" customHeight="1" spans="1:13">
      <c r="A11" s="189" t="s">
        <v>101</v>
      </c>
      <c r="B11" s="20">
        <v>2740.58145892879</v>
      </c>
      <c r="C11" s="23">
        <v>1326.43481877772</v>
      </c>
      <c r="D11" s="23">
        <v>286.926443152092</v>
      </c>
      <c r="E11" s="23">
        <v>472.933333333333</v>
      </c>
      <c r="F11" s="23">
        <v>2745</v>
      </c>
      <c r="G11" s="23">
        <v>2682.94764397906</v>
      </c>
      <c r="H11" s="54"/>
      <c r="I11" s="21">
        <v>657</v>
      </c>
      <c r="J11" s="70">
        <f t="shared" si="0"/>
        <v>1861.3</v>
      </c>
      <c r="K11" s="21">
        <v>1197</v>
      </c>
      <c r="L11" s="21">
        <v>380</v>
      </c>
      <c r="M11" s="54">
        <f t="shared" si="1"/>
        <v>1641.3</v>
      </c>
    </row>
    <row r="12" customHeight="1" spans="1:13">
      <c r="A12" s="189" t="s">
        <v>102</v>
      </c>
      <c r="B12" s="20">
        <v>2534.15628220744</v>
      </c>
      <c r="C12" s="23">
        <v>1374.44971510859</v>
      </c>
      <c r="D12" s="23">
        <v>286.634564185174</v>
      </c>
      <c r="E12" s="23">
        <v>475</v>
      </c>
      <c r="F12" s="23">
        <v>2515</v>
      </c>
      <c r="G12" s="23">
        <v>2552.77110659523</v>
      </c>
      <c r="H12" s="54"/>
      <c r="I12" s="21">
        <v>657</v>
      </c>
      <c r="J12" s="70">
        <f t="shared" si="0"/>
        <v>1861.3</v>
      </c>
      <c r="K12" s="21">
        <v>1024</v>
      </c>
      <c r="L12" s="21">
        <v>380</v>
      </c>
      <c r="M12" s="54">
        <f t="shared" si="1"/>
        <v>1641.3</v>
      </c>
    </row>
    <row r="13" customHeight="1" spans="1:13">
      <c r="A13" s="189" t="s">
        <v>103</v>
      </c>
      <c r="B13" s="20">
        <v>2670.66059399294</v>
      </c>
      <c r="C13" s="23">
        <v>1375.26268743738</v>
      </c>
      <c r="D13" s="23">
        <v>261.652541691669</v>
      </c>
      <c r="E13" s="23">
        <v>474.2</v>
      </c>
      <c r="F13" s="23">
        <v>2691.17660292463</v>
      </c>
      <c r="G13" s="23">
        <v>2556.40573318633</v>
      </c>
      <c r="H13" s="54"/>
      <c r="I13" s="21">
        <v>677</v>
      </c>
      <c r="J13" s="70">
        <f t="shared" si="0"/>
        <v>1879.3</v>
      </c>
      <c r="K13" s="21">
        <v>1145</v>
      </c>
      <c r="L13" s="21">
        <v>380</v>
      </c>
      <c r="M13" s="54">
        <f t="shared" si="1"/>
        <v>1659.3</v>
      </c>
    </row>
    <row r="14" customHeight="1" spans="1:13">
      <c r="A14" s="189" t="s">
        <v>104</v>
      </c>
      <c r="B14" s="20">
        <v>2577.81847622475</v>
      </c>
      <c r="C14" s="23">
        <v>1352.11072482467</v>
      </c>
      <c r="D14" s="23">
        <v>258.989651263592</v>
      </c>
      <c r="E14" s="23">
        <v>467</v>
      </c>
      <c r="F14" s="23">
        <v>2578.75806451613</v>
      </c>
      <c r="G14" s="23">
        <v>2577.02029791149</v>
      </c>
      <c r="H14" s="54"/>
      <c r="I14" s="21">
        <v>677</v>
      </c>
      <c r="J14" s="70">
        <f t="shared" si="0"/>
        <v>1879.3</v>
      </c>
      <c r="K14" s="21">
        <v>1314</v>
      </c>
      <c r="L14" s="21">
        <v>380</v>
      </c>
      <c r="M14" s="54">
        <f t="shared" si="1"/>
        <v>1659.3</v>
      </c>
    </row>
    <row r="15" customHeight="1" spans="1:13">
      <c r="A15" s="189" t="s">
        <v>105</v>
      </c>
      <c r="B15" s="20">
        <v>2589.44395831942</v>
      </c>
      <c r="C15" s="23">
        <v>1398.49361910761</v>
      </c>
      <c r="D15" s="23">
        <v>255.216763232907</v>
      </c>
      <c r="E15" s="23">
        <v>467</v>
      </c>
      <c r="F15" s="23">
        <v>2593.02935257875</v>
      </c>
      <c r="G15" s="23">
        <v>2585.27324220443</v>
      </c>
      <c r="H15" s="54"/>
      <c r="I15" s="21">
        <v>677</v>
      </c>
      <c r="J15" s="70">
        <f t="shared" si="0"/>
        <v>1879.3</v>
      </c>
      <c r="K15" s="21">
        <v>1372</v>
      </c>
      <c r="L15" s="21">
        <v>390</v>
      </c>
      <c r="M15" s="54">
        <f t="shared" si="1"/>
        <v>1659.3</v>
      </c>
    </row>
    <row r="16" customHeight="1" spans="1:13">
      <c r="A16" s="189" t="s">
        <v>106</v>
      </c>
      <c r="B16" s="20">
        <v>2675.03974390694</v>
      </c>
      <c r="C16" s="23">
        <v>1377.97471890806</v>
      </c>
      <c r="D16" s="23">
        <v>253.795926674829</v>
      </c>
      <c r="E16" s="23">
        <v>471.928571428571</v>
      </c>
      <c r="F16" s="23">
        <v>2723.86926371742</v>
      </c>
      <c r="G16" s="23">
        <v>2632.93579938716</v>
      </c>
      <c r="H16" s="54"/>
      <c r="I16" s="21">
        <v>677</v>
      </c>
      <c r="J16" s="70">
        <f t="shared" si="0"/>
        <v>1879.3</v>
      </c>
      <c r="K16" s="21">
        <v>1354</v>
      </c>
      <c r="L16" s="21">
        <v>390</v>
      </c>
      <c r="M16" s="54">
        <f t="shared" si="1"/>
        <v>1659.3</v>
      </c>
    </row>
    <row r="17" customHeight="1" spans="1:13">
      <c r="A17" s="189" t="s">
        <v>107</v>
      </c>
      <c r="B17" s="20">
        <v>2661.9709258682</v>
      </c>
      <c r="C17" s="23">
        <v>1369.90454546865</v>
      </c>
      <c r="D17" s="23">
        <v>277.899289820565</v>
      </c>
      <c r="E17" s="23">
        <v>474.677419354839</v>
      </c>
      <c r="F17" s="23">
        <v>2678.10456110155</v>
      </c>
      <c r="G17" s="23">
        <v>2643.94817508234</v>
      </c>
      <c r="H17" s="54"/>
      <c r="I17" s="21">
        <v>642</v>
      </c>
      <c r="J17" s="70">
        <f t="shared" si="0"/>
        <v>1847.8</v>
      </c>
      <c r="K17" s="21">
        <v>1370</v>
      </c>
      <c r="L17" s="21">
        <v>380</v>
      </c>
      <c r="M17" s="54">
        <f t="shared" si="1"/>
        <v>1627.8</v>
      </c>
    </row>
    <row r="18" customHeight="1" spans="1:13">
      <c r="A18" s="189" t="s">
        <v>108</v>
      </c>
      <c r="B18" s="20">
        <v>2677.49744307477</v>
      </c>
      <c r="C18" s="23">
        <v>1378.88046435576</v>
      </c>
      <c r="D18" s="23">
        <v>299.873912985391</v>
      </c>
      <c r="E18" s="23">
        <v>471.5</v>
      </c>
      <c r="F18" s="23">
        <v>2670.83878903305</v>
      </c>
      <c r="G18" s="23">
        <v>2697.87459322939</v>
      </c>
      <c r="H18" s="54"/>
      <c r="I18" s="21">
        <v>612</v>
      </c>
      <c r="J18" s="70">
        <f t="shared" si="0"/>
        <v>1820.8</v>
      </c>
      <c r="K18" s="21">
        <v>1171</v>
      </c>
      <c r="L18" s="21">
        <v>380</v>
      </c>
      <c r="M18" s="54">
        <f t="shared" si="1"/>
        <v>1600.8</v>
      </c>
    </row>
    <row r="19" customHeight="1" spans="1:13">
      <c r="A19" s="189" t="s">
        <v>109</v>
      </c>
      <c r="B19" s="20">
        <v>2720.9215171283</v>
      </c>
      <c r="C19" s="23">
        <v>1429.93926595859</v>
      </c>
      <c r="D19" s="23">
        <v>332.416697926263</v>
      </c>
      <c r="E19" s="23">
        <v>461.483870967742</v>
      </c>
      <c r="F19" s="23">
        <v>2723.52989417173</v>
      </c>
      <c r="G19" s="23">
        <v>2697.04333458081</v>
      </c>
      <c r="H19" s="54"/>
      <c r="I19" s="21">
        <v>612</v>
      </c>
      <c r="J19" s="70">
        <f t="shared" si="0"/>
        <v>1820.8</v>
      </c>
      <c r="K19" s="21">
        <v>1168</v>
      </c>
      <c r="L19" s="21">
        <v>380</v>
      </c>
      <c r="M19" s="54">
        <f t="shared" si="1"/>
        <v>1600.8</v>
      </c>
    </row>
    <row r="20" customHeight="1" spans="1:13">
      <c r="A20" s="189" t="s">
        <v>110</v>
      </c>
      <c r="B20" s="20">
        <v>2716.1916328704</v>
      </c>
      <c r="C20" s="23">
        <v>1551.24001627718</v>
      </c>
      <c r="D20" s="23">
        <v>355.463483776309</v>
      </c>
      <c r="E20" s="23">
        <v>463.5</v>
      </c>
      <c r="F20" s="23">
        <v>2717.85298207966</v>
      </c>
      <c r="G20" s="23">
        <v>2701.50809792844</v>
      </c>
      <c r="H20" s="54"/>
      <c r="I20" s="21">
        <v>612</v>
      </c>
      <c r="J20" s="70">
        <f t="shared" si="0"/>
        <v>1820.8</v>
      </c>
      <c r="K20" s="21">
        <v>1250</v>
      </c>
      <c r="L20" s="21">
        <v>380</v>
      </c>
      <c r="M20" s="54">
        <f t="shared" si="1"/>
        <v>1600.8</v>
      </c>
    </row>
    <row r="21" customHeight="1" spans="1:13">
      <c r="A21" s="189" t="s">
        <v>111</v>
      </c>
      <c r="B21" s="20">
        <v>2717.93069292358</v>
      </c>
      <c r="C21" s="23">
        <v>1542.09863481939</v>
      </c>
      <c r="D21" s="23">
        <v>468.419530540661</v>
      </c>
      <c r="E21" s="23">
        <v>465.064516129032</v>
      </c>
      <c r="F21" s="23">
        <v>2720.44698748374</v>
      </c>
      <c r="G21" s="23">
        <v>2700.887770278</v>
      </c>
      <c r="H21" s="54"/>
      <c r="I21" s="21">
        <v>578</v>
      </c>
      <c r="J21" s="70">
        <f t="shared" si="0"/>
        <v>1790.2</v>
      </c>
      <c r="K21" s="21">
        <v>1268</v>
      </c>
      <c r="L21" s="21">
        <v>380</v>
      </c>
      <c r="M21" s="54">
        <f t="shared" si="1"/>
        <v>1570.2</v>
      </c>
    </row>
    <row r="22" customHeight="1" spans="1:13">
      <c r="A22" s="189" t="s">
        <v>112</v>
      </c>
      <c r="B22" s="20">
        <v>2742.67950489356</v>
      </c>
      <c r="C22" s="23">
        <v>1400.29318994329</v>
      </c>
      <c r="D22" s="23">
        <v>564.905336401582</v>
      </c>
      <c r="E22" s="23">
        <v>461.967741935484</v>
      </c>
      <c r="F22" s="23">
        <v>2749.54538226371</v>
      </c>
      <c r="G22" s="23">
        <v>2666.1769513423</v>
      </c>
      <c r="H22" s="54"/>
      <c r="I22" s="21">
        <v>558</v>
      </c>
      <c r="J22" s="70">
        <f t="shared" si="0"/>
        <v>1772.2</v>
      </c>
      <c r="K22" s="21">
        <v>1201</v>
      </c>
      <c r="L22" s="21">
        <v>370</v>
      </c>
      <c r="M22" s="54">
        <f t="shared" si="1"/>
        <v>1552.2</v>
      </c>
    </row>
    <row r="23" customHeight="1" spans="1:13">
      <c r="A23" s="189" t="s">
        <v>113</v>
      </c>
      <c r="B23" s="20">
        <v>2730.55121921408</v>
      </c>
      <c r="C23" s="23">
        <v>1347.09377048916</v>
      </c>
      <c r="D23" s="23">
        <v>585.745658362928</v>
      </c>
      <c r="E23" s="23">
        <v>448.5</v>
      </c>
      <c r="F23" s="23">
        <v>2765.29623038343</v>
      </c>
      <c r="G23" s="23">
        <v>2677.47026292211</v>
      </c>
      <c r="H23" s="54"/>
      <c r="I23" s="21">
        <v>558</v>
      </c>
      <c r="J23" s="70">
        <f t="shared" si="0"/>
        <v>1772.2</v>
      </c>
      <c r="K23" s="21">
        <v>1063</v>
      </c>
      <c r="L23" s="21">
        <v>370</v>
      </c>
      <c r="M23" s="54">
        <f t="shared" si="1"/>
        <v>1552.2</v>
      </c>
    </row>
    <row r="24" customHeight="1" spans="1:13">
      <c r="A24" s="189" t="s">
        <v>114</v>
      </c>
      <c r="B24" s="20">
        <v>2667.02778840469</v>
      </c>
      <c r="C24" s="23">
        <v>1178.57246461812</v>
      </c>
      <c r="D24" s="23">
        <v>467.947016325529</v>
      </c>
      <c r="E24" s="23">
        <v>433.741935483871</v>
      </c>
      <c r="F24" s="23">
        <v>2670.06345733042</v>
      </c>
      <c r="G24" s="23">
        <v>2655.27697780789</v>
      </c>
      <c r="H24" s="54"/>
      <c r="I24" s="21">
        <v>539</v>
      </c>
      <c r="J24" s="70">
        <f t="shared" si="0"/>
        <v>1755.1</v>
      </c>
      <c r="K24" s="21">
        <v>1048</v>
      </c>
      <c r="L24" s="21">
        <v>370</v>
      </c>
      <c r="M24" s="54">
        <f t="shared" si="1"/>
        <v>1535.1</v>
      </c>
    </row>
    <row r="25" customHeight="1" spans="1:13">
      <c r="A25" s="189" t="s">
        <v>115</v>
      </c>
      <c r="B25" s="20">
        <v>2482.10788631239</v>
      </c>
      <c r="C25" s="23">
        <v>1254.00780654598</v>
      </c>
      <c r="D25" s="23">
        <v>396.976853701878</v>
      </c>
      <c r="E25" s="23">
        <v>412.666666666667</v>
      </c>
      <c r="F25" s="23">
        <v>2480.76568138752</v>
      </c>
      <c r="G25" s="23">
        <v>2498.09835358401</v>
      </c>
      <c r="H25" s="54"/>
      <c r="I25" s="21">
        <v>517</v>
      </c>
      <c r="J25" s="70">
        <f t="shared" si="0"/>
        <v>1735.3</v>
      </c>
      <c r="K25" s="21">
        <v>1140</v>
      </c>
      <c r="L25" s="21">
        <v>370</v>
      </c>
      <c r="M25" s="54">
        <f t="shared" si="1"/>
        <v>1515.3</v>
      </c>
    </row>
    <row r="26" customHeight="1" spans="1:13">
      <c r="A26" s="189" t="s">
        <v>116</v>
      </c>
      <c r="B26" s="20">
        <v>2479.72486912659</v>
      </c>
      <c r="C26" s="23">
        <v>1226.40025913383</v>
      </c>
      <c r="D26" s="23">
        <v>362.937390996634</v>
      </c>
      <c r="E26" s="23">
        <v>396.612903225806</v>
      </c>
      <c r="F26" s="23">
        <v>2512.36338178424</v>
      </c>
      <c r="G26" s="23">
        <v>2397.76</v>
      </c>
      <c r="H26" s="54"/>
      <c r="I26" s="21">
        <v>517</v>
      </c>
      <c r="J26" s="70">
        <f t="shared" si="0"/>
        <v>1735.3</v>
      </c>
      <c r="K26" s="21">
        <v>1080</v>
      </c>
      <c r="L26" s="21">
        <v>370</v>
      </c>
      <c r="M26" s="54">
        <f t="shared" si="1"/>
        <v>1515.3</v>
      </c>
    </row>
    <row r="27" customHeight="1" spans="1:13">
      <c r="A27" s="189" t="s">
        <v>117</v>
      </c>
      <c r="B27" s="20">
        <v>2369.13681408076</v>
      </c>
      <c r="C27" s="23">
        <v>1152.0802818399</v>
      </c>
      <c r="D27" s="23">
        <v>352.178503533969</v>
      </c>
      <c r="E27" s="23">
        <v>384.032258064516</v>
      </c>
      <c r="F27" s="23">
        <v>2426.97776385844</v>
      </c>
      <c r="G27" s="23">
        <v>2339.69255787258</v>
      </c>
      <c r="H27" s="54"/>
      <c r="I27" s="21">
        <v>519</v>
      </c>
      <c r="J27" s="70">
        <f t="shared" si="0"/>
        <v>1737.1</v>
      </c>
      <c r="K27" s="21">
        <v>945</v>
      </c>
      <c r="L27" s="21">
        <v>350</v>
      </c>
      <c r="M27" s="54">
        <f t="shared" si="1"/>
        <v>1517.1</v>
      </c>
    </row>
    <row r="28" customHeight="1" spans="1:13">
      <c r="A28" s="189" t="s">
        <v>118</v>
      </c>
      <c r="B28" s="20">
        <v>2389.92058776453</v>
      </c>
      <c r="C28" s="23">
        <v>1099.71427005699</v>
      </c>
      <c r="D28" s="23">
        <v>341.438905577186</v>
      </c>
      <c r="E28" s="23">
        <v>356.206896551724</v>
      </c>
      <c r="F28" s="23">
        <v>2442.1236433596</v>
      </c>
      <c r="G28" s="23">
        <v>2352.45962523389</v>
      </c>
      <c r="H28" s="54"/>
      <c r="I28" s="21">
        <v>519</v>
      </c>
      <c r="J28" s="70">
        <f t="shared" si="0"/>
        <v>1737.1</v>
      </c>
      <c r="K28" s="21">
        <v>841</v>
      </c>
      <c r="L28" s="21">
        <v>350</v>
      </c>
      <c r="M28" s="54">
        <f t="shared" si="1"/>
        <v>1517.1</v>
      </c>
    </row>
    <row r="29" customHeight="1" spans="1:13">
      <c r="A29" s="189" t="s">
        <v>119</v>
      </c>
      <c r="B29" s="20">
        <v>2353.80782960241</v>
      </c>
      <c r="C29" s="23">
        <v>1111.10634335521</v>
      </c>
      <c r="D29" s="23">
        <v>365.107578159132</v>
      </c>
      <c r="E29" s="23">
        <v>338.870967741935</v>
      </c>
      <c r="F29" s="23">
        <v>2390.65370561836</v>
      </c>
      <c r="G29" s="23">
        <v>2352.28826123075</v>
      </c>
      <c r="H29" s="54"/>
      <c r="I29" s="21">
        <v>519</v>
      </c>
      <c r="J29" s="70">
        <f t="shared" si="0"/>
        <v>1737.1</v>
      </c>
      <c r="K29" s="21">
        <v>760</v>
      </c>
      <c r="L29" s="21">
        <v>350</v>
      </c>
      <c r="M29" s="54">
        <f t="shared" si="1"/>
        <v>1517.1</v>
      </c>
    </row>
    <row r="30" customHeight="1" spans="1:13">
      <c r="A30" s="189" t="s">
        <v>120</v>
      </c>
      <c r="B30" s="20">
        <v>2228.75944609667</v>
      </c>
      <c r="C30" s="23">
        <v>1135.45380035451</v>
      </c>
      <c r="D30" s="23">
        <v>437.634487079896</v>
      </c>
      <c r="E30" s="23">
        <v>331.366666666667</v>
      </c>
      <c r="F30" s="23">
        <v>2103.60832049862</v>
      </c>
      <c r="G30" s="23">
        <v>2340.29463344702</v>
      </c>
      <c r="H30" s="54"/>
      <c r="I30" s="21">
        <v>509</v>
      </c>
      <c r="J30" s="70">
        <f t="shared" si="0"/>
        <v>1728.1</v>
      </c>
      <c r="K30" s="21">
        <v>767</v>
      </c>
      <c r="L30" s="21">
        <v>350</v>
      </c>
      <c r="M30" s="54">
        <f t="shared" si="1"/>
        <v>1508.1</v>
      </c>
    </row>
    <row r="31" customHeight="1" spans="1:28">
      <c r="A31" s="189" t="s">
        <v>121</v>
      </c>
      <c r="B31" s="20">
        <v>2057.65408377272</v>
      </c>
      <c r="C31" s="23">
        <v>1049.31551800114</v>
      </c>
      <c r="D31" s="23">
        <v>456.062526396231</v>
      </c>
      <c r="E31" s="23">
        <v>332.677419354839</v>
      </c>
      <c r="F31" s="23">
        <v>2016.55535160104</v>
      </c>
      <c r="G31" s="23">
        <v>2202.06812646177</v>
      </c>
      <c r="H31" s="54"/>
      <c r="I31" s="21">
        <v>529</v>
      </c>
      <c r="J31" s="70">
        <f t="shared" si="0"/>
        <v>1746.1</v>
      </c>
      <c r="K31" s="21">
        <v>753</v>
      </c>
      <c r="L31" s="21">
        <v>350</v>
      </c>
      <c r="M31" s="54">
        <f t="shared" si="1"/>
        <v>1526.1</v>
      </c>
      <c r="N31" s="71" t="s">
        <v>92</v>
      </c>
      <c r="O31" s="72" t="s">
        <v>93</v>
      </c>
      <c r="P31" s="73" t="s">
        <v>160</v>
      </c>
      <c r="Q31" s="72" t="s">
        <v>94</v>
      </c>
      <c r="R31" s="72" t="s">
        <v>95</v>
      </c>
      <c r="S31" s="72" t="s">
        <v>96</v>
      </c>
      <c r="T31" s="72" t="s">
        <v>97</v>
      </c>
      <c r="U31" s="72" t="s">
        <v>98</v>
      </c>
      <c r="V31" s="72" t="s">
        <v>99</v>
      </c>
      <c r="W31" s="72" t="s">
        <v>100</v>
      </c>
      <c r="X31" s="73" t="s">
        <v>161</v>
      </c>
      <c r="Y31" s="72" t="s">
        <v>101</v>
      </c>
      <c r="Z31" s="72" t="s">
        <v>102</v>
      </c>
      <c r="AA31" s="72" t="s">
        <v>103</v>
      </c>
      <c r="AB31" s="72" t="s">
        <v>104</v>
      </c>
    </row>
    <row r="32" customHeight="1" spans="1:28">
      <c r="A32" s="189" t="s">
        <v>122</v>
      </c>
      <c r="B32" s="20">
        <v>2037.73913355371</v>
      </c>
      <c r="C32" s="23">
        <v>1070.64104274138</v>
      </c>
      <c r="D32" s="23">
        <v>411.52362445353</v>
      </c>
      <c r="E32" s="23">
        <v>330.733333333333</v>
      </c>
      <c r="F32" s="23">
        <v>2023.53828225946</v>
      </c>
      <c r="G32" s="23">
        <v>2129.5280011671</v>
      </c>
      <c r="H32" s="54"/>
      <c r="I32" s="21">
        <v>539</v>
      </c>
      <c r="J32" s="70">
        <f t="shared" si="0"/>
        <v>1755.1</v>
      </c>
      <c r="K32" s="21">
        <v>711</v>
      </c>
      <c r="L32" s="21">
        <v>350</v>
      </c>
      <c r="M32" s="54">
        <f t="shared" si="1"/>
        <v>1535.1</v>
      </c>
      <c r="N32" s="74" t="s">
        <v>60</v>
      </c>
      <c r="O32" s="75">
        <v>2214.84253724686</v>
      </c>
      <c r="P32" s="76">
        <f>AVERAGE(Q32:S32)/AVERAGE(O32)-1</f>
        <v>0.0966775543170952</v>
      </c>
      <c r="Q32" s="75">
        <v>2336.52802664836</v>
      </c>
      <c r="R32" s="75">
        <v>2486.73561701201</v>
      </c>
      <c r="S32" s="75">
        <v>2463.6406471757</v>
      </c>
      <c r="T32" s="75">
        <v>2421.16058906031</v>
      </c>
      <c r="U32" s="75">
        <v>2389.98441831522</v>
      </c>
      <c r="V32" s="75">
        <v>2517.10202679492</v>
      </c>
      <c r="W32" s="75">
        <v>2610.32495749103</v>
      </c>
      <c r="X32" s="76">
        <f>AVERAGE(Y32:Z32)/AVERAGE(V32:W32)-1</f>
        <v>0.0287299570138675</v>
      </c>
      <c r="Y32" s="75">
        <v>2740.58145892879</v>
      </c>
      <c r="Z32" s="75">
        <v>2534.15628220744</v>
      </c>
      <c r="AA32" s="75">
        <v>2670.66059399294</v>
      </c>
      <c r="AB32" s="75">
        <v>2577.81847622475</v>
      </c>
    </row>
    <row r="33" customHeight="1" spans="1:28">
      <c r="A33" s="189" t="s">
        <v>123</v>
      </c>
      <c r="B33" s="20">
        <v>2060.64942722881</v>
      </c>
      <c r="C33" s="23">
        <v>1022.48945731169</v>
      </c>
      <c r="D33" s="23">
        <v>411.729545237597</v>
      </c>
      <c r="E33" s="23">
        <v>329.806451612903</v>
      </c>
      <c r="F33" s="23">
        <v>2062.22316724609</v>
      </c>
      <c r="G33" s="23">
        <v>2050.06380901857</v>
      </c>
      <c r="H33" s="54"/>
      <c r="I33" s="21">
        <v>539</v>
      </c>
      <c r="J33" s="70">
        <f t="shared" si="0"/>
        <v>1755.1</v>
      </c>
      <c r="K33" s="21">
        <v>669</v>
      </c>
      <c r="L33" s="21">
        <v>350</v>
      </c>
      <c r="M33" s="54">
        <f t="shared" si="1"/>
        <v>1535.1</v>
      </c>
      <c r="N33" s="74" t="s">
        <v>151</v>
      </c>
      <c r="O33" s="75">
        <v>1588.92705022831</v>
      </c>
      <c r="P33" s="76">
        <f t="shared" ref="P33:P34" si="2">AVERAGE(Q33:S33)/AVERAGE(O33)-1</f>
        <v>-0.109803918308568</v>
      </c>
      <c r="Q33" s="75">
        <v>1492.503993249</v>
      </c>
      <c r="R33" s="75">
        <v>1433.54884767959</v>
      </c>
      <c r="S33" s="75">
        <v>1317.31706169171</v>
      </c>
      <c r="T33" s="75">
        <v>1259.85140896059</v>
      </c>
      <c r="U33" s="75">
        <v>1234.70996998136</v>
      </c>
      <c r="V33" s="75">
        <v>1314.48078347825</v>
      </c>
      <c r="W33" s="75">
        <v>1298.96048311823</v>
      </c>
      <c r="X33" s="76">
        <f>AVERAGE(Y33:Z33)/AVERAGE(V33:W33)-1</f>
        <v>0.033459052019833</v>
      </c>
      <c r="Y33" s="75">
        <v>1326.43481877772</v>
      </c>
      <c r="Z33" s="75">
        <v>1374.44971510859</v>
      </c>
      <c r="AA33" s="75">
        <v>1375.26268743738</v>
      </c>
      <c r="AB33" s="75">
        <v>1352.11072482467</v>
      </c>
    </row>
    <row r="34" customHeight="1" spans="1:28">
      <c r="A34" s="189" t="s">
        <v>124</v>
      </c>
      <c r="B34" s="20">
        <v>2102.88971363419</v>
      </c>
      <c r="C34" s="23">
        <v>1036.99390352267</v>
      </c>
      <c r="D34" s="23">
        <v>395.942855178443</v>
      </c>
      <c r="E34" s="23">
        <v>327.161290322581</v>
      </c>
      <c r="F34" s="23">
        <v>2109.43813769265</v>
      </c>
      <c r="G34" s="23">
        <v>2035.73426573427</v>
      </c>
      <c r="H34" s="54"/>
      <c r="I34" s="21">
        <v>519</v>
      </c>
      <c r="J34" s="70">
        <f t="shared" si="0"/>
        <v>1737.1</v>
      </c>
      <c r="K34" s="21">
        <v>689</v>
      </c>
      <c r="L34" s="21">
        <v>340</v>
      </c>
      <c r="M34" s="54">
        <f t="shared" si="1"/>
        <v>1517.1</v>
      </c>
      <c r="N34" s="74" t="s">
        <v>152</v>
      </c>
      <c r="O34" s="75">
        <v>515.520442207971</v>
      </c>
      <c r="P34" s="76">
        <f t="shared" si="2"/>
        <v>-0.157995067046269</v>
      </c>
      <c r="Q34" s="75">
        <v>476.02093638947</v>
      </c>
      <c r="R34" s="75">
        <v>440.919514490324</v>
      </c>
      <c r="S34" s="75">
        <v>385.271815253007</v>
      </c>
      <c r="T34" s="75">
        <v>317.634032387731</v>
      </c>
      <c r="U34" s="75">
        <v>289.514252369965</v>
      </c>
      <c r="V34" s="75">
        <v>286.555653551177</v>
      </c>
      <c r="W34" s="75">
        <v>283.399136284479</v>
      </c>
      <c r="X34" s="76">
        <f>AVERAGE(Y34:Z34)/AVERAGE(V34:W34)-1</f>
        <v>0.00632719921987124</v>
      </c>
      <c r="Y34" s="75">
        <v>286.926443152092</v>
      </c>
      <c r="Z34" s="75">
        <v>286.634564185174</v>
      </c>
      <c r="AA34" s="75">
        <v>261.652541691669</v>
      </c>
      <c r="AB34" s="75">
        <v>258.989651263592</v>
      </c>
    </row>
    <row r="35" customHeight="1" spans="1:28">
      <c r="A35" s="189" t="s">
        <v>125</v>
      </c>
      <c r="B35" s="20">
        <v>2033.45865565588</v>
      </c>
      <c r="C35" s="23">
        <v>905.986552968186</v>
      </c>
      <c r="D35" s="23">
        <v>373.567902420267</v>
      </c>
      <c r="E35" s="23">
        <v>320.4</v>
      </c>
      <c r="F35" s="23">
        <v>2032.08138210353</v>
      </c>
      <c r="G35" s="23">
        <v>2035.43717171717</v>
      </c>
      <c r="H35" s="54"/>
      <c r="I35" s="21">
        <v>659</v>
      </c>
      <c r="J35" s="70">
        <f t="shared" si="0"/>
        <v>1863.1</v>
      </c>
      <c r="K35" s="21">
        <v>729</v>
      </c>
      <c r="L35" s="21">
        <v>340</v>
      </c>
      <c r="M35" s="54">
        <f t="shared" si="1"/>
        <v>1643.1</v>
      </c>
      <c r="N35" s="77"/>
      <c r="O35" s="78" t="s">
        <v>105</v>
      </c>
      <c r="P35" s="76"/>
      <c r="Q35" s="78" t="s">
        <v>106</v>
      </c>
      <c r="R35" s="78" t="s">
        <v>107</v>
      </c>
      <c r="S35" s="78" t="s">
        <v>108</v>
      </c>
      <c r="T35" s="78" t="s">
        <v>109</v>
      </c>
      <c r="U35" s="78" t="s">
        <v>110</v>
      </c>
      <c r="V35" s="78" t="s">
        <v>111</v>
      </c>
      <c r="W35" s="78" t="s">
        <v>112</v>
      </c>
      <c r="X35" s="76"/>
      <c r="Y35" s="78" t="s">
        <v>113</v>
      </c>
      <c r="Z35" s="78" t="s">
        <v>114</v>
      </c>
      <c r="AA35" s="78" t="s">
        <v>115</v>
      </c>
      <c r="AB35" s="78" t="s">
        <v>116</v>
      </c>
    </row>
    <row r="36" customHeight="1" spans="1:28">
      <c r="A36" s="189" t="s">
        <v>126</v>
      </c>
      <c r="B36" s="20">
        <v>1899.75616124342</v>
      </c>
      <c r="C36" s="23">
        <v>995.043607311583</v>
      </c>
      <c r="D36" s="23">
        <v>363.443883735971</v>
      </c>
      <c r="E36" s="23">
        <v>303.290322580645</v>
      </c>
      <c r="F36" s="23">
        <v>1882.36350021208</v>
      </c>
      <c r="G36" s="23">
        <v>2030.18557100635</v>
      </c>
      <c r="H36" s="54"/>
      <c r="I36" s="21">
        <v>779</v>
      </c>
      <c r="J36" s="70">
        <f t="shared" si="0"/>
        <v>1971.1</v>
      </c>
      <c r="K36" s="21">
        <v>763</v>
      </c>
      <c r="L36" s="21">
        <v>340</v>
      </c>
      <c r="M36" s="54">
        <f t="shared" si="1"/>
        <v>1751.1</v>
      </c>
      <c r="N36" s="74" t="s">
        <v>60</v>
      </c>
      <c r="O36" s="75">
        <v>2589.44395831942</v>
      </c>
      <c r="P36" s="76">
        <f>AVERAGE(Q36:S36)/AVERAGE(O36,AA32,AB32)-1</f>
        <v>0.0225295762244502</v>
      </c>
      <c r="Q36" s="75">
        <v>2675.03974390694</v>
      </c>
      <c r="R36" s="75">
        <v>2661.9709258682</v>
      </c>
      <c r="S36" s="75">
        <v>2677.49744307477</v>
      </c>
      <c r="T36" s="75">
        <v>2720.9215171283</v>
      </c>
      <c r="U36" s="75">
        <v>2716.1916328704</v>
      </c>
      <c r="V36" s="75">
        <v>2717.93069292358</v>
      </c>
      <c r="W36" s="75">
        <v>2742.67950489356</v>
      </c>
      <c r="X36" s="76">
        <f>AVERAGE(Y36:Z36)/AVERAGE(V36:W36)-1</f>
        <v>-0.0115428840211973</v>
      </c>
      <c r="Y36" s="75">
        <v>2730.55121921408</v>
      </c>
      <c r="Z36" s="75">
        <v>2667.02778840469</v>
      </c>
      <c r="AA36" s="75">
        <v>2482.10788631239</v>
      </c>
      <c r="AB36" s="75">
        <v>2479.72486912659</v>
      </c>
    </row>
    <row r="37" customHeight="1" spans="1:28">
      <c r="A37" s="189" t="s">
        <v>127</v>
      </c>
      <c r="B37" s="20">
        <v>1955.91103711065</v>
      </c>
      <c r="C37" s="23">
        <v>1077.5492241388</v>
      </c>
      <c r="D37" s="23">
        <v>385.28286013953</v>
      </c>
      <c r="E37" s="23">
        <v>302.566666666667</v>
      </c>
      <c r="F37" s="23">
        <v>1909.27830715491</v>
      </c>
      <c r="G37" s="23">
        <v>2013.81308549089</v>
      </c>
      <c r="H37" s="54"/>
      <c r="I37" s="21">
        <v>779</v>
      </c>
      <c r="J37" s="70">
        <f t="shared" si="0"/>
        <v>1971.1</v>
      </c>
      <c r="K37" s="21">
        <v>870</v>
      </c>
      <c r="L37" s="21">
        <v>340</v>
      </c>
      <c r="M37" s="54">
        <f t="shared" si="1"/>
        <v>1751.1</v>
      </c>
      <c r="N37" s="74" t="s">
        <v>151</v>
      </c>
      <c r="O37" s="75">
        <v>1398.49361910761</v>
      </c>
      <c r="P37" s="76">
        <f t="shared" ref="P37:P54" si="3">AVERAGE(Q37:S37)/AVERAGE(O37,AA33,AB33)-1</f>
        <v>0.00021636600404773</v>
      </c>
      <c r="Q37" s="75">
        <v>1377.97471890806</v>
      </c>
      <c r="R37" s="75">
        <v>1369.90454546865</v>
      </c>
      <c r="S37" s="75">
        <v>1378.88046435576</v>
      </c>
      <c r="T37" s="75">
        <v>1429.93926595859</v>
      </c>
      <c r="U37" s="75">
        <v>1551.24001627718</v>
      </c>
      <c r="V37" s="75">
        <v>1542.09863481939</v>
      </c>
      <c r="W37" s="75">
        <v>1400.29318994329</v>
      </c>
      <c r="X37" s="76">
        <f>AVERAGE(Y37:Z37)/AVERAGE(V37:W37)-1</f>
        <v>-0.141628176828221</v>
      </c>
      <c r="Y37" s="75">
        <v>1347.09377048916</v>
      </c>
      <c r="Z37" s="75">
        <v>1178.57246461812</v>
      </c>
      <c r="AA37" s="75">
        <v>1254.00780654598</v>
      </c>
      <c r="AB37" s="75">
        <v>1226.40025913383</v>
      </c>
    </row>
    <row r="38" customHeight="1" spans="1:28">
      <c r="A38" s="189" t="s">
        <v>128</v>
      </c>
      <c r="B38" s="20">
        <v>1983.90829028131</v>
      </c>
      <c r="C38" s="23">
        <v>1166.94745402768</v>
      </c>
      <c r="D38" s="23">
        <v>452.109371363377</v>
      </c>
      <c r="E38" s="23">
        <v>314.870967741935</v>
      </c>
      <c r="F38" s="23">
        <v>1935.85152262754</v>
      </c>
      <c r="G38" s="23">
        <v>2031.66641562657</v>
      </c>
      <c r="H38" s="54"/>
      <c r="I38" s="21">
        <v>799</v>
      </c>
      <c r="J38" s="70">
        <f t="shared" si="0"/>
        <v>1989.1</v>
      </c>
      <c r="K38" s="21">
        <v>897</v>
      </c>
      <c r="L38" s="21">
        <v>340</v>
      </c>
      <c r="M38" s="54">
        <f t="shared" si="1"/>
        <v>1769.1</v>
      </c>
      <c r="N38" s="74" t="s">
        <v>152</v>
      </c>
      <c r="O38" s="75">
        <v>255.216763232907</v>
      </c>
      <c r="P38" s="76">
        <f t="shared" si="3"/>
        <v>0.0718045114363617</v>
      </c>
      <c r="Q38" s="75">
        <v>253.795926674829</v>
      </c>
      <c r="R38" s="75">
        <v>277.899289820565</v>
      </c>
      <c r="S38" s="75">
        <v>299.873912985391</v>
      </c>
      <c r="T38" s="75">
        <v>332.416697926263</v>
      </c>
      <c r="U38" s="75">
        <v>355.463483776309</v>
      </c>
      <c r="V38" s="75">
        <v>468.419530540661</v>
      </c>
      <c r="W38" s="75">
        <v>564.905336401582</v>
      </c>
      <c r="X38" s="76">
        <f>AVERAGE(Y38:Z38)/AVERAGE(V38:W38)-1</f>
        <v>0.0197109431871945</v>
      </c>
      <c r="Y38" s="75">
        <v>585.745658362928</v>
      </c>
      <c r="Z38" s="75">
        <v>467.947016325529</v>
      </c>
      <c r="AA38" s="75">
        <v>396.976853701878</v>
      </c>
      <c r="AB38" s="75">
        <v>362.937390996634</v>
      </c>
    </row>
    <row r="39" customHeight="1" spans="1:28">
      <c r="A39" s="189" t="s">
        <v>129</v>
      </c>
      <c r="B39" s="20">
        <v>2134.89368553085</v>
      </c>
      <c r="C39" s="23">
        <v>1312.69825124117</v>
      </c>
      <c r="D39" s="23">
        <v>517.874369181871</v>
      </c>
      <c r="E39" s="23">
        <v>343.387096774194</v>
      </c>
      <c r="F39" s="23">
        <v>2109.10397286822</v>
      </c>
      <c r="G39" s="23">
        <v>2165.768103734</v>
      </c>
      <c r="H39" s="54"/>
      <c r="I39" s="21">
        <v>799</v>
      </c>
      <c r="J39" s="70">
        <f t="shared" si="0"/>
        <v>1989.1</v>
      </c>
      <c r="K39" s="21">
        <v>887</v>
      </c>
      <c r="L39" s="21">
        <v>340</v>
      </c>
      <c r="M39" s="54">
        <f t="shared" si="1"/>
        <v>1769.1</v>
      </c>
      <c r="N39" s="77"/>
      <c r="O39" s="78" t="s">
        <v>117</v>
      </c>
      <c r="P39" s="76"/>
      <c r="Q39" s="78" t="s">
        <v>118</v>
      </c>
      <c r="R39" s="78" t="s">
        <v>119</v>
      </c>
      <c r="S39" s="78" t="s">
        <v>120</v>
      </c>
      <c r="T39" s="78" t="s">
        <v>121</v>
      </c>
      <c r="U39" s="78" t="s">
        <v>122</v>
      </c>
      <c r="V39" s="78" t="s">
        <v>123</v>
      </c>
      <c r="W39" s="78" t="s">
        <v>124</v>
      </c>
      <c r="X39" s="76"/>
      <c r="Y39" s="78" t="s">
        <v>125</v>
      </c>
      <c r="Z39" s="78" t="s">
        <v>126</v>
      </c>
      <c r="AA39" s="78" t="s">
        <v>127</v>
      </c>
      <c r="AB39" s="78" t="s">
        <v>128</v>
      </c>
    </row>
    <row r="40" customHeight="1" spans="1:28">
      <c r="A40" s="189" t="s">
        <v>130</v>
      </c>
      <c r="B40" s="20">
        <v>2300.40239887854</v>
      </c>
      <c r="C40" s="23">
        <v>1353.27458920679</v>
      </c>
      <c r="D40" s="23">
        <v>532.704225704805</v>
      </c>
      <c r="E40" s="23">
        <v>362.285714285714</v>
      </c>
      <c r="F40" s="23">
        <v>2286.29479893125</v>
      </c>
      <c r="G40" s="23">
        <v>2305.22927197487</v>
      </c>
      <c r="H40" s="54"/>
      <c r="I40" s="21">
        <v>799</v>
      </c>
      <c r="J40" s="70">
        <f t="shared" si="0"/>
        <v>1989.1</v>
      </c>
      <c r="K40" s="21">
        <v>907</v>
      </c>
      <c r="L40" s="21">
        <v>355</v>
      </c>
      <c r="M40" s="54">
        <f t="shared" si="1"/>
        <v>1769.1</v>
      </c>
      <c r="N40" s="74" t="s">
        <v>60</v>
      </c>
      <c r="O40" s="75">
        <v>2369.13681408076</v>
      </c>
      <c r="P40" s="76">
        <f t="shared" si="3"/>
        <v>-0.0488996308955645</v>
      </c>
      <c r="Q40" s="75">
        <v>2389.92058776453</v>
      </c>
      <c r="R40" s="75">
        <v>2353.80782960241</v>
      </c>
      <c r="S40" s="75">
        <v>2228.75944609667</v>
      </c>
      <c r="T40" s="75">
        <v>2057.65408377272</v>
      </c>
      <c r="U40" s="75">
        <v>2037.73913355371</v>
      </c>
      <c r="V40" s="75">
        <v>2060.64942722881</v>
      </c>
      <c r="W40" s="75">
        <v>2102.88971363419</v>
      </c>
      <c r="X40" s="76">
        <f>AVERAGE(Y40:Z40)/AVERAGE(V40:W40)-1</f>
        <v>-0.0553193608060953</v>
      </c>
      <c r="Y40" s="75">
        <v>2033.45865565588</v>
      </c>
      <c r="Z40" s="75">
        <v>1899.75616124342</v>
      </c>
      <c r="AA40" s="75">
        <v>1955.91103711065</v>
      </c>
      <c r="AB40" s="75">
        <v>1983.90829028131</v>
      </c>
    </row>
    <row r="41" customHeight="1" spans="1:28">
      <c r="A41" s="189" t="s">
        <v>131</v>
      </c>
      <c r="B41" s="20">
        <v>2353.51886407236</v>
      </c>
      <c r="C41" s="23">
        <v>1312.42600418477</v>
      </c>
      <c r="D41" s="23">
        <v>470.461851750416</v>
      </c>
      <c r="E41" s="23">
        <v>367.483870967742</v>
      </c>
      <c r="F41" s="23">
        <v>2354.02099007397</v>
      </c>
      <c r="G41" s="23">
        <v>2353.04135038855</v>
      </c>
      <c r="H41" s="54"/>
      <c r="I41" s="21">
        <v>799</v>
      </c>
      <c r="J41" s="70">
        <f t="shared" si="0"/>
        <v>1989.1</v>
      </c>
      <c r="K41" s="21">
        <v>893</v>
      </c>
      <c r="L41" s="21">
        <v>355</v>
      </c>
      <c r="M41" s="54">
        <f t="shared" si="1"/>
        <v>1769.1</v>
      </c>
      <c r="N41" s="74" t="s">
        <v>151</v>
      </c>
      <c r="O41" s="75">
        <v>1152.0802818399</v>
      </c>
      <c r="P41" s="76">
        <f t="shared" si="3"/>
        <v>-0.0787928016199775</v>
      </c>
      <c r="Q41" s="75">
        <v>1099.71427005699</v>
      </c>
      <c r="R41" s="75">
        <v>1111.10634335521</v>
      </c>
      <c r="S41" s="75">
        <v>1135.45380035451</v>
      </c>
      <c r="T41" s="75">
        <v>1049.31551800114</v>
      </c>
      <c r="U41" s="75">
        <v>1070.64104274138</v>
      </c>
      <c r="V41" s="75">
        <v>1022.48945731169</v>
      </c>
      <c r="W41" s="75">
        <v>1036.99390352267</v>
      </c>
      <c r="X41" s="76">
        <f>AVERAGE(Y41:Z41)/AVERAGE(V41:W41)-1</f>
        <v>-0.0769383251974403</v>
      </c>
      <c r="Y41" s="75">
        <v>905.986552968186</v>
      </c>
      <c r="Z41" s="75">
        <v>995.043607311583</v>
      </c>
      <c r="AA41" s="75">
        <v>1077.5492241388</v>
      </c>
      <c r="AB41" s="75">
        <v>1166.94745402768</v>
      </c>
    </row>
    <row r="42" customHeight="1" spans="1:28">
      <c r="A42" s="189" t="s">
        <v>132</v>
      </c>
      <c r="B42" s="20">
        <v>2376.9914041787</v>
      </c>
      <c r="C42" s="23">
        <v>1330.19586408764</v>
      </c>
      <c r="D42" s="23">
        <v>399.80999332066</v>
      </c>
      <c r="E42" s="23">
        <v>359.233333333333</v>
      </c>
      <c r="F42" s="23">
        <v>2378.89636516743</v>
      </c>
      <c r="G42" s="23">
        <v>2374.0874340423</v>
      </c>
      <c r="H42" s="54"/>
      <c r="I42" s="21">
        <v>836</v>
      </c>
      <c r="J42" s="70">
        <f t="shared" si="0"/>
        <v>2022.4</v>
      </c>
      <c r="K42" s="21">
        <v>803</v>
      </c>
      <c r="L42" s="21">
        <v>355</v>
      </c>
      <c r="M42" s="54">
        <f t="shared" si="1"/>
        <v>1802.4</v>
      </c>
      <c r="N42" s="74" t="s">
        <v>152</v>
      </c>
      <c r="O42" s="75">
        <v>352.178503533969</v>
      </c>
      <c r="P42" s="76">
        <f t="shared" si="3"/>
        <v>0.0288539086643025</v>
      </c>
      <c r="Q42" s="75">
        <v>341.438905577186</v>
      </c>
      <c r="R42" s="75">
        <v>365.107578159132</v>
      </c>
      <c r="S42" s="75">
        <v>437.634487079896</v>
      </c>
      <c r="T42" s="75">
        <v>456.062526396231</v>
      </c>
      <c r="U42" s="75">
        <v>411.52362445353</v>
      </c>
      <c r="V42" s="75">
        <v>411.729545237597</v>
      </c>
      <c r="W42" s="75">
        <v>395.942855178443</v>
      </c>
      <c r="X42" s="76">
        <f>AVERAGE(Y42:Z42)/AVERAGE(V42:W42)-1</f>
        <v>-0.0874867263303835</v>
      </c>
      <c r="Y42" s="75">
        <v>373.567902420267</v>
      </c>
      <c r="Z42" s="75">
        <v>363.443883735971</v>
      </c>
      <c r="AA42" s="75">
        <v>385.28286013953</v>
      </c>
      <c r="AB42" s="75">
        <v>452.109371363377</v>
      </c>
    </row>
    <row r="43" customHeight="1" spans="1:28">
      <c r="A43" s="189" t="s">
        <v>133</v>
      </c>
      <c r="B43" s="20">
        <v>2370.11097779376</v>
      </c>
      <c r="C43" s="23">
        <v>1256.70455999723</v>
      </c>
      <c r="D43" s="23">
        <v>381.196195119294</v>
      </c>
      <c r="E43" s="23">
        <v>350.548387096774</v>
      </c>
      <c r="F43" s="23">
        <v>2376.0101260762</v>
      </c>
      <c r="G43" s="23">
        <v>2321.9835140888</v>
      </c>
      <c r="H43" s="54"/>
      <c r="I43" s="21">
        <v>836</v>
      </c>
      <c r="J43" s="70">
        <f t="shared" si="0"/>
        <v>2022.4</v>
      </c>
      <c r="K43" s="21">
        <v>813</v>
      </c>
      <c r="L43" s="21">
        <v>355</v>
      </c>
      <c r="M43" s="54">
        <f t="shared" si="1"/>
        <v>1802.4</v>
      </c>
      <c r="N43" s="77"/>
      <c r="O43" s="78" t="s">
        <v>129</v>
      </c>
      <c r="P43" s="76"/>
      <c r="Q43" s="78" t="s">
        <v>130</v>
      </c>
      <c r="R43" s="78" t="s">
        <v>131</v>
      </c>
      <c r="S43" s="78" t="s">
        <v>132</v>
      </c>
      <c r="T43" s="78" t="s">
        <v>133</v>
      </c>
      <c r="U43" s="78" t="s">
        <v>134</v>
      </c>
      <c r="V43" s="78" t="s">
        <v>135</v>
      </c>
      <c r="W43" s="78" t="s">
        <v>136</v>
      </c>
      <c r="X43" s="76"/>
      <c r="Y43" s="78" t="s">
        <v>137</v>
      </c>
      <c r="Z43" s="78" t="s">
        <v>138</v>
      </c>
      <c r="AA43" s="78" t="s">
        <v>139</v>
      </c>
      <c r="AB43" s="78" t="s">
        <v>140</v>
      </c>
    </row>
    <row r="44" customHeight="1" spans="1:28">
      <c r="A44" s="189" t="s">
        <v>134</v>
      </c>
      <c r="B44" s="20">
        <v>2285.11727121911</v>
      </c>
      <c r="C44" s="23">
        <v>1342.4411053321</v>
      </c>
      <c r="D44" s="23">
        <v>373.945642683591</v>
      </c>
      <c r="E44" s="23">
        <v>341.433333333333</v>
      </c>
      <c r="F44" s="23">
        <v>2281.11744632855</v>
      </c>
      <c r="G44" s="23">
        <v>2322.59194700326</v>
      </c>
      <c r="H44" s="54"/>
      <c r="I44" s="21">
        <v>811</v>
      </c>
      <c r="J44" s="70">
        <f t="shared" si="0"/>
        <v>1999.9</v>
      </c>
      <c r="K44" s="21">
        <v>837</v>
      </c>
      <c r="L44" s="21">
        <v>355</v>
      </c>
      <c r="M44" s="54">
        <f t="shared" si="1"/>
        <v>1779.9</v>
      </c>
      <c r="N44" s="74" t="s">
        <v>60</v>
      </c>
      <c r="O44" s="75">
        <v>2134.89368553085</v>
      </c>
      <c r="P44" s="76">
        <f t="shared" si="3"/>
        <v>0.157406556025389</v>
      </c>
      <c r="Q44" s="75">
        <v>2300.40239887854</v>
      </c>
      <c r="R44" s="75">
        <v>2353.51886407236</v>
      </c>
      <c r="S44" s="75">
        <v>2376.9914041787</v>
      </c>
      <c r="T44" s="75">
        <v>2370.11097779376</v>
      </c>
      <c r="U44" s="75">
        <v>2285.11727121911</v>
      </c>
      <c r="V44" s="75">
        <v>2235.3890116282</v>
      </c>
      <c r="W44" s="75">
        <v>2225.46747367068</v>
      </c>
      <c r="X44" s="76">
        <f>AVERAGE(Y44:Z44)/AVERAGE(V44:W44)-1</f>
        <v>0.00107053881218722</v>
      </c>
      <c r="Y44" s="75">
        <v>2229.89952883193</v>
      </c>
      <c r="Z44" s="75">
        <v>2235.73247647006</v>
      </c>
      <c r="AA44" s="75">
        <v>2329.2131481707</v>
      </c>
      <c r="AB44" s="75">
        <v>2470.30616907957</v>
      </c>
    </row>
    <row r="45" customHeight="1" spans="1:28">
      <c r="A45" s="189" t="s">
        <v>135</v>
      </c>
      <c r="B45" s="20">
        <v>2235.3890116282</v>
      </c>
      <c r="C45" s="23">
        <v>1379.44365325681</v>
      </c>
      <c r="D45" s="23">
        <v>374.240019028268</v>
      </c>
      <c r="E45" s="23">
        <v>338.112903225806</v>
      </c>
      <c r="F45" s="23">
        <v>2221.01732939974</v>
      </c>
      <c r="G45" s="23">
        <v>2292.54872626669</v>
      </c>
      <c r="H45" s="54"/>
      <c r="I45" s="21">
        <v>824</v>
      </c>
      <c r="J45" s="70">
        <f t="shared" si="0"/>
        <v>2011.6</v>
      </c>
      <c r="K45" s="21">
        <v>902</v>
      </c>
      <c r="L45" s="21">
        <v>355</v>
      </c>
      <c r="M45" s="54">
        <f t="shared" si="1"/>
        <v>1791.6</v>
      </c>
      <c r="N45" s="74" t="s">
        <v>151</v>
      </c>
      <c r="O45" s="75">
        <v>1312.69825124117</v>
      </c>
      <c r="P45" s="76">
        <f t="shared" si="3"/>
        <v>0.123327941475674</v>
      </c>
      <c r="Q45" s="75">
        <v>1353.27458920679</v>
      </c>
      <c r="R45" s="75">
        <v>1312.42600418477</v>
      </c>
      <c r="S45" s="75">
        <v>1330.19586408764</v>
      </c>
      <c r="T45" s="75">
        <v>1256.70455999723</v>
      </c>
      <c r="U45" s="75">
        <v>1342.4411053321</v>
      </c>
      <c r="V45" s="75">
        <v>1379.44365325681</v>
      </c>
      <c r="W45" s="75">
        <v>1230.32576369332</v>
      </c>
      <c r="X45" s="76">
        <f>AVERAGE(Y45:Z45)/AVERAGE(V45:W45)-1</f>
        <v>0.0544290478394032</v>
      </c>
      <c r="Y45" s="75">
        <v>1289.33189604744</v>
      </c>
      <c r="Z45" s="75">
        <v>1462.48478534768</v>
      </c>
      <c r="AA45" s="75">
        <v>1547.54957217078</v>
      </c>
      <c r="AB45" s="75">
        <v>1573.90145856609</v>
      </c>
    </row>
    <row r="46" customHeight="1" spans="1:28">
      <c r="A46" s="189" t="s">
        <v>136</v>
      </c>
      <c r="B46" s="20">
        <v>2225.46747367068</v>
      </c>
      <c r="C46" s="23">
        <v>1230.32576369332</v>
      </c>
      <c r="D46" s="23">
        <v>379.413736968589</v>
      </c>
      <c r="E46" s="23">
        <v>339.548387096774</v>
      </c>
      <c r="F46" s="23">
        <v>2206.41268975752</v>
      </c>
      <c r="G46" s="23">
        <v>2298.06135306042</v>
      </c>
      <c r="H46" s="54"/>
      <c r="I46" s="21">
        <v>914</v>
      </c>
      <c r="J46" s="70">
        <f t="shared" si="0"/>
        <v>2092.6</v>
      </c>
      <c r="K46" s="21">
        <v>983</v>
      </c>
      <c r="L46" s="21">
        <v>355</v>
      </c>
      <c r="M46" s="54">
        <f t="shared" si="1"/>
        <v>1872.6</v>
      </c>
      <c r="N46" s="74" t="s">
        <v>152</v>
      </c>
      <c r="O46" s="75">
        <v>517.874369181871</v>
      </c>
      <c r="P46" s="76">
        <f t="shared" si="3"/>
        <v>0.0352030147182825</v>
      </c>
      <c r="Q46" s="75">
        <v>532.704225704805</v>
      </c>
      <c r="R46" s="75">
        <v>470.461851750416</v>
      </c>
      <c r="S46" s="75">
        <v>399.80999332066</v>
      </c>
      <c r="T46" s="75">
        <v>381.196195119294</v>
      </c>
      <c r="U46" s="75">
        <v>373.945642683591</v>
      </c>
      <c r="V46" s="75">
        <v>374.240019028268</v>
      </c>
      <c r="W46" s="75">
        <v>379.413736968589</v>
      </c>
      <c r="X46" s="76">
        <f>AVERAGE(Y46:Z46)/AVERAGE(V46:W46)-1</f>
        <v>0.022191048667717</v>
      </c>
      <c r="Y46" s="75">
        <v>380.596590309411</v>
      </c>
      <c r="Z46" s="75">
        <v>389.78153286538</v>
      </c>
      <c r="AA46" s="75">
        <v>420.036382770622</v>
      </c>
      <c r="AB46" s="75">
        <v>456.306454293611</v>
      </c>
    </row>
    <row r="47" customHeight="1" spans="1:28">
      <c r="A47" s="189" t="s">
        <v>137</v>
      </c>
      <c r="B47" s="20">
        <v>2229.89952883193</v>
      </c>
      <c r="C47" s="23">
        <v>1289.33189604744</v>
      </c>
      <c r="D47" s="23">
        <v>380.596590309411</v>
      </c>
      <c r="E47" s="23">
        <v>350.5</v>
      </c>
      <c r="F47" s="23">
        <v>2214.54488477404</v>
      </c>
      <c r="G47" s="23">
        <v>2299.44366886403</v>
      </c>
      <c r="H47" s="54"/>
      <c r="I47" s="21">
        <v>1024</v>
      </c>
      <c r="J47" s="70">
        <f t="shared" si="0"/>
        <v>2191.6</v>
      </c>
      <c r="K47" s="21">
        <v>1045</v>
      </c>
      <c r="L47" s="21">
        <v>355</v>
      </c>
      <c r="M47" s="54">
        <f t="shared" si="1"/>
        <v>1971.6</v>
      </c>
      <c r="N47" s="77"/>
      <c r="O47" s="78" t="s">
        <v>4</v>
      </c>
      <c r="P47" s="76"/>
      <c r="Q47" s="78" t="s">
        <v>5</v>
      </c>
      <c r="R47" s="78" t="s">
        <v>6</v>
      </c>
      <c r="S47" s="78" t="s">
        <v>7</v>
      </c>
      <c r="T47" s="78" t="s">
        <v>8</v>
      </c>
      <c r="U47" s="78" t="s">
        <v>9</v>
      </c>
      <c r="V47" s="78" t="s">
        <v>10</v>
      </c>
      <c r="W47" s="78" t="s">
        <v>11</v>
      </c>
      <c r="X47" s="76"/>
      <c r="Y47" s="78" t="s">
        <v>12</v>
      </c>
      <c r="Z47" s="78" t="s">
        <v>13</v>
      </c>
      <c r="AA47" s="78" t="s">
        <v>14</v>
      </c>
      <c r="AB47" s="78" t="s">
        <v>15</v>
      </c>
    </row>
    <row r="48" customHeight="1" spans="1:28">
      <c r="A48" s="189" t="s">
        <v>138</v>
      </c>
      <c r="B48" s="20">
        <v>2235.73247647006</v>
      </c>
      <c r="C48" s="23">
        <v>1462.48478534768</v>
      </c>
      <c r="D48" s="23">
        <v>389.78153286538</v>
      </c>
      <c r="E48" s="23">
        <v>360.854838709677</v>
      </c>
      <c r="F48" s="23">
        <v>2213.21551224302</v>
      </c>
      <c r="G48" s="23">
        <v>2301.14305333289</v>
      </c>
      <c r="H48" s="54"/>
      <c r="I48" s="21">
        <v>1024</v>
      </c>
      <c r="J48" s="70">
        <f t="shared" si="0"/>
        <v>2191.6</v>
      </c>
      <c r="K48" s="21">
        <v>1386</v>
      </c>
      <c r="L48" s="21">
        <v>355</v>
      </c>
      <c r="M48" s="54">
        <f t="shared" si="1"/>
        <v>1971.6</v>
      </c>
      <c r="N48" s="74" t="s">
        <v>60</v>
      </c>
      <c r="O48" s="75">
        <v>2501.27733994969</v>
      </c>
      <c r="P48" s="76">
        <f t="shared" si="3"/>
        <v>0.0509029400521079</v>
      </c>
      <c r="Q48" s="75">
        <v>2526.66487491209</v>
      </c>
      <c r="R48" s="75">
        <v>2597.13533556329</v>
      </c>
      <c r="S48" s="75">
        <v>2548.62846129866</v>
      </c>
      <c r="T48" s="75">
        <v>2565.61944262039</v>
      </c>
      <c r="U48" s="75">
        <v>2575.92776325538</v>
      </c>
      <c r="V48" s="75">
        <v>2678.8684330737</v>
      </c>
      <c r="W48" s="75">
        <v>2733.19732199673</v>
      </c>
      <c r="X48" s="76">
        <f>AVERAGE(Y48:Z48)/AVERAGE(V48:W48)-1</f>
        <v>0.0140113804200599</v>
      </c>
      <c r="Y48" s="75">
        <v>2745.26197429751</v>
      </c>
      <c r="Z48" s="75">
        <v>2742.63429292559</v>
      </c>
      <c r="AA48" s="75">
        <v>2700</v>
      </c>
      <c r="AB48" s="75">
        <v>2700</v>
      </c>
    </row>
    <row r="49" customHeight="1" spans="1:28">
      <c r="A49" s="189" t="s">
        <v>139</v>
      </c>
      <c r="B49" s="20">
        <v>2329.2131481707</v>
      </c>
      <c r="C49" s="23">
        <v>1547.54957217078</v>
      </c>
      <c r="D49" s="23">
        <v>420.036382770622</v>
      </c>
      <c r="E49" s="23">
        <v>383.783333333333</v>
      </c>
      <c r="F49" s="23">
        <v>2250.83434954101</v>
      </c>
      <c r="G49" s="23">
        <v>2388.51344542136</v>
      </c>
      <c r="H49" s="54"/>
      <c r="I49" s="21">
        <v>974</v>
      </c>
      <c r="J49" s="70">
        <f t="shared" si="0"/>
        <v>2146.6</v>
      </c>
      <c r="K49" s="21">
        <v>1602</v>
      </c>
      <c r="L49" s="21">
        <v>355</v>
      </c>
      <c r="M49" s="54">
        <f t="shared" si="1"/>
        <v>1926.6</v>
      </c>
      <c r="N49" s="74" t="s">
        <v>151</v>
      </c>
      <c r="O49" s="75">
        <v>1635.40163912599</v>
      </c>
      <c r="P49" s="76">
        <f t="shared" si="3"/>
        <v>0.0562504665673542</v>
      </c>
      <c r="Q49" s="75">
        <v>1708.02797011232</v>
      </c>
      <c r="R49" s="75">
        <v>1685.16991638458</v>
      </c>
      <c r="S49" s="75">
        <v>1631.22996543791</v>
      </c>
      <c r="T49" s="75">
        <v>1720.05667357061</v>
      </c>
      <c r="U49" s="75">
        <v>1803.34346123068</v>
      </c>
      <c r="V49" s="75">
        <v>1648.63360240291</v>
      </c>
      <c r="W49" s="75">
        <v>1640.71063641835</v>
      </c>
      <c r="X49" s="76">
        <f>AVERAGE(Y49:Z49)/AVERAGE(V49:W49)-1</f>
        <v>0.114117779046551</v>
      </c>
      <c r="Y49" s="75">
        <v>1756.99795492808</v>
      </c>
      <c r="Z49" s="75">
        <v>1907.71894294703</v>
      </c>
      <c r="AA49" s="75">
        <v>1970</v>
      </c>
      <c r="AB49" s="75">
        <v>1900</v>
      </c>
    </row>
    <row r="50" customHeight="1" spans="1:28">
      <c r="A50" s="189" t="s">
        <v>140</v>
      </c>
      <c r="B50" s="20">
        <v>2470.30616907957</v>
      </c>
      <c r="C50" s="23">
        <v>1573.90145856609</v>
      </c>
      <c r="D50" s="23">
        <v>456.306454293611</v>
      </c>
      <c r="E50" s="23">
        <v>405.806451612903</v>
      </c>
      <c r="F50" s="23">
        <v>2485.39578220706</v>
      </c>
      <c r="G50" s="23">
        <v>2463.95825377174</v>
      </c>
      <c r="H50" s="54"/>
      <c r="I50" s="21">
        <v>944</v>
      </c>
      <c r="J50" s="70">
        <f t="shared" si="0"/>
        <v>2119.6</v>
      </c>
      <c r="K50" s="21">
        <v>1301</v>
      </c>
      <c r="L50" s="21">
        <v>430</v>
      </c>
      <c r="M50" s="54">
        <f t="shared" si="1"/>
        <v>1899.6</v>
      </c>
      <c r="N50" s="74" t="s">
        <v>152</v>
      </c>
      <c r="O50" s="75">
        <v>485.440291107089</v>
      </c>
      <c r="P50" s="76">
        <f t="shared" si="3"/>
        <v>0.134424288797723</v>
      </c>
      <c r="Q50" s="75">
        <v>550.904663584957</v>
      </c>
      <c r="R50" s="75">
        <v>522.535534613557</v>
      </c>
      <c r="S50" s="75">
        <v>471.399658473976</v>
      </c>
      <c r="T50" s="75">
        <v>481.765997930837</v>
      </c>
      <c r="U50" s="75">
        <v>493.815405269359</v>
      </c>
      <c r="V50" s="75">
        <v>543.966393103549</v>
      </c>
      <c r="W50" s="75">
        <v>547.834867813468</v>
      </c>
      <c r="X50" s="76">
        <f>AVERAGE(Y50:Z50)/AVERAGE(V50:W50)-1</f>
        <v>0.168723705838759</v>
      </c>
      <c r="Y50" s="75">
        <v>616.460363282137</v>
      </c>
      <c r="Z50" s="75">
        <v>659.553652416229</v>
      </c>
      <c r="AA50" s="75">
        <v>712.539910370589</v>
      </c>
      <c r="AB50" s="75">
        <v>719.29173878157</v>
      </c>
    </row>
    <row r="51" customHeight="1" spans="1:28">
      <c r="A51" s="189" t="s">
        <v>4</v>
      </c>
      <c r="B51" s="20">
        <v>2501.27733994969</v>
      </c>
      <c r="C51" s="23">
        <v>1635.40163912599</v>
      </c>
      <c r="D51" s="23">
        <v>485.440291107089</v>
      </c>
      <c r="E51" s="23">
        <v>408.548387096774</v>
      </c>
      <c r="F51" s="23">
        <v>2532.63543599258</v>
      </c>
      <c r="G51" s="23">
        <v>2482.67490897084</v>
      </c>
      <c r="H51" s="54"/>
      <c r="I51" s="21">
        <v>964</v>
      </c>
      <c r="J51" s="70">
        <f t="shared" si="0"/>
        <v>2137.6</v>
      </c>
      <c r="K51" s="21">
        <v>1184</v>
      </c>
      <c r="L51" s="21">
        <v>430</v>
      </c>
      <c r="M51" s="54">
        <f t="shared" si="1"/>
        <v>1917.6</v>
      </c>
      <c r="N51" s="77"/>
      <c r="O51" s="78" t="s">
        <v>16</v>
      </c>
      <c r="P51" s="76"/>
      <c r="Q51" s="78" t="s">
        <v>17</v>
      </c>
      <c r="R51" s="78" t="s">
        <v>18</v>
      </c>
      <c r="S51" s="78" t="s">
        <v>19</v>
      </c>
      <c r="T51" s="78" t="s">
        <v>20</v>
      </c>
      <c r="U51" s="78" t="s">
        <v>21</v>
      </c>
      <c r="V51" s="78" t="s">
        <v>22</v>
      </c>
      <c r="W51" s="78" t="s">
        <v>23</v>
      </c>
      <c r="X51" s="76"/>
      <c r="Y51" s="78" t="s">
        <v>24</v>
      </c>
      <c r="Z51" s="78" t="s">
        <v>25</v>
      </c>
      <c r="AA51" s="78" t="s">
        <v>26</v>
      </c>
      <c r="AB51" s="78" t="s">
        <v>27</v>
      </c>
    </row>
    <row r="52" customHeight="1" spans="1:28">
      <c r="A52" s="189" t="s">
        <v>5</v>
      </c>
      <c r="B52" s="20">
        <v>2526.66487491209</v>
      </c>
      <c r="C52" s="23">
        <v>1708.02797011232</v>
      </c>
      <c r="D52" s="23">
        <v>550.904663584957</v>
      </c>
      <c r="E52" s="23">
        <v>411.785714285714</v>
      </c>
      <c r="F52" s="23">
        <v>2483.38376674547</v>
      </c>
      <c r="G52" s="23">
        <v>2558.65493039781</v>
      </c>
      <c r="H52" s="54"/>
      <c r="I52" s="21">
        <v>984</v>
      </c>
      <c r="J52" s="70">
        <f t="shared" si="0"/>
        <v>2155.6</v>
      </c>
      <c r="K52" s="21">
        <v>1199</v>
      </c>
      <c r="L52" s="21">
        <v>430</v>
      </c>
      <c r="M52" s="54">
        <f t="shared" si="1"/>
        <v>1935.6</v>
      </c>
      <c r="N52" s="74" t="s">
        <v>60</v>
      </c>
      <c r="O52" s="79">
        <v>2614</v>
      </c>
      <c r="P52" s="76">
        <f t="shared" si="3"/>
        <v>-0.044481842982608</v>
      </c>
      <c r="Q52" s="79">
        <v>2625</v>
      </c>
      <c r="R52" s="79">
        <v>2520.39182203737</v>
      </c>
      <c r="S52" s="79">
        <v>2512.13068830001</v>
      </c>
      <c r="T52" s="79">
        <v>2429.00920272917</v>
      </c>
      <c r="U52" s="79">
        <v>2407.32579117454</v>
      </c>
      <c r="V52" s="79">
        <v>2214.27488235976</v>
      </c>
      <c r="W52" s="79">
        <v>2214.17373230795</v>
      </c>
      <c r="X52" s="76">
        <f>AVERAGE(Y52:Z52)/AVERAGE(V52:W52)-1</f>
        <v>-0.0230789812705839</v>
      </c>
      <c r="Y52" s="79">
        <v>2187.03721640631</v>
      </c>
      <c r="Z52" s="79">
        <v>2139.20731562574</v>
      </c>
      <c r="AA52" s="79">
        <v>2103.83873158189</v>
      </c>
      <c r="AB52" s="79">
        <v>2061.2315180595</v>
      </c>
    </row>
    <row r="53" customHeight="1" spans="1:28">
      <c r="A53" s="189" t="s">
        <v>6</v>
      </c>
      <c r="B53" s="20">
        <v>2597.13533556329</v>
      </c>
      <c r="C53" s="23">
        <v>1685.16991638458</v>
      </c>
      <c r="D53" s="23">
        <v>522.535534613557</v>
      </c>
      <c r="E53" s="23">
        <v>413.790322580645</v>
      </c>
      <c r="F53" s="23">
        <v>2608.79032485164</v>
      </c>
      <c r="G53" s="23">
        <v>2591.98313626516</v>
      </c>
      <c r="H53" s="54"/>
      <c r="I53" s="21">
        <v>984</v>
      </c>
      <c r="J53" s="70">
        <f t="shared" si="0"/>
        <v>2155.6</v>
      </c>
      <c r="K53" s="21">
        <v>1117</v>
      </c>
      <c r="L53" s="21">
        <v>430</v>
      </c>
      <c r="M53" s="54">
        <f t="shared" si="1"/>
        <v>1935.6</v>
      </c>
      <c r="N53" s="74" t="s">
        <v>151</v>
      </c>
      <c r="O53" s="79">
        <v>1700</v>
      </c>
      <c r="P53" s="76">
        <f t="shared" si="3"/>
        <v>-0.0591286454947828</v>
      </c>
      <c r="Q53" s="79">
        <v>1650</v>
      </c>
      <c r="R53" s="79">
        <v>1739.29839049985</v>
      </c>
      <c r="S53" s="79">
        <v>1851.35505409421</v>
      </c>
      <c r="T53" s="79">
        <v>1737.28910731498</v>
      </c>
      <c r="U53" s="79">
        <v>1693.22575015738</v>
      </c>
      <c r="V53" s="79">
        <v>1645.63691386334</v>
      </c>
      <c r="W53" s="79">
        <v>1578.82616398473</v>
      </c>
      <c r="X53" s="76">
        <f>AVERAGE(Y53:Z53)/AVERAGE(V53:W53)-1</f>
        <v>-0.0459843991526723</v>
      </c>
      <c r="Y53" s="79">
        <v>1551.40855856033</v>
      </c>
      <c r="Z53" s="79">
        <v>1524.77952206292</v>
      </c>
      <c r="AA53" s="79">
        <v>1496.59591748672</v>
      </c>
      <c r="AB53" s="79">
        <v>1483.66877447298</v>
      </c>
    </row>
    <row r="54" customHeight="1" spans="1:28">
      <c r="A54" s="189" t="s">
        <v>7</v>
      </c>
      <c r="B54" s="20">
        <v>2548.62846129866</v>
      </c>
      <c r="C54" s="23">
        <v>1631.22996543791</v>
      </c>
      <c r="D54" s="23">
        <v>471.399658473976</v>
      </c>
      <c r="E54" s="23">
        <v>409.916666666667</v>
      </c>
      <c r="F54" s="23">
        <v>2543.06423777011</v>
      </c>
      <c r="G54" s="23">
        <v>2577.52774761004</v>
      </c>
      <c r="H54" s="54"/>
      <c r="I54" s="21">
        <v>964</v>
      </c>
      <c r="J54" s="70">
        <f t="shared" si="0"/>
        <v>2137.6</v>
      </c>
      <c r="K54" s="21">
        <v>1059</v>
      </c>
      <c r="L54" s="21">
        <v>430</v>
      </c>
      <c r="M54" s="54">
        <f t="shared" si="1"/>
        <v>1917.6</v>
      </c>
      <c r="N54" s="74" t="s">
        <v>152</v>
      </c>
      <c r="O54" s="79">
        <v>663.241966085092</v>
      </c>
      <c r="P54" s="76">
        <f t="shared" si="3"/>
        <v>-0.107273064904742</v>
      </c>
      <c r="Q54" s="79">
        <v>633.328647329694</v>
      </c>
      <c r="R54" s="79">
        <v>584</v>
      </c>
      <c r="S54" s="79">
        <v>653</v>
      </c>
      <c r="T54" s="79">
        <v>698</v>
      </c>
      <c r="U54" s="79">
        <v>655</v>
      </c>
      <c r="V54" s="79">
        <v>664</v>
      </c>
      <c r="W54" s="79">
        <v>650</v>
      </c>
      <c r="X54" s="76">
        <f>AVERAGE(Y54:Z54)/AVERAGE(V54:W54)-1</f>
        <v>-0.159056316590563</v>
      </c>
      <c r="Y54" s="79">
        <v>570</v>
      </c>
      <c r="Z54" s="79">
        <v>535</v>
      </c>
      <c r="AA54" s="79">
        <v>474</v>
      </c>
      <c r="AB54" s="79">
        <v>439.417674695563</v>
      </c>
    </row>
    <row r="55" customHeight="1" spans="1:13">
      <c r="A55" s="189" t="s">
        <v>8</v>
      </c>
      <c r="B55" s="20">
        <v>2565.61944262039</v>
      </c>
      <c r="C55" s="23">
        <v>1720.05667357061</v>
      </c>
      <c r="D55" s="23">
        <v>481.765997930837</v>
      </c>
      <c r="E55" s="23">
        <v>412.612903225806</v>
      </c>
      <c r="F55" s="23">
        <v>2566.0679388897</v>
      </c>
      <c r="G55" s="23">
        <v>2557.99257099454</v>
      </c>
      <c r="H55" s="54"/>
      <c r="I55" s="21">
        <v>914</v>
      </c>
      <c r="J55" s="70">
        <f t="shared" si="0"/>
        <v>2092.6</v>
      </c>
      <c r="K55" s="21">
        <v>1127</v>
      </c>
      <c r="L55" s="21">
        <v>430</v>
      </c>
      <c r="M55" s="54">
        <f t="shared" si="1"/>
        <v>1872.6</v>
      </c>
    </row>
    <row r="56" customHeight="1" spans="1:13">
      <c r="A56" s="189" t="s">
        <v>9</v>
      </c>
      <c r="B56" s="20">
        <v>2575.92776325538</v>
      </c>
      <c r="C56" s="23">
        <v>1803.34346123068</v>
      </c>
      <c r="D56" s="23">
        <v>493.815405269359</v>
      </c>
      <c r="E56" s="23">
        <v>414.733333333333</v>
      </c>
      <c r="F56" s="23">
        <v>2577.21752327151</v>
      </c>
      <c r="G56" s="23">
        <v>2555.07421580252</v>
      </c>
      <c r="H56" s="54"/>
      <c r="I56" s="21">
        <v>911</v>
      </c>
      <c r="J56" s="70">
        <f t="shared" si="0"/>
        <v>2089.9</v>
      </c>
      <c r="K56" s="21">
        <v>1148</v>
      </c>
      <c r="L56" s="21">
        <v>430</v>
      </c>
      <c r="M56" s="54">
        <f t="shared" si="1"/>
        <v>1869.9</v>
      </c>
    </row>
    <row r="57" customHeight="1" spans="1:13">
      <c r="A57" s="189" t="s">
        <v>10</v>
      </c>
      <c r="B57" s="20">
        <v>2678.8684330737</v>
      </c>
      <c r="C57" s="23">
        <v>1648.63360240291</v>
      </c>
      <c r="D57" s="23">
        <v>543.966393103549</v>
      </c>
      <c r="E57" s="23">
        <v>418.306451612903</v>
      </c>
      <c r="F57" s="23">
        <v>2688.07912190602</v>
      </c>
      <c r="G57" s="23">
        <v>2573.92236352139</v>
      </c>
      <c r="H57" s="54"/>
      <c r="I57" s="21">
        <v>911</v>
      </c>
      <c r="J57" s="70">
        <f t="shared" si="0"/>
        <v>2089.9</v>
      </c>
      <c r="K57" s="21">
        <v>1193</v>
      </c>
      <c r="L57" s="21">
        <v>430</v>
      </c>
      <c r="M57" s="54">
        <f t="shared" si="1"/>
        <v>1869.9</v>
      </c>
    </row>
    <row r="58" customHeight="1" spans="1:24">
      <c r="A58" s="189" t="s">
        <v>11</v>
      </c>
      <c r="B58" s="20">
        <v>2733.19732199673</v>
      </c>
      <c r="C58" s="23">
        <v>1640.71063641835</v>
      </c>
      <c r="D58" s="23">
        <v>547.834867813468</v>
      </c>
      <c r="E58" s="23">
        <v>417.064516129032</v>
      </c>
      <c r="F58" s="23">
        <v>2744.54519041805</v>
      </c>
      <c r="G58" s="23">
        <v>2610.80208443365</v>
      </c>
      <c r="H58" s="54"/>
      <c r="I58" s="21">
        <v>901</v>
      </c>
      <c r="J58" s="70">
        <f t="shared" si="0"/>
        <v>2080.9</v>
      </c>
      <c r="K58" s="21">
        <v>1328</v>
      </c>
      <c r="L58" s="21">
        <v>430</v>
      </c>
      <c r="M58" s="54">
        <f t="shared" si="1"/>
        <v>1860.9</v>
      </c>
      <c r="P58" s="80"/>
      <c r="Q58" s="80"/>
      <c r="R58" s="80"/>
      <c r="S58" s="80"/>
      <c r="T58" s="80"/>
      <c r="U58" s="80"/>
      <c r="V58" s="80"/>
      <c r="W58" s="80"/>
      <c r="X58" s="80"/>
    </row>
    <row r="59" customHeight="1" spans="1:24">
      <c r="A59" s="189" t="s">
        <v>12</v>
      </c>
      <c r="B59" s="20">
        <v>2745.26197429751</v>
      </c>
      <c r="C59" s="23">
        <v>1756.99795492808</v>
      </c>
      <c r="D59" s="23">
        <v>616.460363282137</v>
      </c>
      <c r="E59" s="23">
        <v>415.833333333333</v>
      </c>
      <c r="F59" s="23">
        <v>2754.50846068257</v>
      </c>
      <c r="G59" s="23">
        <v>2687.93501079463</v>
      </c>
      <c r="H59" s="54"/>
      <c r="I59" s="21">
        <v>896</v>
      </c>
      <c r="J59" s="70">
        <f t="shared" si="0"/>
        <v>2076.4</v>
      </c>
      <c r="K59" s="21">
        <v>1487</v>
      </c>
      <c r="L59" s="21">
        <v>430</v>
      </c>
      <c r="M59" s="54">
        <f t="shared" si="1"/>
        <v>1856.4</v>
      </c>
      <c r="P59" s="80"/>
      <c r="Q59" s="80"/>
      <c r="R59" s="80"/>
      <c r="S59" s="80"/>
      <c r="T59" s="80"/>
      <c r="U59" s="80"/>
      <c r="V59" s="80"/>
      <c r="W59" s="80"/>
      <c r="X59" s="80"/>
    </row>
    <row r="60" customHeight="1" spans="1:24">
      <c r="A60" s="189" t="s">
        <v>13</v>
      </c>
      <c r="B60" s="20">
        <v>2742.63429292559</v>
      </c>
      <c r="C60" s="23">
        <v>1907.71894294703</v>
      </c>
      <c r="D60" s="23">
        <v>659.553652416229</v>
      </c>
      <c r="E60" s="23">
        <v>414.338709677419</v>
      </c>
      <c r="F60" s="23">
        <v>2758.54630014385</v>
      </c>
      <c r="G60" s="23">
        <v>2670.17287276693</v>
      </c>
      <c r="H60" s="54"/>
      <c r="I60" s="21">
        <v>974</v>
      </c>
      <c r="J60" s="70">
        <f t="shared" si="0"/>
        <v>2146.6</v>
      </c>
      <c r="K60" s="21">
        <v>1459</v>
      </c>
      <c r="L60" s="21">
        <v>430</v>
      </c>
      <c r="M60" s="54">
        <f t="shared" si="1"/>
        <v>1926.6</v>
      </c>
      <c r="P60" s="80"/>
      <c r="Q60" s="80"/>
      <c r="R60" s="80"/>
      <c r="S60" s="80"/>
      <c r="T60" s="80"/>
      <c r="U60" s="80"/>
      <c r="V60" s="80"/>
      <c r="W60" s="80"/>
      <c r="X60" s="80"/>
    </row>
    <row r="61" customHeight="1" spans="1:13">
      <c r="A61" s="189" t="s">
        <v>14</v>
      </c>
      <c r="B61" s="20">
        <v>2700</v>
      </c>
      <c r="C61" s="23">
        <v>1945.53175704605</v>
      </c>
      <c r="D61" s="23">
        <v>712.539910370589</v>
      </c>
      <c r="E61" s="23">
        <v>410</v>
      </c>
      <c r="F61" s="67">
        <v>2721.64487129298</v>
      </c>
      <c r="G61" s="67">
        <v>2755.11686089095</v>
      </c>
      <c r="H61" s="68"/>
      <c r="I61" s="21">
        <v>974</v>
      </c>
      <c r="J61" s="70">
        <f t="shared" si="0"/>
        <v>2146.6</v>
      </c>
      <c r="K61" s="21">
        <v>1398</v>
      </c>
      <c r="L61" s="21">
        <v>450</v>
      </c>
      <c r="M61" s="54">
        <f t="shared" si="1"/>
        <v>1926.6</v>
      </c>
    </row>
    <row r="62" customHeight="1" spans="1:13">
      <c r="A62" s="189" t="s">
        <v>15</v>
      </c>
      <c r="B62" s="20">
        <v>2700</v>
      </c>
      <c r="C62" s="23">
        <v>1900</v>
      </c>
      <c r="D62" s="23">
        <v>719.29173878157</v>
      </c>
      <c r="E62" s="23">
        <v>410</v>
      </c>
      <c r="F62" s="67">
        <v>2703.33655759626</v>
      </c>
      <c r="G62" s="67">
        <v>2670.92261399429</v>
      </c>
      <c r="H62" s="68"/>
      <c r="I62" s="21">
        <v>967</v>
      </c>
      <c r="J62" s="70">
        <f t="shared" si="0"/>
        <v>2140.3</v>
      </c>
      <c r="K62" s="21">
        <v>1230.5</v>
      </c>
      <c r="L62" s="21">
        <v>500</v>
      </c>
      <c r="M62" s="54">
        <f t="shared" si="1"/>
        <v>1920.3</v>
      </c>
    </row>
    <row r="63" customHeight="1" spans="1:13">
      <c r="A63" s="189" t="s">
        <v>16</v>
      </c>
      <c r="B63" s="20">
        <v>2614</v>
      </c>
      <c r="C63" s="23">
        <v>1700</v>
      </c>
      <c r="D63" s="23">
        <v>663.241966085092</v>
      </c>
      <c r="E63" s="23">
        <v>398.24</v>
      </c>
      <c r="F63" s="23">
        <v>2558</v>
      </c>
      <c r="G63" s="23">
        <v>2690</v>
      </c>
      <c r="H63" s="54"/>
      <c r="I63" s="21">
        <v>917</v>
      </c>
      <c r="J63" s="70">
        <f t="shared" si="0"/>
        <v>2095.3</v>
      </c>
      <c r="K63" s="21">
        <v>1133.57</v>
      </c>
      <c r="L63" s="21">
        <v>470</v>
      </c>
      <c r="M63" s="54">
        <f t="shared" si="1"/>
        <v>1875.3</v>
      </c>
    </row>
    <row r="64" customHeight="1" spans="1:13">
      <c r="A64" s="189" t="s">
        <v>17</v>
      </c>
      <c r="B64" s="20">
        <v>2625</v>
      </c>
      <c r="C64" s="23">
        <v>1650</v>
      </c>
      <c r="D64" s="23">
        <v>633.328647329694</v>
      </c>
      <c r="E64" s="23">
        <v>396.5</v>
      </c>
      <c r="F64" s="23">
        <v>2550</v>
      </c>
      <c r="G64" s="23">
        <v>2700</v>
      </c>
      <c r="H64" s="54"/>
      <c r="I64" s="21">
        <v>917</v>
      </c>
      <c r="J64" s="70">
        <f t="shared" si="0"/>
        <v>2095.3</v>
      </c>
      <c r="K64" s="21">
        <v>1086</v>
      </c>
      <c r="L64" s="21">
        <v>470</v>
      </c>
      <c r="M64" s="54">
        <f t="shared" si="1"/>
        <v>1875.3</v>
      </c>
    </row>
    <row r="65" customHeight="1" spans="1:13">
      <c r="A65" s="189" t="s">
        <v>18</v>
      </c>
      <c r="B65" s="20">
        <v>2520.39182203737</v>
      </c>
      <c r="C65" s="23">
        <v>1739.29839049985</v>
      </c>
      <c r="D65" s="23">
        <v>584</v>
      </c>
      <c r="E65" s="23">
        <v>386.983870967742</v>
      </c>
      <c r="F65" s="23">
        <v>2495.29289278071</v>
      </c>
      <c r="G65" s="23">
        <v>2626.23720125202</v>
      </c>
      <c r="H65" s="54"/>
      <c r="I65" s="21">
        <v>903.67</v>
      </c>
      <c r="J65" s="70">
        <f t="shared" si="0"/>
        <v>2083.303</v>
      </c>
      <c r="K65" s="21">
        <v>1005.9</v>
      </c>
      <c r="L65" s="21">
        <v>420</v>
      </c>
      <c r="M65" s="54">
        <f t="shared" si="1"/>
        <v>1863.303</v>
      </c>
    </row>
    <row r="66" customHeight="1" spans="1:13">
      <c r="A66" s="189" t="s">
        <v>19</v>
      </c>
      <c r="B66" s="20">
        <v>2512.13068830001</v>
      </c>
      <c r="C66" s="23">
        <v>1851.35505409421</v>
      </c>
      <c r="D66" s="23">
        <v>653</v>
      </c>
      <c r="E66" s="23">
        <v>378.5</v>
      </c>
      <c r="F66" s="23">
        <v>2442.43518008026</v>
      </c>
      <c r="G66" s="23">
        <v>2602.30996123774</v>
      </c>
      <c r="H66" s="54"/>
      <c r="I66" s="21">
        <v>886</v>
      </c>
      <c r="J66" s="70">
        <f t="shared" si="0"/>
        <v>2067.4</v>
      </c>
      <c r="K66" s="21">
        <v>997.73</v>
      </c>
      <c r="L66" s="21">
        <v>420</v>
      </c>
      <c r="M66" s="54">
        <f t="shared" si="1"/>
        <v>1847.4</v>
      </c>
    </row>
    <row r="67" customHeight="1" spans="1:13">
      <c r="A67" s="189" t="s">
        <v>20</v>
      </c>
      <c r="B67" s="20">
        <v>2429.00920272917</v>
      </c>
      <c r="C67" s="23">
        <v>1737.28910731498</v>
      </c>
      <c r="D67" s="23">
        <v>698</v>
      </c>
      <c r="E67" s="23">
        <v>367</v>
      </c>
      <c r="F67" s="23">
        <v>2409.19750393401</v>
      </c>
      <c r="G67" s="23">
        <v>2579.25633817819</v>
      </c>
      <c r="H67" s="54"/>
      <c r="I67" s="21">
        <v>876</v>
      </c>
      <c r="J67" s="70">
        <f t="shared" si="0"/>
        <v>2058.4</v>
      </c>
      <c r="K67" s="21">
        <v>972.857142857143</v>
      </c>
      <c r="L67" s="21">
        <v>420</v>
      </c>
      <c r="M67" s="54">
        <f t="shared" si="1"/>
        <v>1838.4</v>
      </c>
    </row>
    <row r="68" customHeight="1" spans="1:13">
      <c r="A68" s="189" t="s">
        <v>21</v>
      </c>
      <c r="B68" s="20">
        <v>2407.32579117454</v>
      </c>
      <c r="C68" s="23">
        <v>1693.22575015738</v>
      </c>
      <c r="D68" s="23">
        <v>655</v>
      </c>
      <c r="E68" s="23">
        <v>335</v>
      </c>
      <c r="F68" s="23">
        <v>2387.92620280084</v>
      </c>
      <c r="G68" s="23">
        <v>2505.66031817163</v>
      </c>
      <c r="H68" s="54"/>
      <c r="I68" s="21">
        <v>866</v>
      </c>
      <c r="J68" s="70">
        <f t="shared" ref="J68:J104" si="4">0.9*I68+50+1000+100+100+20</f>
        <v>2049.4</v>
      </c>
      <c r="K68" s="21">
        <v>963.684210526316</v>
      </c>
      <c r="L68" s="21">
        <v>420</v>
      </c>
      <c r="M68" s="54">
        <f t="shared" ref="M68:M104" si="5">0.9*I68+50+1000</f>
        <v>1829.4</v>
      </c>
    </row>
    <row r="69" customHeight="1" spans="1:13">
      <c r="A69" s="189" t="s">
        <v>22</v>
      </c>
      <c r="B69" s="20">
        <v>2214.27488235976</v>
      </c>
      <c r="C69" s="23">
        <v>1645.63691386334</v>
      </c>
      <c r="D69" s="23">
        <v>664</v>
      </c>
      <c r="E69" s="23">
        <v>330</v>
      </c>
      <c r="F69" s="23">
        <v>2188.1759395638</v>
      </c>
      <c r="G69" s="23">
        <v>2400.8150451723</v>
      </c>
      <c r="H69" s="54"/>
      <c r="I69" s="21">
        <v>839</v>
      </c>
      <c r="J69" s="70">
        <f t="shared" si="4"/>
        <v>2025.1</v>
      </c>
      <c r="K69" s="21">
        <v>841.086956521739</v>
      </c>
      <c r="L69" s="21">
        <v>400</v>
      </c>
      <c r="M69" s="54">
        <f t="shared" si="5"/>
        <v>1805.1</v>
      </c>
    </row>
    <row r="70" customHeight="1" spans="1:13">
      <c r="A70" s="189" t="s">
        <v>23</v>
      </c>
      <c r="B70" s="20">
        <v>2214.17373230795</v>
      </c>
      <c r="C70" s="23">
        <v>1578.82616398473</v>
      </c>
      <c r="D70" s="23">
        <v>650</v>
      </c>
      <c r="E70" s="23">
        <v>330</v>
      </c>
      <c r="F70" s="23">
        <v>2193.95112755273</v>
      </c>
      <c r="G70" s="23">
        <v>2327.89158270307</v>
      </c>
      <c r="H70" s="54"/>
      <c r="I70" s="21">
        <v>802.53</v>
      </c>
      <c r="J70" s="70">
        <f t="shared" si="4"/>
        <v>1992.277</v>
      </c>
      <c r="K70" s="21">
        <v>752.272727272727</v>
      </c>
      <c r="L70" s="21">
        <v>400</v>
      </c>
      <c r="M70" s="54">
        <f t="shared" si="5"/>
        <v>1772.277</v>
      </c>
    </row>
    <row r="71" customHeight="1" spans="1:13">
      <c r="A71" s="189" t="s">
        <v>24</v>
      </c>
      <c r="B71" s="20">
        <v>2187.03721640631</v>
      </c>
      <c r="C71" s="23">
        <v>1551.40855856033</v>
      </c>
      <c r="D71" s="23">
        <v>570</v>
      </c>
      <c r="E71" s="23">
        <v>315</v>
      </c>
      <c r="F71" s="23">
        <v>2161.18114686306</v>
      </c>
      <c r="G71" s="23">
        <v>2311.56518715225</v>
      </c>
      <c r="H71" s="54"/>
      <c r="I71" s="21">
        <v>802.53</v>
      </c>
      <c r="J71" s="70">
        <f t="shared" si="4"/>
        <v>1992.277</v>
      </c>
      <c r="K71" s="21">
        <v>642.6</v>
      </c>
      <c r="L71" s="21">
        <v>380</v>
      </c>
      <c r="M71" s="54">
        <f t="shared" si="5"/>
        <v>1772.277</v>
      </c>
    </row>
    <row r="72" customHeight="1" spans="1:13">
      <c r="A72" s="189" t="s">
        <v>25</v>
      </c>
      <c r="B72" s="20">
        <v>2139.20731562574</v>
      </c>
      <c r="C72" s="23">
        <v>1524.77952206292</v>
      </c>
      <c r="D72" s="23">
        <v>535</v>
      </c>
      <c r="E72" s="23">
        <v>310</v>
      </c>
      <c r="F72" s="23">
        <v>2119.39759252777</v>
      </c>
      <c r="G72" s="23">
        <v>2280.7619548082</v>
      </c>
      <c r="H72" s="54"/>
      <c r="I72" s="21">
        <v>802.53</v>
      </c>
      <c r="J72" s="70">
        <f t="shared" si="4"/>
        <v>1992.277</v>
      </c>
      <c r="K72" s="21">
        <v>602.368421052632</v>
      </c>
      <c r="L72" s="21">
        <v>380</v>
      </c>
      <c r="M72" s="54">
        <f t="shared" si="5"/>
        <v>1772.277</v>
      </c>
    </row>
    <row r="73" customHeight="1" spans="1:13">
      <c r="A73" s="189" t="s">
        <v>26</v>
      </c>
      <c r="B73" s="20">
        <v>2103.83873158189</v>
      </c>
      <c r="C73" s="23">
        <v>1496.59591748672</v>
      </c>
      <c r="D73" s="23">
        <v>474</v>
      </c>
      <c r="E73" s="23">
        <v>300</v>
      </c>
      <c r="F73" s="23">
        <v>2075.51832639478</v>
      </c>
      <c r="G73" s="23">
        <v>2237.40182177537</v>
      </c>
      <c r="H73" s="54"/>
      <c r="I73" s="21">
        <v>752.53</v>
      </c>
      <c r="J73" s="70">
        <f t="shared" si="4"/>
        <v>1947.277</v>
      </c>
      <c r="K73" s="21">
        <v>523.571428571429</v>
      </c>
      <c r="L73" s="21">
        <v>370</v>
      </c>
      <c r="M73" s="54">
        <f t="shared" si="5"/>
        <v>1727.277</v>
      </c>
    </row>
    <row r="74" customHeight="1" spans="1:13">
      <c r="A74" s="189" t="s">
        <v>27</v>
      </c>
      <c r="B74" s="20">
        <v>2061.2315180595</v>
      </c>
      <c r="C74" s="23">
        <v>1483.66877447298</v>
      </c>
      <c r="D74" s="23">
        <v>439.417674695563</v>
      </c>
      <c r="E74" s="23">
        <v>295</v>
      </c>
      <c r="F74" s="23">
        <v>2012.20496615134</v>
      </c>
      <c r="G74" s="23">
        <v>2175.19504550146</v>
      </c>
      <c r="H74" s="54" t="s">
        <v>162</v>
      </c>
      <c r="I74" s="21">
        <v>752.5</v>
      </c>
      <c r="J74" s="70">
        <f t="shared" si="4"/>
        <v>1947.25</v>
      </c>
      <c r="K74" s="21">
        <v>539.090909090909</v>
      </c>
      <c r="L74" s="21">
        <v>370</v>
      </c>
      <c r="M74" s="54">
        <f t="shared" si="5"/>
        <v>1727.25</v>
      </c>
    </row>
    <row r="75" customHeight="1" spans="1:13">
      <c r="A75" s="189" t="s">
        <v>28</v>
      </c>
      <c r="B75" s="20">
        <v>2085.85646546543</v>
      </c>
      <c r="C75" s="23">
        <v>1506.71762265667</v>
      </c>
      <c r="D75" s="23">
        <v>443.28659153789</v>
      </c>
      <c r="E75" s="23">
        <v>290</v>
      </c>
      <c r="F75" s="23">
        <v>1954.50059255748</v>
      </c>
      <c r="G75" s="23">
        <v>2137.38797143495</v>
      </c>
      <c r="H75" s="23">
        <v>414.488</v>
      </c>
      <c r="I75" s="21">
        <v>752.33</v>
      </c>
      <c r="J75" s="70">
        <f t="shared" si="4"/>
        <v>1947.097</v>
      </c>
      <c r="K75" s="21">
        <v>596.5625</v>
      </c>
      <c r="L75" s="21">
        <v>370</v>
      </c>
      <c r="M75" s="54">
        <f t="shared" si="5"/>
        <v>1727.097</v>
      </c>
    </row>
    <row r="76" customHeight="1" spans="1:13">
      <c r="A76" s="189" t="s">
        <v>29</v>
      </c>
      <c r="B76" s="20">
        <v>1986.99049986103</v>
      </c>
      <c r="C76" s="23">
        <v>1560.1</v>
      </c>
      <c r="D76" s="23">
        <v>435.899834819671</v>
      </c>
      <c r="E76" s="23">
        <v>292.5</v>
      </c>
      <c r="F76" s="23">
        <v>1952.40291107357</v>
      </c>
      <c r="G76" s="23">
        <v>2002.80419271858</v>
      </c>
      <c r="H76" s="23">
        <v>395.681</v>
      </c>
      <c r="I76" s="21">
        <v>772.33</v>
      </c>
      <c r="J76" s="70">
        <f t="shared" si="4"/>
        <v>1965.097</v>
      </c>
      <c r="K76" s="21">
        <v>611.136363636364</v>
      </c>
      <c r="L76" s="21">
        <v>370</v>
      </c>
      <c r="M76" s="54">
        <f t="shared" si="5"/>
        <v>1745.097</v>
      </c>
    </row>
    <row r="77" customHeight="1" spans="1:13">
      <c r="A77" s="189" t="s">
        <v>30</v>
      </c>
      <c r="B77" s="20">
        <v>1986.99049986103</v>
      </c>
      <c r="C77" s="23">
        <v>1608.09393099994</v>
      </c>
      <c r="D77" s="23">
        <v>491.914774737738</v>
      </c>
      <c r="E77" s="23">
        <v>305</v>
      </c>
      <c r="F77" s="23">
        <v>1952.40291107357</v>
      </c>
      <c r="G77" s="23">
        <v>2044.84426254513</v>
      </c>
      <c r="H77" s="23">
        <v>511.598</v>
      </c>
      <c r="I77" s="21">
        <v>772.33</v>
      </c>
      <c r="J77" s="70">
        <f t="shared" si="4"/>
        <v>1965.097</v>
      </c>
      <c r="K77" s="21">
        <v>668.863636363636</v>
      </c>
      <c r="L77" s="21">
        <v>370</v>
      </c>
      <c r="M77" s="54">
        <f t="shared" si="5"/>
        <v>1745.097</v>
      </c>
    </row>
    <row r="78" customHeight="1" spans="1:13">
      <c r="A78" s="189" t="s">
        <v>31</v>
      </c>
      <c r="B78" s="20">
        <v>2071.54970299319</v>
      </c>
      <c r="C78" s="23">
        <v>1480.48008736709</v>
      </c>
      <c r="D78" s="23">
        <v>555.844913208318</v>
      </c>
      <c r="E78" s="23">
        <v>307</v>
      </c>
      <c r="F78" s="23">
        <v>2034.99611117016</v>
      </c>
      <c r="G78" s="23">
        <v>2117.23817295556</v>
      </c>
      <c r="H78" s="23">
        <v>501.854</v>
      </c>
      <c r="I78" s="21">
        <v>732.33</v>
      </c>
      <c r="J78" s="70">
        <f t="shared" si="4"/>
        <v>1929.097</v>
      </c>
      <c r="K78" s="21">
        <v>598.409090909091</v>
      </c>
      <c r="L78" s="21">
        <v>338</v>
      </c>
      <c r="M78" s="54">
        <f t="shared" si="5"/>
        <v>1709.097</v>
      </c>
    </row>
    <row r="79" customHeight="1" spans="1:13">
      <c r="A79" s="189" t="s">
        <v>32</v>
      </c>
      <c r="B79" s="20">
        <v>2060.86989188714</v>
      </c>
      <c r="C79" s="23">
        <v>1434.28353662598</v>
      </c>
      <c r="D79" s="23">
        <v>528.628874868847</v>
      </c>
      <c r="E79" s="23">
        <v>305</v>
      </c>
      <c r="F79" s="23">
        <v>2053.58274401393</v>
      </c>
      <c r="G79" s="23">
        <v>2096.10891516355</v>
      </c>
      <c r="H79" s="23">
        <v>511.441</v>
      </c>
      <c r="I79" s="21">
        <v>702.33</v>
      </c>
      <c r="J79" s="70">
        <f t="shared" si="4"/>
        <v>1902.097</v>
      </c>
      <c r="K79" s="21">
        <v>641.052631578947</v>
      </c>
      <c r="L79" s="21">
        <v>338</v>
      </c>
      <c r="M79" s="54">
        <f t="shared" si="5"/>
        <v>1682.097</v>
      </c>
    </row>
    <row r="80" customHeight="1" spans="1:13">
      <c r="A80" s="189" t="s">
        <v>33</v>
      </c>
      <c r="B80" s="20">
        <v>2071.91942244851</v>
      </c>
      <c r="C80" s="23">
        <v>1452.89858736233</v>
      </c>
      <c r="D80" s="23">
        <v>527.806051274018</v>
      </c>
      <c r="E80" s="23">
        <v>307</v>
      </c>
      <c r="F80" s="23">
        <v>2065.4599220262</v>
      </c>
      <c r="G80" s="23">
        <v>2084.21879857681</v>
      </c>
      <c r="H80" s="23">
        <v>464.153</v>
      </c>
      <c r="I80" s="21">
        <v>755.67</v>
      </c>
      <c r="J80" s="70">
        <f t="shared" si="4"/>
        <v>1950.103</v>
      </c>
      <c r="K80" s="21">
        <v>661.190476190476</v>
      </c>
      <c r="L80" s="21">
        <v>338</v>
      </c>
      <c r="M80" s="54">
        <f t="shared" si="5"/>
        <v>1730.103</v>
      </c>
    </row>
    <row r="81" customHeight="1" spans="1:13">
      <c r="A81" s="189" t="s">
        <v>34</v>
      </c>
      <c r="B81" s="20">
        <v>2098.81534256527</v>
      </c>
      <c r="C81" s="23">
        <v>1364.41592694193</v>
      </c>
      <c r="D81" s="23">
        <v>547.113417014202</v>
      </c>
      <c r="E81" s="23">
        <v>311</v>
      </c>
      <c r="F81" s="23">
        <v>2132.57</v>
      </c>
      <c r="G81" s="23">
        <v>2097.61554374912</v>
      </c>
      <c r="H81" s="23">
        <v>481.198</v>
      </c>
      <c r="I81" s="21">
        <v>755.67</v>
      </c>
      <c r="J81" s="70">
        <f t="shared" si="4"/>
        <v>1950.103</v>
      </c>
      <c r="K81" s="21">
        <v>630.869565217391</v>
      </c>
      <c r="L81" s="21">
        <v>338</v>
      </c>
      <c r="M81" s="54">
        <f t="shared" si="5"/>
        <v>1730.103</v>
      </c>
    </row>
    <row r="82" customHeight="1" spans="1:13">
      <c r="A82" s="189" t="s">
        <v>35</v>
      </c>
      <c r="B82" s="20">
        <v>2082.68201288914</v>
      </c>
      <c r="C82" s="23">
        <v>1503.59215959744</v>
      </c>
      <c r="D82" s="23">
        <v>516.450586378221</v>
      </c>
      <c r="E82" s="23">
        <v>325.23</v>
      </c>
      <c r="F82" s="23">
        <v>2046.17107412106</v>
      </c>
      <c r="G82" s="23">
        <v>2156.64580235888</v>
      </c>
      <c r="H82" s="23">
        <v>483.647</v>
      </c>
      <c r="I82" s="21">
        <v>692.666666666667</v>
      </c>
      <c r="J82" s="70">
        <f t="shared" si="4"/>
        <v>1893.4</v>
      </c>
      <c r="K82" s="21">
        <v>651.904761904762</v>
      </c>
      <c r="L82" s="21">
        <v>338</v>
      </c>
      <c r="M82" s="54">
        <f t="shared" si="5"/>
        <v>1673.4</v>
      </c>
    </row>
    <row r="83" customHeight="1" spans="1:13">
      <c r="A83" s="189" t="s">
        <v>36</v>
      </c>
      <c r="B83" s="20">
        <v>2176.04544673005</v>
      </c>
      <c r="C83" s="23">
        <v>1465.55342429575</v>
      </c>
      <c r="D83" s="23">
        <v>510.067713270066</v>
      </c>
      <c r="E83" s="23">
        <v>348.1</v>
      </c>
      <c r="F83" s="23">
        <v>2144.44609816351</v>
      </c>
      <c r="G83" s="23">
        <v>2216.02265334572</v>
      </c>
      <c r="H83" s="23">
        <v>485.891</v>
      </c>
      <c r="I83" s="21">
        <v>692.666666666667</v>
      </c>
      <c r="J83" s="70">
        <f t="shared" si="4"/>
        <v>1893.4</v>
      </c>
      <c r="K83" s="21">
        <v>702.173913043478</v>
      </c>
      <c r="L83" s="21">
        <v>328</v>
      </c>
      <c r="M83" s="54">
        <f t="shared" si="5"/>
        <v>1673.4</v>
      </c>
    </row>
    <row r="84" customHeight="1" spans="1:13">
      <c r="A84" s="189" t="s">
        <v>37</v>
      </c>
      <c r="B84" s="20">
        <v>2238.37267542502</v>
      </c>
      <c r="C84" s="23">
        <v>1453.61445929134</v>
      </c>
      <c r="D84" s="23">
        <v>489.728133236539</v>
      </c>
      <c r="E84" s="23">
        <v>357.98</v>
      </c>
      <c r="F84" s="23">
        <v>2224.47301998938</v>
      </c>
      <c r="G84" s="23">
        <v>2255.95372652019</v>
      </c>
      <c r="H84" s="23">
        <v>494.126</v>
      </c>
      <c r="I84" s="21">
        <v>769.333333333333</v>
      </c>
      <c r="J84" s="70">
        <f t="shared" si="4"/>
        <v>1962.4</v>
      </c>
      <c r="K84" s="21">
        <v>746.176470588235</v>
      </c>
      <c r="L84" s="21">
        <v>328</v>
      </c>
      <c r="M84" s="54">
        <f t="shared" si="5"/>
        <v>1742.4</v>
      </c>
    </row>
    <row r="85" customHeight="1" spans="1:13">
      <c r="A85" s="189" t="s">
        <v>38</v>
      </c>
      <c r="B85" s="20">
        <v>2273.71492390218</v>
      </c>
      <c r="C85" s="23">
        <v>1549.21737148314</v>
      </c>
      <c r="D85" s="23">
        <v>505.376037185951</v>
      </c>
      <c r="E85" s="23">
        <v>360.28</v>
      </c>
      <c r="F85" s="23">
        <v>2232.6305632381</v>
      </c>
      <c r="G85" s="23">
        <v>2315.91492047463</v>
      </c>
      <c r="H85" s="23">
        <v>453.793</v>
      </c>
      <c r="I85" s="21">
        <v>823</v>
      </c>
      <c r="J85" s="70">
        <f t="shared" si="4"/>
        <v>2010.7</v>
      </c>
      <c r="K85" s="21">
        <v>806.363636363636</v>
      </c>
      <c r="L85" s="21">
        <v>358</v>
      </c>
      <c r="M85" s="54">
        <f t="shared" si="5"/>
        <v>1790.7</v>
      </c>
    </row>
    <row r="86" customHeight="1" spans="1:13">
      <c r="A86" s="189" t="s">
        <v>39</v>
      </c>
      <c r="B86" s="20">
        <v>2310.92311103161</v>
      </c>
      <c r="C86" s="23">
        <v>1623.04770270756</v>
      </c>
      <c r="D86" s="23">
        <v>513.926019223256</v>
      </c>
      <c r="E86" s="23">
        <v>367.65</v>
      </c>
      <c r="F86" s="23">
        <v>2257.71747800311</v>
      </c>
      <c r="G86" s="23">
        <v>2340.73372268305</v>
      </c>
      <c r="H86" s="23">
        <v>403.958</v>
      </c>
      <c r="I86" s="21">
        <v>902.666666666667</v>
      </c>
      <c r="J86" s="70">
        <f t="shared" si="4"/>
        <v>2082.4</v>
      </c>
      <c r="K86" s="21">
        <v>910</v>
      </c>
      <c r="L86" s="21">
        <v>358</v>
      </c>
      <c r="M86" s="54">
        <f t="shared" si="5"/>
        <v>1862.4</v>
      </c>
    </row>
    <row r="87" customHeight="1" spans="1:13">
      <c r="A87" s="189" t="s">
        <v>40</v>
      </c>
      <c r="B87" s="20">
        <v>2365.12277264168</v>
      </c>
      <c r="C87" s="23">
        <v>1594.44444444444</v>
      </c>
      <c r="D87" s="23">
        <v>526.974539366792</v>
      </c>
      <c r="E87" s="23">
        <v>410.967741935484</v>
      </c>
      <c r="F87" s="23">
        <v>2307.15582434515</v>
      </c>
      <c r="G87" s="23">
        <v>2383.93551653655</v>
      </c>
      <c r="H87" s="23">
        <v>383.509</v>
      </c>
      <c r="I87" s="21">
        <v>1003</v>
      </c>
      <c r="J87" s="70">
        <f t="shared" si="4"/>
        <v>2172.7</v>
      </c>
      <c r="K87" s="21">
        <f>[1]硫磺价格对比!$B$116</f>
        <v>1092.75</v>
      </c>
      <c r="L87" s="21">
        <v>358</v>
      </c>
      <c r="M87" s="54">
        <f t="shared" si="5"/>
        <v>1952.7</v>
      </c>
    </row>
    <row r="88" customHeight="1" spans="1:13">
      <c r="A88" s="189" t="s">
        <v>41</v>
      </c>
      <c r="B88" s="20">
        <v>2471.1848190443</v>
      </c>
      <c r="C88" s="23">
        <v>1928.0936655659</v>
      </c>
      <c r="D88" s="23">
        <v>536.255997249679</v>
      </c>
      <c r="E88" s="23">
        <v>499.803571428571</v>
      </c>
      <c r="F88" s="23">
        <v>2547.74322792133</v>
      </c>
      <c r="G88" s="23">
        <v>2400.59803570458</v>
      </c>
      <c r="H88" s="23">
        <v>443.515</v>
      </c>
      <c r="I88" s="21">
        <v>1003</v>
      </c>
      <c r="J88" s="70">
        <f t="shared" si="4"/>
        <v>2172.7</v>
      </c>
      <c r="K88" s="21">
        <v>1438.23529411765</v>
      </c>
      <c r="L88" s="21">
        <v>358</v>
      </c>
      <c r="M88" s="54">
        <f t="shared" si="5"/>
        <v>1952.7</v>
      </c>
    </row>
    <row r="89" customHeight="1" spans="1:13">
      <c r="A89" s="189" t="s">
        <v>42</v>
      </c>
      <c r="B89" s="20">
        <v>2727.36764923849</v>
      </c>
      <c r="C89" s="23">
        <v>1878.20575155648</v>
      </c>
      <c r="D89" s="23">
        <v>702.895278221011</v>
      </c>
      <c r="E89" s="23">
        <v>556.806451612903</v>
      </c>
      <c r="F89" s="23">
        <v>2644.85303742683</v>
      </c>
      <c r="G89" s="23">
        <v>2449.52318683991</v>
      </c>
      <c r="H89" s="23">
        <v>509.38</v>
      </c>
      <c r="I89" s="21">
        <v>859</v>
      </c>
      <c r="J89" s="70">
        <f t="shared" si="4"/>
        <v>2043.1</v>
      </c>
      <c r="K89" s="21">
        <v>1349.5652173913</v>
      </c>
      <c r="L89" s="21">
        <v>358</v>
      </c>
      <c r="M89" s="54">
        <f t="shared" si="5"/>
        <v>1823.1</v>
      </c>
    </row>
    <row r="90" customHeight="1" spans="1:13">
      <c r="A90" s="189" t="s">
        <v>43</v>
      </c>
      <c r="B90" s="20">
        <v>3293.74390943446</v>
      </c>
      <c r="C90" s="23">
        <v>1879.07316074161</v>
      </c>
      <c r="D90" s="23">
        <v>725.150408873673</v>
      </c>
      <c r="E90" s="23">
        <v>538.833333333333</v>
      </c>
      <c r="F90" s="23">
        <v>3389.33243524514</v>
      </c>
      <c r="G90" s="23">
        <v>2783.35273364213</v>
      </c>
      <c r="H90" s="23">
        <v>487.064</v>
      </c>
      <c r="I90" s="21">
        <v>956</v>
      </c>
      <c r="J90" s="70">
        <f t="shared" si="4"/>
        <v>2130.4</v>
      </c>
      <c r="K90" s="21">
        <v>1420</v>
      </c>
      <c r="L90" s="21">
        <v>408</v>
      </c>
      <c r="M90" s="54">
        <f t="shared" si="5"/>
        <v>1910.4</v>
      </c>
    </row>
    <row r="91" customHeight="1" spans="1:13">
      <c r="A91" s="189" t="s">
        <v>44</v>
      </c>
      <c r="B91" s="20">
        <v>3225.76580175787</v>
      </c>
      <c r="C91" s="23">
        <v>1992.87529186385</v>
      </c>
      <c r="D91" s="23">
        <v>667.459087470373</v>
      </c>
      <c r="E91" s="23">
        <v>537.435483870968</v>
      </c>
      <c r="F91" s="23">
        <v>3318.10895961445</v>
      </c>
      <c r="G91" s="23">
        <v>3012.73195876289</v>
      </c>
      <c r="H91" s="23">
        <v>519.509</v>
      </c>
      <c r="I91" s="21">
        <v>1125</v>
      </c>
      <c r="J91" s="70">
        <f t="shared" si="4"/>
        <v>2282.5</v>
      </c>
      <c r="K91" s="21">
        <v>1554.47368421053</v>
      </c>
      <c r="L91" s="21">
        <v>458</v>
      </c>
      <c r="M91" s="54">
        <f t="shared" si="5"/>
        <v>2062.5</v>
      </c>
    </row>
    <row r="92" customHeight="1" spans="1:13">
      <c r="A92" s="189" t="s">
        <v>45</v>
      </c>
      <c r="B92" s="20">
        <v>3262.17499294506</v>
      </c>
      <c r="C92" s="23">
        <v>2477.24305433734</v>
      </c>
      <c r="D92" s="23">
        <v>705.824726718078</v>
      </c>
      <c r="E92" s="23">
        <v>557.783333333333</v>
      </c>
      <c r="F92" s="23">
        <v>3308.90277248981</v>
      </c>
      <c r="G92" s="23">
        <v>3033.09200725935</v>
      </c>
      <c r="H92" s="23">
        <v>493.714</v>
      </c>
      <c r="I92" s="21">
        <v>1125</v>
      </c>
      <c r="J92" s="70">
        <f t="shared" si="4"/>
        <v>2282.5</v>
      </c>
      <c r="K92" s="21">
        <v>1597.85714285714</v>
      </c>
      <c r="L92" s="21">
        <v>488</v>
      </c>
      <c r="M92" s="54">
        <f t="shared" si="5"/>
        <v>2062.5</v>
      </c>
    </row>
    <row r="93" customHeight="1" spans="1:13">
      <c r="A93" s="189" t="s">
        <v>46</v>
      </c>
      <c r="B93" s="20">
        <v>3373.02009683852</v>
      </c>
      <c r="C93" s="23">
        <v>2582.17784831528</v>
      </c>
      <c r="D93" s="23">
        <v>883.015004773278</v>
      </c>
      <c r="E93" s="23">
        <v>570.209677419355</v>
      </c>
      <c r="F93" s="23">
        <v>3419.94405863571</v>
      </c>
      <c r="G93" s="23">
        <v>3241.88285204845</v>
      </c>
      <c r="H93" s="23">
        <v>483.382</v>
      </c>
      <c r="I93" s="21">
        <v>1203</v>
      </c>
      <c r="J93" s="70">
        <f t="shared" si="4"/>
        <v>2352.7</v>
      </c>
      <c r="K93" s="21">
        <v>1584.31818181818</v>
      </c>
      <c r="L93" s="21">
        <v>508</v>
      </c>
      <c r="M93" s="54">
        <f t="shared" si="5"/>
        <v>2132.7</v>
      </c>
    </row>
    <row r="94" customHeight="1" spans="1:13">
      <c r="A94" s="189" t="s">
        <v>47</v>
      </c>
      <c r="B94" s="20">
        <v>3508.28733466809</v>
      </c>
      <c r="C94" s="23">
        <v>2450.54764504434</v>
      </c>
      <c r="D94" s="23">
        <v>1114.91843076379</v>
      </c>
      <c r="E94" s="23">
        <v>615</v>
      </c>
      <c r="F94" s="23">
        <v>3534.41809739965</v>
      </c>
      <c r="G94" s="23">
        <v>3434.08638714919</v>
      </c>
      <c r="H94" s="23"/>
      <c r="I94" s="21">
        <v>1388</v>
      </c>
      <c r="J94" s="23">
        <f t="shared" si="4"/>
        <v>2519.2</v>
      </c>
      <c r="K94" s="21">
        <v>1774.09090909091</v>
      </c>
      <c r="L94" s="21">
        <v>558</v>
      </c>
      <c r="M94" s="54">
        <f t="shared" si="5"/>
        <v>2299.2</v>
      </c>
    </row>
    <row r="95" customHeight="1" spans="1:13">
      <c r="A95" s="189" t="s">
        <v>48</v>
      </c>
      <c r="B95" s="20">
        <v>3780.28873276843</v>
      </c>
      <c r="C95" s="23">
        <v>2308.90494301173</v>
      </c>
      <c r="D95" s="23">
        <v>994.141441710245</v>
      </c>
      <c r="E95" s="81">
        <v>632</v>
      </c>
      <c r="F95" s="23">
        <v>3888.3718861277</v>
      </c>
      <c r="G95" s="23">
        <v>3531.36827362024</v>
      </c>
      <c r="H95" s="23"/>
      <c r="I95" s="21">
        <v>1588</v>
      </c>
      <c r="J95" s="70">
        <f t="shared" si="4"/>
        <v>2699.2</v>
      </c>
      <c r="K95" s="21">
        <v>1908.40909090909</v>
      </c>
      <c r="L95" s="21">
        <v>608</v>
      </c>
      <c r="M95" s="54">
        <f t="shared" si="5"/>
        <v>2479.2</v>
      </c>
    </row>
    <row r="96" customHeight="1" spans="1:13">
      <c r="A96" s="189" t="s">
        <v>49</v>
      </c>
      <c r="B96" s="20">
        <v>3742.63740127969</v>
      </c>
      <c r="C96" s="23">
        <v>2625.88642954943</v>
      </c>
      <c r="D96" s="23">
        <v>1042.6097770825</v>
      </c>
      <c r="E96" s="81">
        <v>635</v>
      </c>
      <c r="F96" s="23">
        <v>4002.08841159686</v>
      </c>
      <c r="G96" s="23">
        <v>3503.86946281528</v>
      </c>
      <c r="H96" s="23"/>
      <c r="I96" s="21">
        <v>2309</v>
      </c>
      <c r="J96" s="23">
        <f t="shared" si="4"/>
        <v>3348.1</v>
      </c>
      <c r="K96" s="21">
        <v>1937.05882352941</v>
      </c>
      <c r="L96" s="21">
        <v>608</v>
      </c>
      <c r="M96" s="54">
        <f t="shared" si="5"/>
        <v>3128.1</v>
      </c>
    </row>
    <row r="97" customHeight="1" spans="1:13">
      <c r="A97" s="189" t="s">
        <v>50</v>
      </c>
      <c r="B97" s="20">
        <v>3536.15387237605</v>
      </c>
      <c r="C97" s="23">
        <v>2384.40934273753</v>
      </c>
      <c r="D97" s="23">
        <v>1162.34121307324</v>
      </c>
      <c r="E97" s="81">
        <v>736</v>
      </c>
      <c r="F97" s="23">
        <v>4044.59305734104</v>
      </c>
      <c r="G97" s="23">
        <v>3477.1662526713</v>
      </c>
      <c r="H97" s="23"/>
      <c r="I97" s="21">
        <v>1489</v>
      </c>
      <c r="J97" s="23">
        <f t="shared" si="4"/>
        <v>2610.1</v>
      </c>
      <c r="K97" s="21">
        <v>2001.81818181818</v>
      </c>
      <c r="L97" s="21">
        <v>608</v>
      </c>
      <c r="M97" s="54">
        <f t="shared" si="5"/>
        <v>2390.1</v>
      </c>
    </row>
    <row r="98" customHeight="1" spans="1:13">
      <c r="A98" s="189" t="s">
        <v>51</v>
      </c>
      <c r="B98" s="20">
        <v>3536.09939443262</v>
      </c>
      <c r="C98" s="23">
        <v>2232.99462756554</v>
      </c>
      <c r="D98" s="23">
        <v>1015.96393651712</v>
      </c>
      <c r="E98" s="81">
        <v>875</v>
      </c>
      <c r="F98" s="23">
        <v>3906.58737028573</v>
      </c>
      <c r="G98" s="23">
        <v>3462.29029744238</v>
      </c>
      <c r="H98" s="23"/>
      <c r="I98" s="21">
        <v>1416</v>
      </c>
      <c r="J98" s="23">
        <f t="shared" si="4"/>
        <v>2544.4</v>
      </c>
      <c r="K98" s="21">
        <v>2313.04347826087</v>
      </c>
      <c r="L98" s="21">
        <v>608</v>
      </c>
      <c r="M98" s="54">
        <f t="shared" si="5"/>
        <v>2324.4</v>
      </c>
    </row>
    <row r="99" customHeight="1" spans="1:13">
      <c r="A99" s="189" t="s">
        <v>52</v>
      </c>
      <c r="B99" s="20">
        <v>3635.94254687299</v>
      </c>
      <c r="C99" s="23"/>
      <c r="D99" s="23"/>
      <c r="E99" s="81">
        <v>885</v>
      </c>
      <c r="F99" s="23">
        <v>3937.64104846315</v>
      </c>
      <c r="G99" s="23">
        <v>3450.79394546587</v>
      </c>
      <c r="H99" s="23"/>
      <c r="I99" s="21">
        <f>[2]原料煤!$AF$10</f>
        <v>1564.761568</v>
      </c>
      <c r="J99" s="23">
        <f t="shared" si="4"/>
        <v>2678.2854112</v>
      </c>
      <c r="K99" s="21">
        <v>2461.25</v>
      </c>
      <c r="L99" s="21">
        <v>608</v>
      </c>
      <c r="M99" s="54">
        <f t="shared" si="5"/>
        <v>2458.2854112</v>
      </c>
    </row>
    <row r="100" customHeight="1" spans="1:13">
      <c r="A100" s="189" t="s">
        <v>53</v>
      </c>
      <c r="B100" s="20">
        <v>3566.13213614648</v>
      </c>
      <c r="C100" s="23"/>
      <c r="D100" s="23"/>
      <c r="E100" s="81">
        <v>891.38</v>
      </c>
      <c r="F100" s="23">
        <v>3890.17991478809</v>
      </c>
      <c r="G100" s="23">
        <v>3461.59528423234</v>
      </c>
      <c r="H100" s="23"/>
      <c r="I100" s="21">
        <f>[3]原料煤!$AF$10</f>
        <v>1707.354545</v>
      </c>
      <c r="J100" s="23">
        <f t="shared" si="4"/>
        <v>2806.6190905</v>
      </c>
      <c r="K100" s="21">
        <v>2569.33333333333</v>
      </c>
      <c r="L100" s="21">
        <v>608</v>
      </c>
      <c r="M100" s="54">
        <f t="shared" si="5"/>
        <v>2586.6190905</v>
      </c>
    </row>
    <row r="101" customHeight="1" spans="1:13">
      <c r="A101" s="189" t="s">
        <v>54</v>
      </c>
      <c r="B101" s="20">
        <v>4271.26059306314</v>
      </c>
      <c r="C101" s="23"/>
      <c r="D101" s="23"/>
      <c r="E101" s="81">
        <v>916.4</v>
      </c>
      <c r="F101" s="23">
        <v>5398.33275416877</v>
      </c>
      <c r="G101" s="23">
        <v>3464.50177491659</v>
      </c>
      <c r="H101" s="23"/>
      <c r="I101" s="21">
        <f>[4]原料煤!$AF$10</f>
        <v>1531.446555</v>
      </c>
      <c r="J101" s="23">
        <f t="shared" si="4"/>
        <v>2648.3018995</v>
      </c>
      <c r="K101" s="21">
        <v>3236</v>
      </c>
      <c r="L101" s="21">
        <v>608</v>
      </c>
      <c r="M101" s="54">
        <f t="shared" si="5"/>
        <v>2428.3018995</v>
      </c>
    </row>
    <row r="102" customHeight="1" spans="1:13">
      <c r="A102" s="189" t="s">
        <v>55</v>
      </c>
      <c r="B102" s="20">
        <v>4362</v>
      </c>
      <c r="C102" s="23"/>
      <c r="D102" s="23"/>
      <c r="E102" s="81">
        <v>950</v>
      </c>
      <c r="F102" s="23">
        <v>6596</v>
      </c>
      <c r="G102" s="23">
        <v>3525</v>
      </c>
      <c r="H102" s="23"/>
      <c r="I102" s="21">
        <f>[5]原料煤!$AF$10</f>
        <v>1631.932225</v>
      </c>
      <c r="J102" s="23">
        <f t="shared" si="4"/>
        <v>2738.7390025</v>
      </c>
      <c r="K102" s="21">
        <f>[6]硫磺价格对比!$H$153</f>
        <v>3510.47619047619</v>
      </c>
      <c r="L102" s="21">
        <v>645.6</v>
      </c>
      <c r="M102" s="54">
        <f t="shared" si="5"/>
        <v>2518.7390025</v>
      </c>
    </row>
    <row r="103" customHeight="1" spans="1:13">
      <c r="A103" s="189" t="s">
        <v>56</v>
      </c>
      <c r="B103" s="20">
        <v>5029</v>
      </c>
      <c r="C103" s="23"/>
      <c r="D103" s="23"/>
      <c r="E103" s="81">
        <v>1059</v>
      </c>
      <c r="F103" s="23">
        <v>6771</v>
      </c>
      <c r="G103" s="23">
        <v>3747</v>
      </c>
      <c r="H103" s="23"/>
      <c r="I103" s="21">
        <f>[7]原料煤!$AF$10</f>
        <v>1574.097596</v>
      </c>
      <c r="J103" s="23">
        <f t="shared" si="4"/>
        <v>2686.6878364</v>
      </c>
      <c r="K103" s="21">
        <f>[6]硫磺价格对比!$J$153</f>
        <v>4034</v>
      </c>
      <c r="L103" s="21">
        <v>745.6</v>
      </c>
      <c r="M103" s="54">
        <f t="shared" si="5"/>
        <v>2466.6878364</v>
      </c>
    </row>
    <row r="104" customHeight="1" spans="1:13">
      <c r="A104" s="189" t="s">
        <v>57</v>
      </c>
      <c r="B104" s="20">
        <v>5280</v>
      </c>
      <c r="C104" s="23"/>
      <c r="D104" s="23"/>
      <c r="E104" s="81">
        <v>1003</v>
      </c>
      <c r="F104" s="23">
        <v>7152</v>
      </c>
      <c r="G104" s="23">
        <v>4185</v>
      </c>
      <c r="H104" s="23"/>
      <c r="I104" s="21">
        <f>[8]原料煤!$AF$10</f>
        <v>1554.386728</v>
      </c>
      <c r="J104" s="23">
        <f t="shared" si="4"/>
        <v>2668.9480552</v>
      </c>
      <c r="K104" s="21">
        <f>[6]硫磺价格对比!$L$153</f>
        <v>3538.09523809524</v>
      </c>
      <c r="L104" s="21">
        <v>858</v>
      </c>
      <c r="M104" s="54">
        <f t="shared" si="5"/>
        <v>2448.9480552</v>
      </c>
    </row>
    <row r="105" customHeight="1" spans="1:12">
      <c r="A105" s="189" t="s">
        <v>58</v>
      </c>
      <c r="B105" s="20">
        <v>5705</v>
      </c>
      <c r="C105" s="23"/>
      <c r="D105" s="23"/>
      <c r="E105" s="81"/>
      <c r="F105" s="23">
        <v>6093</v>
      </c>
      <c r="G105" s="23">
        <v>3932</v>
      </c>
      <c r="H105" s="23"/>
      <c r="I105" s="21">
        <v>1491</v>
      </c>
      <c r="J105" s="23"/>
      <c r="K105" s="21">
        <v>1864.28571428571</v>
      </c>
      <c r="L105" s="30">
        <v>958</v>
      </c>
    </row>
    <row r="106" customHeight="1" spans="1:12">
      <c r="A106" s="189" t="s">
        <v>59</v>
      </c>
      <c r="B106" s="20">
        <v>5154</v>
      </c>
      <c r="C106" s="82"/>
      <c r="D106" s="82"/>
      <c r="E106" s="82"/>
      <c r="F106" s="23">
        <v>5812</v>
      </c>
      <c r="G106" s="23">
        <v>3300</v>
      </c>
      <c r="H106" s="82"/>
      <c r="I106" s="21">
        <v>1443</v>
      </c>
      <c r="J106" s="21"/>
      <c r="K106" s="21">
        <v>1056.52173913043</v>
      </c>
      <c r="L106" s="30">
        <v>958</v>
      </c>
    </row>
    <row r="107" customHeight="1" spans="1:12">
      <c r="A107" s="189" t="s">
        <v>163</v>
      </c>
      <c r="B107" s="20"/>
      <c r="C107" s="82"/>
      <c r="D107" s="82"/>
      <c r="E107" s="82"/>
      <c r="F107" s="23"/>
      <c r="G107" s="23"/>
      <c r="H107" s="82"/>
      <c r="I107" s="21"/>
      <c r="J107" s="21"/>
      <c r="K107" s="21"/>
      <c r="L107" s="30">
        <v>958</v>
      </c>
    </row>
    <row r="108" customHeight="1" spans="1:12">
      <c r="A108" s="189" t="s">
        <v>164</v>
      </c>
      <c r="B108" s="20"/>
      <c r="C108" s="82"/>
      <c r="D108" s="82"/>
      <c r="E108" s="82"/>
      <c r="F108" s="23"/>
      <c r="G108" s="23"/>
      <c r="H108" s="82"/>
      <c r="I108" s="21"/>
      <c r="J108" s="21"/>
      <c r="K108" s="21"/>
      <c r="L108" s="21"/>
    </row>
    <row r="109" customHeight="1" spans="1:12">
      <c r="A109" s="189" t="s">
        <v>165</v>
      </c>
      <c r="B109" s="20"/>
      <c r="C109" s="82"/>
      <c r="D109" s="82"/>
      <c r="E109" s="82"/>
      <c r="F109" s="23"/>
      <c r="G109" s="23"/>
      <c r="H109" s="82"/>
      <c r="I109" s="21"/>
      <c r="J109" s="21"/>
      <c r="K109" s="21"/>
      <c r="L109" s="21"/>
    </row>
    <row r="110" customHeight="1" spans="1:12">
      <c r="A110" s="189" t="s">
        <v>166</v>
      </c>
      <c r="B110" s="20"/>
      <c r="C110" s="82"/>
      <c r="D110" s="82"/>
      <c r="E110" s="82"/>
      <c r="F110" s="23"/>
      <c r="G110" s="23"/>
      <c r="H110" s="82"/>
      <c r="I110" s="21"/>
      <c r="J110" s="21"/>
      <c r="K110" s="21"/>
      <c r="L110" s="21"/>
    </row>
    <row r="111" customHeight="1" spans="1:12">
      <c r="A111" s="82"/>
      <c r="B111" s="20"/>
      <c r="C111" s="82"/>
      <c r="D111" s="82"/>
      <c r="E111" s="82"/>
      <c r="F111" s="23"/>
      <c r="G111" s="23"/>
      <c r="H111" s="82"/>
      <c r="I111" s="21"/>
      <c r="J111" s="21"/>
      <c r="K111" s="21"/>
      <c r="L111" s="21"/>
    </row>
    <row r="112" customHeight="1" spans="1:12">
      <c r="A112" s="82"/>
      <c r="B112" s="20"/>
      <c r="C112" s="82"/>
      <c r="D112" s="82"/>
      <c r="E112" s="82"/>
      <c r="F112" s="23"/>
      <c r="G112" s="23"/>
      <c r="H112" s="82"/>
      <c r="I112" s="21"/>
      <c r="J112" s="21"/>
      <c r="K112" s="21"/>
      <c r="L112" s="21"/>
    </row>
    <row r="113" customHeight="1" spans="1:12">
      <c r="A113" s="82"/>
      <c r="B113" s="20"/>
      <c r="C113" s="82"/>
      <c r="D113" s="82"/>
      <c r="E113" s="82"/>
      <c r="F113" s="23"/>
      <c r="G113" s="23"/>
      <c r="H113" s="82"/>
      <c r="I113" s="21"/>
      <c r="J113" s="21"/>
      <c r="K113" s="21"/>
      <c r="L113" s="21"/>
    </row>
    <row r="114" customHeight="1" spans="1:12">
      <c r="A114" s="82"/>
      <c r="B114" s="20"/>
      <c r="C114" s="82"/>
      <c r="D114" s="82"/>
      <c r="E114" s="82"/>
      <c r="F114" s="23"/>
      <c r="G114" s="23"/>
      <c r="H114" s="82"/>
      <c r="I114" s="21"/>
      <c r="J114" s="21"/>
      <c r="K114" s="21"/>
      <c r="L114" s="21"/>
    </row>
  </sheetData>
  <mergeCells count="1">
    <mergeCell ref="F1:G1"/>
  </mergeCells>
  <conditionalFormatting sqref="E95:E105">
    <cfRule type="cellIs" dxfId="2" priority="1" operator="equal">
      <formula>0</formula>
    </cfRule>
  </conditionalFormatting>
  <conditionalFormatting sqref="P32:P54">
    <cfRule type="cellIs" dxfId="3" priority="8" operator="lessThan">
      <formula>0</formula>
    </cfRule>
  </conditionalFormatting>
  <conditionalFormatting sqref="X32:X54">
    <cfRule type="cellIs" dxfId="3" priority="7" operator="lessThan">
      <formula>0</formula>
    </cfRule>
  </conditionalFormatting>
  <printOptions horizontalCentered="1" verticalCentered="1"/>
  <pageMargins left="0" right="0" top="0.748031496062992" bottom="0.748031496062992" header="0.31496062992126" footer="0.31496062992126"/>
  <pageSetup paperSize="9" scale="95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DQ42"/>
  <sheetViews>
    <sheetView workbookViewId="0">
      <pane xSplit="1" ySplit="1" topLeftCell="AH29" activePane="bottomRight" state="frozenSplit"/>
      <selection/>
      <selection pane="topRight"/>
      <selection pane="bottomLeft"/>
      <selection pane="bottomRight" activeCell="AJ1" sqref="AI$1:AJ$1048576"/>
    </sheetView>
  </sheetViews>
  <sheetFormatPr defaultColWidth="9" defaultRowHeight="14.25"/>
  <cols>
    <col min="1" max="1" width="143.875" customWidth="1"/>
    <col min="85" max="85" width="8.625" style="16"/>
    <col min="111" max="111" width="10.25" customWidth="1"/>
    <col min="116" max="118" width="10.125" customWidth="1"/>
  </cols>
  <sheetData>
    <row r="1" ht="16.5" spans="1:118">
      <c r="A1" s="17" t="s">
        <v>92</v>
      </c>
      <c r="B1" s="189" t="s">
        <v>93</v>
      </c>
      <c r="C1" s="189" t="s">
        <v>94</v>
      </c>
      <c r="D1" s="189" t="s">
        <v>95</v>
      </c>
      <c r="E1" s="189" t="s">
        <v>96</v>
      </c>
      <c r="F1" s="189" t="s">
        <v>97</v>
      </c>
      <c r="G1" s="189" t="s">
        <v>98</v>
      </c>
      <c r="H1" s="189" t="s">
        <v>99</v>
      </c>
      <c r="I1" s="189" t="s">
        <v>100</v>
      </c>
      <c r="J1" s="189" t="s">
        <v>101</v>
      </c>
      <c r="K1" s="189" t="s">
        <v>102</v>
      </c>
      <c r="L1" s="189" t="s">
        <v>103</v>
      </c>
      <c r="M1" s="189" t="s">
        <v>104</v>
      </c>
      <c r="N1" s="189" t="s">
        <v>105</v>
      </c>
      <c r="O1" s="189" t="s">
        <v>106</v>
      </c>
      <c r="P1" s="189" t="s">
        <v>107</v>
      </c>
      <c r="Q1" s="189" t="s">
        <v>108</v>
      </c>
      <c r="R1" s="189" t="s">
        <v>109</v>
      </c>
      <c r="S1" s="189" t="s">
        <v>110</v>
      </c>
      <c r="T1" s="189" t="s">
        <v>111</v>
      </c>
      <c r="U1" s="189" t="s">
        <v>112</v>
      </c>
      <c r="V1" s="189" t="s">
        <v>113</v>
      </c>
      <c r="W1" s="189" t="s">
        <v>114</v>
      </c>
      <c r="X1" s="189" t="s">
        <v>115</v>
      </c>
      <c r="Y1" s="189" t="s">
        <v>116</v>
      </c>
      <c r="Z1" s="189" t="s">
        <v>117</v>
      </c>
      <c r="AA1" s="189" t="s">
        <v>118</v>
      </c>
      <c r="AB1" s="189" t="s">
        <v>119</v>
      </c>
      <c r="AC1" s="189" t="s">
        <v>120</v>
      </c>
      <c r="AD1" s="189" t="s">
        <v>121</v>
      </c>
      <c r="AE1" s="189" t="s">
        <v>122</v>
      </c>
      <c r="AF1" s="189" t="s">
        <v>123</v>
      </c>
      <c r="AG1" s="189" t="s">
        <v>124</v>
      </c>
      <c r="AH1" s="189" t="s">
        <v>125</v>
      </c>
      <c r="AI1" s="189" t="s">
        <v>126</v>
      </c>
      <c r="AJ1" s="189" t="s">
        <v>127</v>
      </c>
      <c r="AK1" s="189" t="s">
        <v>128</v>
      </c>
      <c r="AL1" s="189" t="s">
        <v>129</v>
      </c>
      <c r="AM1" s="189" t="s">
        <v>130</v>
      </c>
      <c r="AN1" s="189" t="s">
        <v>131</v>
      </c>
      <c r="AO1" s="189" t="s">
        <v>132</v>
      </c>
      <c r="AP1" s="189" t="s">
        <v>133</v>
      </c>
      <c r="AQ1" s="189" t="s">
        <v>134</v>
      </c>
      <c r="AR1" s="189" t="s">
        <v>135</v>
      </c>
      <c r="AS1" s="189" t="s">
        <v>136</v>
      </c>
      <c r="AT1" s="189" t="s">
        <v>137</v>
      </c>
      <c r="AU1" s="189" t="s">
        <v>138</v>
      </c>
      <c r="AV1" s="189" t="s">
        <v>139</v>
      </c>
      <c r="AW1" s="189" t="s">
        <v>140</v>
      </c>
      <c r="AX1" s="189" t="s">
        <v>4</v>
      </c>
      <c r="AY1" s="189" t="s">
        <v>5</v>
      </c>
      <c r="AZ1" s="189" t="s">
        <v>6</v>
      </c>
      <c r="BA1" s="189" t="s">
        <v>7</v>
      </c>
      <c r="BB1" s="189" t="s">
        <v>8</v>
      </c>
      <c r="BC1" s="189" t="s">
        <v>9</v>
      </c>
      <c r="BD1" s="189" t="s">
        <v>10</v>
      </c>
      <c r="BE1" s="189" t="s">
        <v>11</v>
      </c>
      <c r="BF1" s="189" t="s">
        <v>12</v>
      </c>
      <c r="BG1" s="189" t="s">
        <v>13</v>
      </c>
      <c r="BH1" s="189" t="s">
        <v>14</v>
      </c>
      <c r="BI1" s="189" t="s">
        <v>15</v>
      </c>
      <c r="BJ1" s="189" t="s">
        <v>16</v>
      </c>
      <c r="BK1" s="189" t="s">
        <v>17</v>
      </c>
      <c r="BL1" s="189" t="s">
        <v>18</v>
      </c>
      <c r="BM1" s="189" t="s">
        <v>19</v>
      </c>
      <c r="BN1" s="189" t="s">
        <v>20</v>
      </c>
      <c r="BO1" s="189" t="s">
        <v>21</v>
      </c>
      <c r="BP1" s="189" t="s">
        <v>22</v>
      </c>
      <c r="BQ1" s="189" t="s">
        <v>23</v>
      </c>
      <c r="BR1" s="189" t="s">
        <v>24</v>
      </c>
      <c r="BS1" s="189" t="s">
        <v>25</v>
      </c>
      <c r="BT1" s="189" t="s">
        <v>26</v>
      </c>
      <c r="BU1" s="189" t="s">
        <v>27</v>
      </c>
      <c r="BV1" s="189" t="s">
        <v>28</v>
      </c>
      <c r="BW1" s="189" t="s">
        <v>29</v>
      </c>
      <c r="BX1" s="189" t="s">
        <v>30</v>
      </c>
      <c r="BY1" s="189" t="s">
        <v>31</v>
      </c>
      <c r="BZ1" s="189" t="s">
        <v>32</v>
      </c>
      <c r="CA1" s="189" t="s">
        <v>33</v>
      </c>
      <c r="CB1" s="189" t="s">
        <v>34</v>
      </c>
      <c r="CC1" s="189" t="s">
        <v>35</v>
      </c>
      <c r="CD1" s="189" t="s">
        <v>36</v>
      </c>
      <c r="CE1" s="189" t="s">
        <v>37</v>
      </c>
      <c r="CF1" s="189" t="s">
        <v>38</v>
      </c>
      <c r="CG1" s="190" t="s">
        <v>39</v>
      </c>
      <c r="CH1" s="189" t="s">
        <v>40</v>
      </c>
      <c r="CI1" s="189" t="s">
        <v>41</v>
      </c>
      <c r="CJ1" s="189" t="s">
        <v>42</v>
      </c>
      <c r="CK1" s="189" t="s">
        <v>43</v>
      </c>
      <c r="CL1" s="189" t="s">
        <v>44</v>
      </c>
      <c r="CM1" s="189" t="s">
        <v>45</v>
      </c>
      <c r="CN1" s="189" t="s">
        <v>46</v>
      </c>
      <c r="CO1" s="189" t="s">
        <v>47</v>
      </c>
      <c r="CP1" s="189" t="s">
        <v>48</v>
      </c>
      <c r="CQ1" s="189" t="s">
        <v>49</v>
      </c>
      <c r="CR1" s="189" t="s">
        <v>50</v>
      </c>
      <c r="CS1" s="189" t="s">
        <v>51</v>
      </c>
      <c r="CT1" s="189" t="s">
        <v>52</v>
      </c>
      <c r="CU1" s="189" t="s">
        <v>53</v>
      </c>
      <c r="CV1" s="189" t="s">
        <v>54</v>
      </c>
      <c r="CW1" s="189" t="s">
        <v>55</v>
      </c>
      <c r="CX1" s="189" t="s">
        <v>56</v>
      </c>
      <c r="CY1" s="189" t="s">
        <v>57</v>
      </c>
      <c r="CZ1" s="189" t="s">
        <v>58</v>
      </c>
      <c r="DA1" s="50"/>
      <c r="DB1" s="51"/>
      <c r="DC1" s="52"/>
      <c r="DD1" s="52"/>
      <c r="DE1" s="52"/>
      <c r="DF1" s="191" t="s">
        <v>141</v>
      </c>
      <c r="DG1" s="52"/>
      <c r="DH1" s="52"/>
      <c r="DI1" s="52"/>
      <c r="DJ1" s="52"/>
      <c r="DK1" s="57"/>
      <c r="DL1" s="192" t="s">
        <v>142</v>
      </c>
      <c r="DM1" s="59"/>
      <c r="DN1" s="59"/>
    </row>
    <row r="2" ht="16.5" spans="1:121">
      <c r="A2" s="19" t="s">
        <v>60</v>
      </c>
      <c r="B2" s="42">
        <v>2214.84253724686</v>
      </c>
      <c r="C2" s="42">
        <v>2336.52802664836</v>
      </c>
      <c r="D2" s="42">
        <v>2486.73561701201</v>
      </c>
      <c r="E2" s="42">
        <v>2463.6406471757</v>
      </c>
      <c r="F2" s="42">
        <v>2421.16058906031</v>
      </c>
      <c r="G2" s="42">
        <v>2389.98441831522</v>
      </c>
      <c r="H2" s="42">
        <v>2517.10202679492</v>
      </c>
      <c r="I2" s="42">
        <v>2610.32495749103</v>
      </c>
      <c r="J2" s="42">
        <v>2740.58145892879</v>
      </c>
      <c r="K2" s="42">
        <v>2534.15628220744</v>
      </c>
      <c r="L2" s="42">
        <v>2670.66059399294</v>
      </c>
      <c r="M2" s="42">
        <v>2577.81847622475</v>
      </c>
      <c r="N2" s="42">
        <v>2589.44395831942</v>
      </c>
      <c r="O2" s="42">
        <v>2675.03974390694</v>
      </c>
      <c r="P2" s="42">
        <v>2661.9709258682</v>
      </c>
      <c r="Q2" s="42">
        <v>2677.49744307477</v>
      </c>
      <c r="R2" s="42">
        <v>2720.9215171283</v>
      </c>
      <c r="S2" s="42">
        <v>2716.1916328704</v>
      </c>
      <c r="T2" s="42">
        <v>2717.93069292358</v>
      </c>
      <c r="U2" s="42">
        <v>2742.67950489356</v>
      </c>
      <c r="V2" s="42">
        <v>2730.55121921408</v>
      </c>
      <c r="W2" s="42">
        <v>2667.02778840469</v>
      </c>
      <c r="X2" s="42">
        <v>2482.10788631239</v>
      </c>
      <c r="Y2" s="42">
        <v>2479.72486912659</v>
      </c>
      <c r="Z2" s="42">
        <v>2369.13681408076</v>
      </c>
      <c r="AA2" s="42">
        <v>2389.92058776453</v>
      </c>
      <c r="AB2" s="42">
        <v>2353.80782960241</v>
      </c>
      <c r="AC2" s="42">
        <v>2228.75944609667</v>
      </c>
      <c r="AD2" s="42">
        <v>2057.65408377272</v>
      </c>
      <c r="AE2" s="42">
        <v>2037.73913355371</v>
      </c>
      <c r="AF2" s="42">
        <v>2060.64942722881</v>
      </c>
      <c r="AG2" s="42">
        <v>2102.88971363419</v>
      </c>
      <c r="AH2" s="42">
        <v>2033.45865565588</v>
      </c>
      <c r="AI2" s="45">
        <v>1899.75616124342</v>
      </c>
      <c r="AJ2" s="42">
        <v>1955.91103711065</v>
      </c>
      <c r="AK2" s="42">
        <v>1983.90829028131</v>
      </c>
      <c r="AL2" s="42">
        <v>2134.89368553085</v>
      </c>
      <c r="AM2" s="42">
        <v>2300.40239887854</v>
      </c>
      <c r="AN2" s="42">
        <v>2353.51886407236</v>
      </c>
      <c r="AO2" s="42">
        <v>2376.9914041787</v>
      </c>
      <c r="AP2" s="42">
        <v>2370.11097779376</v>
      </c>
      <c r="AQ2" s="42">
        <v>2285.11727121911</v>
      </c>
      <c r="AR2" s="42">
        <v>2235.3890116282</v>
      </c>
      <c r="AS2" s="42">
        <v>2225.46747367068</v>
      </c>
      <c r="AT2" s="42">
        <v>2229.89952883193</v>
      </c>
      <c r="AU2" s="42">
        <v>2235.73247647006</v>
      </c>
      <c r="AV2" s="42">
        <v>2329.2131481707</v>
      </c>
      <c r="AW2" s="42">
        <v>2470.30616907957</v>
      </c>
      <c r="AX2" s="42">
        <v>2501.27733994969</v>
      </c>
      <c r="AY2" s="42">
        <v>2526.66487491209</v>
      </c>
      <c r="AZ2" s="42">
        <v>2597.13533556329</v>
      </c>
      <c r="BA2" s="42">
        <v>2548.62846129866</v>
      </c>
      <c r="BB2" s="42">
        <v>2565.61944262039</v>
      </c>
      <c r="BC2" s="42">
        <v>2575.92776325538</v>
      </c>
      <c r="BD2" s="42">
        <v>2678.8684330737</v>
      </c>
      <c r="BE2" s="42">
        <v>2733.19732199673</v>
      </c>
      <c r="BF2" s="42">
        <v>2745.26197429751</v>
      </c>
      <c r="BG2" s="42">
        <v>2742.63429292559</v>
      </c>
      <c r="BH2" s="42">
        <v>2700</v>
      </c>
      <c r="BI2" s="42">
        <v>2700</v>
      </c>
      <c r="BJ2" s="42">
        <v>2614</v>
      </c>
      <c r="BK2" s="42">
        <v>2625</v>
      </c>
      <c r="BL2" s="42">
        <v>2520.39182203737</v>
      </c>
      <c r="BM2" s="42">
        <v>2512.13068830001</v>
      </c>
      <c r="BN2" s="42">
        <v>2429.00920272917</v>
      </c>
      <c r="BO2" s="42">
        <v>2407.32579117454</v>
      </c>
      <c r="BP2" s="42">
        <v>2214.27488235976</v>
      </c>
      <c r="BQ2" s="42">
        <v>2214.17373230795</v>
      </c>
      <c r="BR2" s="42">
        <v>2187.03721640631</v>
      </c>
      <c r="BS2" s="42">
        <v>2139.20731562574</v>
      </c>
      <c r="BT2" s="42">
        <v>2103.83873158189</v>
      </c>
      <c r="BU2" s="42">
        <v>2061.2315180595</v>
      </c>
      <c r="BV2" s="42">
        <v>2085.85646546543</v>
      </c>
      <c r="BW2" s="42">
        <v>1986.99049986103</v>
      </c>
      <c r="BX2" s="42">
        <v>1986.99049986103</v>
      </c>
      <c r="BY2" s="42">
        <v>2071.54970299319</v>
      </c>
      <c r="BZ2" s="42">
        <v>2060.86989188714</v>
      </c>
      <c r="CA2" s="42">
        <v>2071.91942244851</v>
      </c>
      <c r="CB2" s="42">
        <v>2098.81534256527</v>
      </c>
      <c r="CC2" s="42">
        <v>2082.68201288914</v>
      </c>
      <c r="CD2" s="42">
        <v>2176.04544673005</v>
      </c>
      <c r="CE2" s="42">
        <v>2238.37267542502</v>
      </c>
      <c r="CF2" s="42">
        <v>2273.71492390218</v>
      </c>
      <c r="CG2" s="42">
        <v>2310.92311103161</v>
      </c>
      <c r="CH2" s="42">
        <v>2365.12277264168</v>
      </c>
      <c r="CI2" s="42">
        <v>2471.1848190443</v>
      </c>
      <c r="CJ2" s="42">
        <v>2727.36764923849</v>
      </c>
      <c r="CK2" s="42">
        <v>3293.74390943446</v>
      </c>
      <c r="CL2" s="42">
        <v>3225.76580175787</v>
      </c>
      <c r="CM2" s="42">
        <v>3262.17499294506</v>
      </c>
      <c r="CN2" s="42">
        <v>3373.02009683852</v>
      </c>
      <c r="CO2" s="42">
        <v>3508.28733466809</v>
      </c>
      <c r="CP2" s="42">
        <v>3780.28873276843</v>
      </c>
      <c r="CQ2" s="42">
        <v>3742.63740127969</v>
      </c>
      <c r="CR2" s="42">
        <v>3536.15387237605</v>
      </c>
      <c r="CS2" s="42">
        <v>3536.09939443262</v>
      </c>
      <c r="CT2" s="42">
        <v>3635.94254687299</v>
      </c>
      <c r="CU2" s="42">
        <v>3566.13213614648</v>
      </c>
      <c r="CV2" s="42">
        <v>4271.26059306314</v>
      </c>
      <c r="CW2" s="42">
        <v>4362</v>
      </c>
      <c r="CX2" s="42">
        <v>5029</v>
      </c>
      <c r="CY2" s="47">
        <v>5280</v>
      </c>
      <c r="CZ2" s="42">
        <v>5074.32941176471</v>
      </c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>
        <f>(5900*22+4000*63)/85</f>
        <v>4491.76470588235</v>
      </c>
      <c r="DM2" s="53">
        <f>(5900*22+4000*63)/85</f>
        <v>4491.76470588235</v>
      </c>
      <c r="DN2" s="53">
        <f>(5900*22+4000*63)/85</f>
        <v>4491.76470588235</v>
      </c>
      <c r="DO2" s="36">
        <f>AVERAGE(B2:CZ2)</f>
        <v>2621.10033013105</v>
      </c>
      <c r="DP2" s="36">
        <f>MAX(B2:CZ2)</f>
        <v>5280</v>
      </c>
      <c r="DQ2" s="36">
        <f>MIN(B2:CZ2)</f>
        <v>1899.75616124342</v>
      </c>
    </row>
    <row r="3" ht="16.5" spans="1:121">
      <c r="A3" s="19" t="s">
        <v>60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5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7"/>
      <c r="CZ3" s="42">
        <v>5074.32941176471</v>
      </c>
      <c r="DA3" s="53">
        <v>4400</v>
      </c>
      <c r="DB3" s="53">
        <v>4400</v>
      </c>
      <c r="DC3" s="53">
        <v>4400</v>
      </c>
      <c r="DD3" s="53">
        <v>4400</v>
      </c>
      <c r="DE3" s="53">
        <v>4400</v>
      </c>
      <c r="DF3" s="53">
        <v>4400</v>
      </c>
      <c r="DG3" s="53">
        <v>4400</v>
      </c>
      <c r="DH3" s="53">
        <v>4400</v>
      </c>
      <c r="DI3" s="53">
        <v>4400</v>
      </c>
      <c r="DJ3" s="53">
        <v>4400</v>
      </c>
      <c r="DK3" s="53">
        <v>4400</v>
      </c>
      <c r="DL3" s="53"/>
      <c r="DM3" s="53"/>
      <c r="DN3" s="53"/>
      <c r="DO3" s="36"/>
      <c r="DP3" s="36"/>
      <c r="DQ3" s="36"/>
    </row>
    <row r="4" ht="16.5" spans="1:121">
      <c r="A4" s="19" t="s">
        <v>144</v>
      </c>
      <c r="B4" s="23">
        <v>1327</v>
      </c>
      <c r="C4" s="23">
        <v>1491</v>
      </c>
      <c r="D4" s="23">
        <v>1408</v>
      </c>
      <c r="E4" s="23">
        <v>1104</v>
      </c>
      <c r="F4" s="23">
        <v>1307</v>
      </c>
      <c r="G4" s="23">
        <v>1315</v>
      </c>
      <c r="H4" s="23">
        <v>1361</v>
      </c>
      <c r="I4" s="23">
        <v>1291</v>
      </c>
      <c r="J4" s="23">
        <v>1197</v>
      </c>
      <c r="K4" s="23">
        <v>1024</v>
      </c>
      <c r="L4" s="23">
        <v>1145</v>
      </c>
      <c r="M4" s="23">
        <v>1314</v>
      </c>
      <c r="N4" s="23">
        <v>1372</v>
      </c>
      <c r="O4" s="23">
        <v>1354</v>
      </c>
      <c r="P4" s="23">
        <v>1370</v>
      </c>
      <c r="Q4" s="23">
        <v>1171</v>
      </c>
      <c r="R4" s="23">
        <v>1168</v>
      </c>
      <c r="S4" s="23">
        <v>1250</v>
      </c>
      <c r="T4" s="23">
        <v>1268</v>
      </c>
      <c r="U4" s="23">
        <v>1201</v>
      </c>
      <c r="V4" s="23">
        <v>1063</v>
      </c>
      <c r="W4" s="23">
        <v>1048</v>
      </c>
      <c r="X4" s="23">
        <v>1140</v>
      </c>
      <c r="Y4" s="23">
        <v>1080</v>
      </c>
      <c r="Z4" s="23">
        <v>945</v>
      </c>
      <c r="AA4" s="23">
        <v>841</v>
      </c>
      <c r="AB4" s="23">
        <v>760</v>
      </c>
      <c r="AC4" s="23">
        <v>767</v>
      </c>
      <c r="AD4" s="23">
        <v>753</v>
      </c>
      <c r="AE4" s="23">
        <v>711</v>
      </c>
      <c r="AF4" s="23">
        <v>669</v>
      </c>
      <c r="AG4" s="23">
        <v>689</v>
      </c>
      <c r="AH4" s="23">
        <v>729</v>
      </c>
      <c r="AI4" s="23">
        <v>763</v>
      </c>
      <c r="AJ4" s="23">
        <v>870</v>
      </c>
      <c r="AK4" s="23">
        <v>897</v>
      </c>
      <c r="AL4" s="23">
        <v>887</v>
      </c>
      <c r="AM4" s="23">
        <v>907</v>
      </c>
      <c r="AN4" s="23">
        <v>893</v>
      </c>
      <c r="AO4" s="23">
        <v>803</v>
      </c>
      <c r="AP4" s="23">
        <v>813</v>
      </c>
      <c r="AQ4" s="23">
        <v>837</v>
      </c>
      <c r="AR4" s="23">
        <v>902</v>
      </c>
      <c r="AS4" s="23">
        <v>983</v>
      </c>
      <c r="AT4" s="23">
        <v>1045</v>
      </c>
      <c r="AU4" s="23">
        <v>1386</v>
      </c>
      <c r="AV4" s="23">
        <v>1602</v>
      </c>
      <c r="AW4" s="23">
        <v>1301</v>
      </c>
      <c r="AX4" s="23">
        <v>1184</v>
      </c>
      <c r="AY4" s="23">
        <v>1199</v>
      </c>
      <c r="AZ4" s="23">
        <v>1117</v>
      </c>
      <c r="BA4" s="23">
        <v>1059</v>
      </c>
      <c r="BB4" s="23">
        <v>1127</v>
      </c>
      <c r="BC4" s="23">
        <v>1148</v>
      </c>
      <c r="BD4" s="23">
        <v>1193</v>
      </c>
      <c r="BE4" s="23">
        <v>1328</v>
      </c>
      <c r="BF4" s="23">
        <v>1487</v>
      </c>
      <c r="BG4" s="23">
        <v>1459</v>
      </c>
      <c r="BH4" s="23">
        <v>1398</v>
      </c>
      <c r="BI4" s="23">
        <v>1230.5</v>
      </c>
      <c r="BJ4" s="23">
        <v>1133.57</v>
      </c>
      <c r="BK4" s="23">
        <v>1086</v>
      </c>
      <c r="BL4" s="23">
        <v>1005.9</v>
      </c>
      <c r="BM4" s="23">
        <v>997.73</v>
      </c>
      <c r="BN4" s="23">
        <v>972.857142857143</v>
      </c>
      <c r="BO4" s="23">
        <v>963.684210526316</v>
      </c>
      <c r="BP4" s="23">
        <v>841.086956521739</v>
      </c>
      <c r="BQ4" s="23">
        <v>752.272727272727</v>
      </c>
      <c r="BR4" s="23">
        <v>642.6</v>
      </c>
      <c r="BS4" s="23">
        <v>602.368421052632</v>
      </c>
      <c r="BT4" s="45">
        <v>523.571428571429</v>
      </c>
      <c r="BU4" s="45">
        <v>539.090909090909</v>
      </c>
      <c r="BV4" s="23">
        <v>596.5625</v>
      </c>
      <c r="BW4" s="23">
        <v>611.136363636364</v>
      </c>
      <c r="BX4" s="23">
        <v>668.863636363636</v>
      </c>
      <c r="BY4" s="23">
        <v>598.409090909091</v>
      </c>
      <c r="BZ4" s="23">
        <v>641.052631578947</v>
      </c>
      <c r="CA4" s="23">
        <v>661.190476190476</v>
      </c>
      <c r="CB4" s="23">
        <v>630.869565217391</v>
      </c>
      <c r="CC4" s="23">
        <v>651.904761904762</v>
      </c>
      <c r="CD4" s="23">
        <v>702.173913043478</v>
      </c>
      <c r="CE4" s="23">
        <v>746.176470588235</v>
      </c>
      <c r="CF4" s="23">
        <v>806.363636363636</v>
      </c>
      <c r="CG4" s="23">
        <v>920.47619047619</v>
      </c>
      <c r="CH4" s="23">
        <v>1092.75</v>
      </c>
      <c r="CI4" s="23">
        <v>1438.23529411765</v>
      </c>
      <c r="CJ4" s="23">
        <v>1349.5652173913</v>
      </c>
      <c r="CK4" s="23">
        <v>1420</v>
      </c>
      <c r="CL4" s="23">
        <v>1554.47368421053</v>
      </c>
      <c r="CM4" s="23">
        <v>1597.85714285714</v>
      </c>
      <c r="CN4" s="23">
        <v>1584.31818181818</v>
      </c>
      <c r="CO4" s="23">
        <v>1774.09090909091</v>
      </c>
      <c r="CP4" s="23">
        <v>1908.40909090909</v>
      </c>
      <c r="CQ4" s="23">
        <v>1937.05882352941</v>
      </c>
      <c r="CR4" s="23">
        <v>2001.81818181818</v>
      </c>
      <c r="CS4" s="23">
        <v>2313.04347826087</v>
      </c>
      <c r="CT4" s="23">
        <v>2461.25</v>
      </c>
      <c r="CU4" s="23">
        <v>2569.33333333333</v>
      </c>
      <c r="CV4" s="23">
        <v>3236</v>
      </c>
      <c r="CW4" s="23">
        <v>3510.47619047619</v>
      </c>
      <c r="CX4" s="48">
        <v>4034</v>
      </c>
      <c r="CY4" s="23">
        <v>3538.09523809524</v>
      </c>
      <c r="CZ4" s="23">
        <v>2000</v>
      </c>
      <c r="DA4" s="54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36">
        <f>AVERAGE(B4:CZ4)</f>
        <v>1223.96296891333</v>
      </c>
      <c r="DP4" s="36">
        <f>MAX(B4:CZ4)</f>
        <v>4034</v>
      </c>
      <c r="DQ4" s="36">
        <f>MIN(B4:CZ4)</f>
        <v>523.571428571429</v>
      </c>
    </row>
    <row r="5" ht="16.5" spans="1:121">
      <c r="A5" s="19" t="s">
        <v>144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45"/>
      <c r="BU5" s="45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48"/>
      <c r="CY5" s="23"/>
      <c r="CZ5" s="23">
        <v>2000</v>
      </c>
      <c r="DA5" s="54">
        <v>1900</v>
      </c>
      <c r="DB5" s="54">
        <v>1900</v>
      </c>
      <c r="DC5" s="54">
        <v>1900</v>
      </c>
      <c r="DD5" s="54">
        <v>1900</v>
      </c>
      <c r="DE5" s="54">
        <v>1900</v>
      </c>
      <c r="DF5" s="54">
        <v>1900</v>
      </c>
      <c r="DG5" s="54">
        <v>1900</v>
      </c>
      <c r="DH5" s="54">
        <v>1900</v>
      </c>
      <c r="DI5" s="54">
        <v>1900</v>
      </c>
      <c r="DJ5" s="54">
        <v>1900</v>
      </c>
      <c r="DK5" s="54">
        <v>1900</v>
      </c>
      <c r="DL5" s="54">
        <f>DL2/DO7</f>
        <v>1897.12878393176</v>
      </c>
      <c r="DM5" s="54">
        <f>DM2/DP7</f>
        <v>1117.84217514488</v>
      </c>
      <c r="DN5" s="54">
        <f>DN2/DQ7</f>
        <v>3614.90899890447</v>
      </c>
      <c r="DO5" s="36"/>
      <c r="DP5" s="36"/>
      <c r="DQ5" s="36"/>
    </row>
    <row r="6" ht="16.5" spans="1:121">
      <c r="A6" s="19" t="s">
        <v>144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45"/>
      <c r="BU6" s="45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48"/>
      <c r="CY6" s="23"/>
      <c r="CZ6" s="23">
        <v>2000</v>
      </c>
      <c r="DA6" s="54">
        <v>1200</v>
      </c>
      <c r="DB6" s="54">
        <v>1200</v>
      </c>
      <c r="DC6" s="54">
        <v>1200</v>
      </c>
      <c r="DD6" s="54">
        <v>1200</v>
      </c>
      <c r="DE6" s="54">
        <v>1200</v>
      </c>
      <c r="DF6" s="54">
        <v>1200</v>
      </c>
      <c r="DG6" s="54">
        <v>1200</v>
      </c>
      <c r="DH6" s="54">
        <v>1200</v>
      </c>
      <c r="DI6" s="54">
        <v>1200</v>
      </c>
      <c r="DJ6" s="54">
        <v>1200</v>
      </c>
      <c r="DK6" s="54">
        <v>1200</v>
      </c>
      <c r="DL6" s="54"/>
      <c r="DM6" s="54"/>
      <c r="DN6" s="54"/>
      <c r="DO6" s="36"/>
      <c r="DP6" s="36"/>
      <c r="DQ6" s="36"/>
    </row>
    <row r="7" ht="16.5" spans="1:121">
      <c r="A7" s="19" t="s">
        <v>145</v>
      </c>
      <c r="B7" s="43">
        <f>B2/B4</f>
        <v>1.66905993763893</v>
      </c>
      <c r="C7" s="43">
        <f t="shared" ref="C7:BN7" si="0">C2/C4</f>
        <v>1.56708787836912</v>
      </c>
      <c r="D7" s="43">
        <f t="shared" si="0"/>
        <v>1.76614745526421</v>
      </c>
      <c r="E7" s="43">
        <f t="shared" si="0"/>
        <v>2.23155855722437</v>
      </c>
      <c r="F7" s="43">
        <f t="shared" si="0"/>
        <v>1.85245645681738</v>
      </c>
      <c r="G7" s="43">
        <f t="shared" si="0"/>
        <v>1.81747864510663</v>
      </c>
      <c r="H7" s="43">
        <f t="shared" si="0"/>
        <v>1.84945042380229</v>
      </c>
      <c r="I7" s="43">
        <f t="shared" si="0"/>
        <v>2.02194032338577</v>
      </c>
      <c r="J7" s="43">
        <f t="shared" si="0"/>
        <v>2.28954173678262</v>
      </c>
      <c r="K7" s="43">
        <f t="shared" si="0"/>
        <v>2.4747619943432</v>
      </c>
      <c r="L7" s="43">
        <f t="shared" si="0"/>
        <v>2.33245466724274</v>
      </c>
      <c r="M7" s="43">
        <f t="shared" si="0"/>
        <v>1.9618101036718</v>
      </c>
      <c r="N7" s="43">
        <f t="shared" si="0"/>
        <v>1.88734982384797</v>
      </c>
      <c r="O7" s="43">
        <f t="shared" si="0"/>
        <v>1.97565712253098</v>
      </c>
      <c r="P7" s="43">
        <f t="shared" si="0"/>
        <v>1.94304447143664</v>
      </c>
      <c r="Q7" s="43">
        <f t="shared" si="0"/>
        <v>2.2865050752133</v>
      </c>
      <c r="R7" s="43">
        <f t="shared" si="0"/>
        <v>2.32955609343176</v>
      </c>
      <c r="S7" s="43">
        <f t="shared" si="0"/>
        <v>2.17295330629632</v>
      </c>
      <c r="T7" s="43">
        <f t="shared" si="0"/>
        <v>2.14347846445077</v>
      </c>
      <c r="U7" s="43">
        <f t="shared" si="0"/>
        <v>2.28366320141012</v>
      </c>
      <c r="V7" s="43">
        <f t="shared" si="0"/>
        <v>2.56872174902547</v>
      </c>
      <c r="W7" s="43">
        <f t="shared" si="0"/>
        <v>2.5448738438976</v>
      </c>
      <c r="X7" s="43">
        <f t="shared" si="0"/>
        <v>2.17728761957227</v>
      </c>
      <c r="Y7" s="43">
        <f t="shared" si="0"/>
        <v>2.29604154548758</v>
      </c>
      <c r="Z7" s="43">
        <f t="shared" si="0"/>
        <v>2.50702308368334</v>
      </c>
      <c r="AA7" s="43">
        <f t="shared" si="0"/>
        <v>2.84176050863797</v>
      </c>
      <c r="AB7" s="43">
        <f t="shared" si="0"/>
        <v>3.09711556526633</v>
      </c>
      <c r="AC7" s="43">
        <f t="shared" si="0"/>
        <v>2.90581414093438</v>
      </c>
      <c r="AD7" s="43">
        <f t="shared" si="0"/>
        <v>2.73260834498369</v>
      </c>
      <c r="AE7" s="43">
        <f t="shared" si="0"/>
        <v>2.86601847194615</v>
      </c>
      <c r="AF7" s="43">
        <f t="shared" si="0"/>
        <v>3.08019346372019</v>
      </c>
      <c r="AG7" s="43">
        <f t="shared" si="0"/>
        <v>3.05208956986094</v>
      </c>
      <c r="AH7" s="43">
        <f t="shared" si="0"/>
        <v>2.78938087195594</v>
      </c>
      <c r="AI7" s="43">
        <f t="shared" si="0"/>
        <v>2.4898508011054</v>
      </c>
      <c r="AJ7" s="43">
        <f t="shared" si="0"/>
        <v>2.24817360587431</v>
      </c>
      <c r="AK7" s="43">
        <f t="shared" si="0"/>
        <v>2.21171492784984</v>
      </c>
      <c r="AL7" s="43">
        <f t="shared" si="0"/>
        <v>2.4068699949615</v>
      </c>
      <c r="AM7" s="43">
        <f t="shared" si="0"/>
        <v>2.53627607373599</v>
      </c>
      <c r="AN7" s="43">
        <f t="shared" si="0"/>
        <v>2.6355194446499</v>
      </c>
      <c r="AO7" s="43">
        <f t="shared" si="0"/>
        <v>2.96013873496725</v>
      </c>
      <c r="AP7" s="43">
        <f t="shared" si="0"/>
        <v>2.91526565534288</v>
      </c>
      <c r="AQ7" s="43">
        <f t="shared" si="0"/>
        <v>2.7301281615521</v>
      </c>
      <c r="AR7" s="43">
        <f t="shared" si="0"/>
        <v>2.47825832774745</v>
      </c>
      <c r="AS7" s="43">
        <f t="shared" si="0"/>
        <v>2.26395470363243</v>
      </c>
      <c r="AT7" s="43">
        <f t="shared" si="0"/>
        <v>2.13387514720759</v>
      </c>
      <c r="AU7" s="43">
        <f t="shared" si="0"/>
        <v>1.61308259485574</v>
      </c>
      <c r="AV7" s="43">
        <f t="shared" si="0"/>
        <v>1.45394079161717</v>
      </c>
      <c r="AW7" s="43">
        <f t="shared" si="0"/>
        <v>1.89877491858537</v>
      </c>
      <c r="AX7" s="43">
        <f t="shared" si="0"/>
        <v>2.11256532090345</v>
      </c>
      <c r="AY7" s="43">
        <f t="shared" si="0"/>
        <v>2.10731015422193</v>
      </c>
      <c r="AZ7" s="43">
        <f t="shared" si="0"/>
        <v>2.32509877848101</v>
      </c>
      <c r="BA7" s="43">
        <f t="shared" si="0"/>
        <v>2.406636885079</v>
      </c>
      <c r="BB7" s="43">
        <f t="shared" si="0"/>
        <v>2.2765034983322</v>
      </c>
      <c r="BC7" s="43">
        <f t="shared" si="0"/>
        <v>2.24383951503082</v>
      </c>
      <c r="BD7" s="43">
        <f t="shared" si="0"/>
        <v>2.24548904700226</v>
      </c>
      <c r="BE7" s="43">
        <f t="shared" si="0"/>
        <v>2.05813051355175</v>
      </c>
      <c r="BF7" s="43">
        <f t="shared" si="0"/>
        <v>1.84617483140384</v>
      </c>
      <c r="BG7" s="43">
        <f t="shared" si="0"/>
        <v>1.87980417609705</v>
      </c>
      <c r="BH7" s="43">
        <f t="shared" si="0"/>
        <v>1.931330472103</v>
      </c>
      <c r="BI7" s="43">
        <f t="shared" si="0"/>
        <v>2.19422998780983</v>
      </c>
      <c r="BJ7" s="43">
        <f t="shared" si="0"/>
        <v>2.30598904346445</v>
      </c>
      <c r="BK7" s="43">
        <f t="shared" si="0"/>
        <v>2.4171270718232</v>
      </c>
      <c r="BL7" s="43">
        <f t="shared" si="0"/>
        <v>2.50560873052726</v>
      </c>
      <c r="BM7" s="43">
        <f t="shared" si="0"/>
        <v>2.51784619917213</v>
      </c>
      <c r="BN7" s="43">
        <f t="shared" si="0"/>
        <v>2.49677891616802</v>
      </c>
      <c r="BO7" s="43">
        <f t="shared" ref="BO7:CZ7" si="1">BO2/BO4</f>
        <v>2.4980442398862</v>
      </c>
      <c r="BP7" s="43">
        <f t="shared" si="1"/>
        <v>2.63263490794906</v>
      </c>
      <c r="BQ7" s="43">
        <f t="shared" si="1"/>
        <v>2.94331251424622</v>
      </c>
      <c r="BR7" s="43">
        <f t="shared" si="1"/>
        <v>3.40341925989155</v>
      </c>
      <c r="BS7" s="43">
        <f t="shared" si="1"/>
        <v>3.55132712947916</v>
      </c>
      <c r="BT7" s="43">
        <f t="shared" si="1"/>
        <v>4.01824587205272</v>
      </c>
      <c r="BU7" s="43">
        <f t="shared" si="1"/>
        <v>3.82353232692319</v>
      </c>
      <c r="BV7" s="43">
        <f t="shared" si="1"/>
        <v>3.49645924017254</v>
      </c>
      <c r="BW7" s="43">
        <f t="shared" si="1"/>
        <v>3.25130464834084</v>
      </c>
      <c r="BX7" s="43">
        <f t="shared" si="1"/>
        <v>2.9706959562992</v>
      </c>
      <c r="BY7" s="43">
        <f t="shared" si="1"/>
        <v>3.4617617520585</v>
      </c>
      <c r="BZ7" s="43">
        <f t="shared" si="1"/>
        <v>3.2148216704315</v>
      </c>
      <c r="CA7" s="43">
        <f t="shared" si="1"/>
        <v>3.13361958022461</v>
      </c>
      <c r="CB7" s="43">
        <f t="shared" si="1"/>
        <v>3.32686098408003</v>
      </c>
      <c r="CC7" s="43">
        <f t="shared" si="1"/>
        <v>3.1947642272222</v>
      </c>
      <c r="CD7" s="43">
        <f t="shared" si="1"/>
        <v>3.09901209131834</v>
      </c>
      <c r="CE7" s="43">
        <f t="shared" si="1"/>
        <v>2.99978994735714</v>
      </c>
      <c r="CF7" s="43">
        <f t="shared" si="1"/>
        <v>2.81971411081443</v>
      </c>
      <c r="CG7" s="43">
        <f t="shared" si="1"/>
        <v>2.51057347809952</v>
      </c>
      <c r="CH7" s="43">
        <f t="shared" si="1"/>
        <v>2.16437682236713</v>
      </c>
      <c r="CI7" s="43">
        <f t="shared" si="1"/>
        <v>1.71820621365043</v>
      </c>
      <c r="CJ7" s="43">
        <f t="shared" si="1"/>
        <v>2.02092319370121</v>
      </c>
      <c r="CK7" s="43">
        <f t="shared" si="1"/>
        <v>2.31953796439046</v>
      </c>
      <c r="CL7" s="43">
        <f t="shared" si="1"/>
        <v>2.07514983014726</v>
      </c>
      <c r="CM7" s="43">
        <f t="shared" si="1"/>
        <v>2.04159364779754</v>
      </c>
      <c r="CN7" s="43">
        <f t="shared" si="1"/>
        <v>2.12900422121496</v>
      </c>
      <c r="CO7" s="43">
        <f t="shared" si="1"/>
        <v>1.977512717466</v>
      </c>
      <c r="CP7" s="43">
        <f t="shared" si="1"/>
        <v>1.98085869050626</v>
      </c>
      <c r="CQ7" s="43">
        <f t="shared" si="1"/>
        <v>1.93212377229744</v>
      </c>
      <c r="CR7" s="43">
        <f t="shared" si="1"/>
        <v>1.7664710534122</v>
      </c>
      <c r="CS7" s="43">
        <f t="shared" si="1"/>
        <v>1.52876477578854</v>
      </c>
      <c r="CT7" s="43">
        <f t="shared" si="1"/>
        <v>1.47727477780518</v>
      </c>
      <c r="CU7" s="43">
        <f t="shared" si="1"/>
        <v>1.38796009450434</v>
      </c>
      <c r="CV7" s="43">
        <f t="shared" si="1"/>
        <v>1.31991983716413</v>
      </c>
      <c r="CW7" s="43">
        <f t="shared" si="1"/>
        <v>1.24256646771568</v>
      </c>
      <c r="CX7" s="43">
        <f t="shared" si="1"/>
        <v>1.24665344571145</v>
      </c>
      <c r="CY7" s="43">
        <f t="shared" si="1"/>
        <v>1.49232839838493</v>
      </c>
      <c r="CZ7" s="43">
        <f t="shared" si="1"/>
        <v>2.53716470588235</v>
      </c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>
        <f>DL2/DL5</f>
        <v>2.36766462241601</v>
      </c>
      <c r="DM7" s="55">
        <f>DM2/DM5</f>
        <v>4.01824587205272</v>
      </c>
      <c r="DN7" s="55">
        <f>DN2/DN5</f>
        <v>1.24256646771568</v>
      </c>
      <c r="DO7" s="37">
        <f>AVERAGE(B7:CZ7)</f>
        <v>2.36766462241601</v>
      </c>
      <c r="DP7" s="37">
        <f t="shared" ref="DP7:DP12" si="2">MAX(B7:CZ7)</f>
        <v>4.01824587205272</v>
      </c>
      <c r="DQ7" s="37">
        <f t="shared" ref="DQ7:DQ12" si="3">MIN(B7:CZ7)</f>
        <v>1.24256646771568</v>
      </c>
    </row>
    <row r="8" ht="16.5" spans="1:121">
      <c r="A8" s="19" t="s">
        <v>60</v>
      </c>
      <c r="B8" s="42">
        <v>2214.84253724686</v>
      </c>
      <c r="C8" s="42">
        <v>2336.52802664836</v>
      </c>
      <c r="D8" s="42">
        <v>2486.73561701201</v>
      </c>
      <c r="E8" s="42">
        <v>2463.6406471757</v>
      </c>
      <c r="F8" s="42">
        <v>2421.16058906031</v>
      </c>
      <c r="G8" s="42">
        <v>2389.98441831522</v>
      </c>
      <c r="H8" s="42">
        <v>2517.10202679492</v>
      </c>
      <c r="I8" s="42">
        <v>2610.32495749103</v>
      </c>
      <c r="J8" s="42">
        <v>2740.58145892879</v>
      </c>
      <c r="K8" s="42">
        <v>2534.15628220744</v>
      </c>
      <c r="L8" s="42">
        <v>2670.66059399294</v>
      </c>
      <c r="M8" s="42">
        <v>2577.81847622475</v>
      </c>
      <c r="N8" s="42">
        <v>2589.44395831942</v>
      </c>
      <c r="O8" s="42">
        <v>2675.03974390694</v>
      </c>
      <c r="P8" s="42">
        <v>2661.9709258682</v>
      </c>
      <c r="Q8" s="42">
        <v>2677.49744307477</v>
      </c>
      <c r="R8" s="42">
        <v>2720.9215171283</v>
      </c>
      <c r="S8" s="42">
        <v>2716.1916328704</v>
      </c>
      <c r="T8" s="42">
        <v>2717.93069292358</v>
      </c>
      <c r="U8" s="42">
        <v>2742.67950489356</v>
      </c>
      <c r="V8" s="42">
        <v>2730.55121921408</v>
      </c>
      <c r="W8" s="42">
        <v>2667.02778840469</v>
      </c>
      <c r="X8" s="42">
        <v>2482.10788631239</v>
      </c>
      <c r="Y8" s="42">
        <v>2479.72486912659</v>
      </c>
      <c r="Z8" s="42">
        <v>2369.13681408076</v>
      </c>
      <c r="AA8" s="42">
        <v>2389.92058776453</v>
      </c>
      <c r="AB8" s="42">
        <v>2353.80782960241</v>
      </c>
      <c r="AC8" s="42">
        <v>2228.75944609667</v>
      </c>
      <c r="AD8" s="42">
        <v>2057.65408377272</v>
      </c>
      <c r="AE8" s="42">
        <v>2037.73913355371</v>
      </c>
      <c r="AF8" s="42">
        <v>2060.64942722881</v>
      </c>
      <c r="AG8" s="42">
        <v>2102.88971363419</v>
      </c>
      <c r="AH8" s="42">
        <v>2033.45865565588</v>
      </c>
      <c r="AI8" s="45">
        <v>1899.75616124342</v>
      </c>
      <c r="AJ8" s="42">
        <v>1955.91103711065</v>
      </c>
      <c r="AK8" s="42">
        <v>1983.90829028131</v>
      </c>
      <c r="AL8" s="42">
        <v>2134.89368553085</v>
      </c>
      <c r="AM8" s="42">
        <v>2300.40239887854</v>
      </c>
      <c r="AN8" s="42">
        <v>2353.51886407236</v>
      </c>
      <c r="AO8" s="42">
        <v>2376.9914041787</v>
      </c>
      <c r="AP8" s="42">
        <v>2370.11097779376</v>
      </c>
      <c r="AQ8" s="42">
        <v>2285.11727121911</v>
      </c>
      <c r="AR8" s="42">
        <v>2235.3890116282</v>
      </c>
      <c r="AS8" s="42">
        <v>2225.46747367068</v>
      </c>
      <c r="AT8" s="42">
        <v>2229.89952883193</v>
      </c>
      <c r="AU8" s="42">
        <v>2235.73247647006</v>
      </c>
      <c r="AV8" s="42">
        <v>2329.2131481707</v>
      </c>
      <c r="AW8" s="42">
        <v>2470.30616907957</v>
      </c>
      <c r="AX8" s="42">
        <v>2501.27733994969</v>
      </c>
      <c r="AY8" s="42">
        <v>2526.66487491209</v>
      </c>
      <c r="AZ8" s="42">
        <v>2597.13533556329</v>
      </c>
      <c r="BA8" s="42">
        <v>2548.62846129866</v>
      </c>
      <c r="BB8" s="42">
        <v>2565.61944262039</v>
      </c>
      <c r="BC8" s="42">
        <v>2575.92776325538</v>
      </c>
      <c r="BD8" s="42">
        <v>2678.8684330737</v>
      </c>
      <c r="BE8" s="42">
        <v>2733.19732199673</v>
      </c>
      <c r="BF8" s="42">
        <v>2745.26197429751</v>
      </c>
      <c r="BG8" s="42">
        <v>2742.63429292559</v>
      </c>
      <c r="BH8" s="42">
        <v>2700</v>
      </c>
      <c r="BI8" s="42">
        <v>2700</v>
      </c>
      <c r="BJ8" s="42">
        <v>2614</v>
      </c>
      <c r="BK8" s="42">
        <v>2625</v>
      </c>
      <c r="BL8" s="42">
        <v>2520.39182203737</v>
      </c>
      <c r="BM8" s="42">
        <v>2512.13068830001</v>
      </c>
      <c r="BN8" s="42">
        <v>2429.00920272917</v>
      </c>
      <c r="BO8" s="42">
        <v>2407.32579117454</v>
      </c>
      <c r="BP8" s="42">
        <v>2214.27488235976</v>
      </c>
      <c r="BQ8" s="42">
        <v>2214.17373230795</v>
      </c>
      <c r="BR8" s="42">
        <v>2187.03721640631</v>
      </c>
      <c r="BS8" s="42">
        <v>2139.20731562574</v>
      </c>
      <c r="BT8" s="42">
        <v>2103.83873158189</v>
      </c>
      <c r="BU8" s="42">
        <v>2061.2315180595</v>
      </c>
      <c r="BV8" s="42">
        <v>2085.85646546543</v>
      </c>
      <c r="BW8" s="42">
        <v>1986.99049986103</v>
      </c>
      <c r="BX8" s="42">
        <v>1986.99049986103</v>
      </c>
      <c r="BY8" s="42">
        <v>2071.54970299319</v>
      </c>
      <c r="BZ8" s="42">
        <v>2060.86989188714</v>
      </c>
      <c r="CA8" s="42">
        <v>2071.91942244851</v>
      </c>
      <c r="CB8" s="42">
        <v>2098.81534256527</v>
      </c>
      <c r="CC8" s="42">
        <v>2082.68201288914</v>
      </c>
      <c r="CD8" s="42">
        <v>2176.04544673005</v>
      </c>
      <c r="CE8" s="42">
        <v>2238.37267542502</v>
      </c>
      <c r="CF8" s="42">
        <v>2273.71492390218</v>
      </c>
      <c r="CG8" s="42">
        <v>2310.92311103161</v>
      </c>
      <c r="CH8" s="42">
        <v>2365.12277264168</v>
      </c>
      <c r="CI8" s="42">
        <v>2471.1848190443</v>
      </c>
      <c r="CJ8" s="42">
        <v>2727.36764923849</v>
      </c>
      <c r="CK8" s="42">
        <v>3293.74390943446</v>
      </c>
      <c r="CL8" s="42">
        <v>3225.76580175787</v>
      </c>
      <c r="CM8" s="42">
        <v>3262.17499294506</v>
      </c>
      <c r="CN8" s="42">
        <v>3373.02009683852</v>
      </c>
      <c r="CO8" s="42">
        <v>3508.28733466809</v>
      </c>
      <c r="CP8" s="42">
        <v>3780.28873276843</v>
      </c>
      <c r="CQ8" s="42">
        <v>3742.63740127969</v>
      </c>
      <c r="CR8" s="42">
        <v>3536.15387237605</v>
      </c>
      <c r="CS8" s="42">
        <v>3536.09939443262</v>
      </c>
      <c r="CT8" s="42">
        <v>3635.94254687299</v>
      </c>
      <c r="CU8" s="42">
        <v>3566.13213614648</v>
      </c>
      <c r="CV8" s="42">
        <v>4271.26059306314</v>
      </c>
      <c r="CW8" s="42">
        <v>4362</v>
      </c>
      <c r="CX8" s="42">
        <v>5029</v>
      </c>
      <c r="CY8" s="47">
        <v>5280</v>
      </c>
      <c r="CZ8" s="42">
        <f>(5900*22+4786*63)/85</f>
        <v>5074.32941176471</v>
      </c>
      <c r="DA8" s="53">
        <v>4400</v>
      </c>
      <c r="DB8" s="53">
        <v>4400</v>
      </c>
      <c r="DC8" s="53">
        <v>4400</v>
      </c>
      <c r="DD8" s="53">
        <v>4400</v>
      </c>
      <c r="DE8" s="53">
        <v>4400</v>
      </c>
      <c r="DF8" s="53">
        <v>4400</v>
      </c>
      <c r="DG8" s="53">
        <v>4400</v>
      </c>
      <c r="DH8" s="53">
        <v>4400</v>
      </c>
      <c r="DI8" s="53">
        <v>4400</v>
      </c>
      <c r="DJ8" s="53">
        <v>4400</v>
      </c>
      <c r="DK8" s="53">
        <v>4400</v>
      </c>
      <c r="DL8" s="53">
        <f>DL2</f>
        <v>4491.76470588235</v>
      </c>
      <c r="DM8" s="53">
        <f>DM2</f>
        <v>4491.76470588235</v>
      </c>
      <c r="DN8" s="53">
        <f>DN2</f>
        <v>4491.76470588235</v>
      </c>
      <c r="DO8" s="36">
        <f t="shared" ref="DO8:DO12" si="4">AVERAGE(B8:CZ8)</f>
        <v>2621.10033013105</v>
      </c>
      <c r="DP8" s="36">
        <f t="shared" si="2"/>
        <v>5280</v>
      </c>
      <c r="DQ8" s="36">
        <f t="shared" si="3"/>
        <v>1899.75616124342</v>
      </c>
    </row>
    <row r="9" ht="16.5" spans="1:121">
      <c r="A9" s="19" t="s">
        <v>146</v>
      </c>
      <c r="B9" s="23">
        <v>400</v>
      </c>
      <c r="C9" s="23">
        <v>400</v>
      </c>
      <c r="D9" s="23">
        <v>400</v>
      </c>
      <c r="E9" s="23">
        <v>380</v>
      </c>
      <c r="F9" s="23">
        <v>380</v>
      </c>
      <c r="G9" s="23">
        <v>380</v>
      </c>
      <c r="H9" s="23">
        <v>380</v>
      </c>
      <c r="I9" s="23">
        <v>380</v>
      </c>
      <c r="J9" s="23">
        <v>380</v>
      </c>
      <c r="K9" s="23">
        <v>380</v>
      </c>
      <c r="L9" s="23">
        <v>380</v>
      </c>
      <c r="M9" s="23">
        <v>380</v>
      </c>
      <c r="N9" s="23">
        <v>390</v>
      </c>
      <c r="O9" s="23">
        <v>390</v>
      </c>
      <c r="P9" s="23">
        <v>380</v>
      </c>
      <c r="Q9" s="23">
        <v>380</v>
      </c>
      <c r="R9" s="23">
        <v>380</v>
      </c>
      <c r="S9" s="23">
        <v>380</v>
      </c>
      <c r="T9" s="23">
        <v>380</v>
      </c>
      <c r="U9" s="23">
        <v>370</v>
      </c>
      <c r="V9" s="23">
        <v>370</v>
      </c>
      <c r="W9" s="23">
        <v>370</v>
      </c>
      <c r="X9" s="23">
        <v>370</v>
      </c>
      <c r="Y9" s="23">
        <v>370</v>
      </c>
      <c r="Z9" s="23">
        <v>350</v>
      </c>
      <c r="AA9" s="23">
        <v>350</v>
      </c>
      <c r="AB9" s="23">
        <v>350</v>
      </c>
      <c r="AC9" s="23">
        <v>350</v>
      </c>
      <c r="AD9" s="23">
        <v>350</v>
      </c>
      <c r="AE9" s="23">
        <v>350</v>
      </c>
      <c r="AF9" s="23">
        <v>350</v>
      </c>
      <c r="AG9" s="23">
        <v>340</v>
      </c>
      <c r="AH9" s="23">
        <v>340</v>
      </c>
      <c r="AI9" s="23">
        <v>340</v>
      </c>
      <c r="AJ9" s="23">
        <v>340</v>
      </c>
      <c r="AK9" s="23">
        <v>340</v>
      </c>
      <c r="AL9" s="23">
        <v>340</v>
      </c>
      <c r="AM9" s="23">
        <v>355</v>
      </c>
      <c r="AN9" s="23">
        <v>355</v>
      </c>
      <c r="AO9" s="23">
        <v>355</v>
      </c>
      <c r="AP9" s="23">
        <v>355</v>
      </c>
      <c r="AQ9" s="23">
        <v>355</v>
      </c>
      <c r="AR9" s="23">
        <v>355</v>
      </c>
      <c r="AS9" s="23">
        <v>355</v>
      </c>
      <c r="AT9" s="23">
        <v>355</v>
      </c>
      <c r="AU9" s="23">
        <v>355</v>
      </c>
      <c r="AV9" s="23">
        <v>355</v>
      </c>
      <c r="AW9" s="23">
        <v>430</v>
      </c>
      <c r="AX9" s="23">
        <v>430</v>
      </c>
      <c r="AY9" s="23">
        <v>430</v>
      </c>
      <c r="AZ9" s="23">
        <v>430</v>
      </c>
      <c r="BA9" s="23">
        <v>430</v>
      </c>
      <c r="BB9" s="23">
        <v>430</v>
      </c>
      <c r="BC9" s="23">
        <v>430</v>
      </c>
      <c r="BD9" s="23">
        <v>430</v>
      </c>
      <c r="BE9" s="23">
        <v>430</v>
      </c>
      <c r="BF9" s="23">
        <v>430</v>
      </c>
      <c r="BG9" s="23">
        <v>430</v>
      </c>
      <c r="BH9" s="23">
        <v>450</v>
      </c>
      <c r="BI9" s="23">
        <v>500</v>
      </c>
      <c r="BJ9" s="23">
        <v>470</v>
      </c>
      <c r="BK9" s="23">
        <v>470</v>
      </c>
      <c r="BL9" s="23">
        <v>420</v>
      </c>
      <c r="BM9" s="23">
        <v>420</v>
      </c>
      <c r="BN9" s="23">
        <v>420</v>
      </c>
      <c r="BO9" s="23">
        <v>420</v>
      </c>
      <c r="BP9" s="23">
        <v>400</v>
      </c>
      <c r="BQ9" s="23">
        <v>400</v>
      </c>
      <c r="BR9" s="23">
        <v>380</v>
      </c>
      <c r="BS9" s="23">
        <v>380</v>
      </c>
      <c r="BT9" s="23">
        <v>370</v>
      </c>
      <c r="BU9" s="23">
        <v>370</v>
      </c>
      <c r="BV9" s="23">
        <v>370</v>
      </c>
      <c r="BW9" s="23">
        <v>370</v>
      </c>
      <c r="BX9" s="23">
        <v>370</v>
      </c>
      <c r="BY9" s="23">
        <v>338</v>
      </c>
      <c r="BZ9" s="23">
        <v>338</v>
      </c>
      <c r="CA9" s="23">
        <v>338</v>
      </c>
      <c r="CB9" s="23">
        <v>338</v>
      </c>
      <c r="CC9" s="23">
        <v>338</v>
      </c>
      <c r="CD9" s="45">
        <v>328</v>
      </c>
      <c r="CE9" s="45">
        <v>328</v>
      </c>
      <c r="CF9" s="23">
        <v>358</v>
      </c>
      <c r="CG9" s="23">
        <v>358</v>
      </c>
      <c r="CH9" s="23">
        <v>358</v>
      </c>
      <c r="CI9" s="23">
        <v>358</v>
      </c>
      <c r="CJ9" s="23">
        <v>358</v>
      </c>
      <c r="CK9" s="23">
        <v>408</v>
      </c>
      <c r="CL9" s="23">
        <v>458</v>
      </c>
      <c r="CM9" s="23">
        <v>488</v>
      </c>
      <c r="CN9" s="23">
        <v>508</v>
      </c>
      <c r="CO9" s="23">
        <v>558</v>
      </c>
      <c r="CP9" s="23">
        <v>608</v>
      </c>
      <c r="CQ9" s="23">
        <v>608</v>
      </c>
      <c r="CR9" s="23">
        <v>608</v>
      </c>
      <c r="CS9" s="23">
        <v>608</v>
      </c>
      <c r="CT9" s="23">
        <v>608</v>
      </c>
      <c r="CU9" s="23">
        <v>608</v>
      </c>
      <c r="CV9" s="23">
        <v>608</v>
      </c>
      <c r="CW9" s="23">
        <v>645.6</v>
      </c>
      <c r="CX9" s="23">
        <v>745.6</v>
      </c>
      <c r="CY9" s="23">
        <v>858</v>
      </c>
      <c r="CZ9" s="23">
        <v>958</v>
      </c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>
        <f>DL8/DO12</f>
        <v>711.342977677044</v>
      </c>
      <c r="DM9" s="54">
        <f>DL8/DP12</f>
        <v>556.400269842067</v>
      </c>
      <c r="DN9" s="54">
        <f>DL8/DQ12</f>
        <v>848.015617247599</v>
      </c>
      <c r="DO9" s="36">
        <f t="shared" si="4"/>
        <v>416.691262135922</v>
      </c>
      <c r="DP9" s="36">
        <f t="shared" si="2"/>
        <v>958</v>
      </c>
      <c r="DQ9" s="36">
        <f t="shared" si="3"/>
        <v>328</v>
      </c>
    </row>
    <row r="10" ht="16.5" spans="1:121">
      <c r="A10" s="19" t="s">
        <v>146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45"/>
      <c r="CE10" s="45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>
        <v>958</v>
      </c>
      <c r="DA10" s="54">
        <v>650</v>
      </c>
      <c r="DB10" s="54">
        <v>650</v>
      </c>
      <c r="DC10" s="54">
        <v>650</v>
      </c>
      <c r="DD10" s="54">
        <v>650</v>
      </c>
      <c r="DE10" s="54">
        <v>650</v>
      </c>
      <c r="DF10" s="54">
        <v>650</v>
      </c>
      <c r="DG10" s="54">
        <v>650</v>
      </c>
      <c r="DH10" s="54">
        <v>650</v>
      </c>
      <c r="DI10" s="54">
        <v>650</v>
      </c>
      <c r="DJ10" s="54">
        <v>650</v>
      </c>
      <c r="DK10" s="54">
        <v>650</v>
      </c>
      <c r="DL10" s="54"/>
      <c r="DM10" s="54"/>
      <c r="DN10" s="54"/>
      <c r="DO10" s="36"/>
      <c r="DP10" s="36"/>
      <c r="DQ10" s="36"/>
    </row>
    <row r="11" ht="16.5" spans="1:121">
      <c r="A11" s="19" t="s">
        <v>146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45"/>
      <c r="CE11" s="45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>
        <v>958</v>
      </c>
      <c r="DA11" s="54">
        <v>850</v>
      </c>
      <c r="DB11" s="54">
        <v>850</v>
      </c>
      <c r="DC11" s="54">
        <v>850</v>
      </c>
      <c r="DD11" s="54">
        <v>850</v>
      </c>
      <c r="DE11" s="54">
        <v>850</v>
      </c>
      <c r="DF11" s="54">
        <v>850</v>
      </c>
      <c r="DG11" s="54">
        <v>850</v>
      </c>
      <c r="DH11" s="54">
        <v>850</v>
      </c>
      <c r="DI11" s="54">
        <v>850</v>
      </c>
      <c r="DJ11" s="54">
        <v>850</v>
      </c>
      <c r="DK11" s="54">
        <v>850</v>
      </c>
      <c r="DL11" s="54"/>
      <c r="DM11" s="54"/>
      <c r="DN11" s="54"/>
      <c r="DO11" s="36"/>
      <c r="DP11" s="36"/>
      <c r="DQ11" s="36"/>
    </row>
    <row r="12" ht="16.5" spans="1:121">
      <c r="A12" s="26" t="s">
        <v>147</v>
      </c>
      <c r="B12" s="43">
        <f t="shared" ref="B12:BM12" si="5">B8/B9</f>
        <v>5.53710634311715</v>
      </c>
      <c r="C12" s="43">
        <f t="shared" si="5"/>
        <v>5.8413200666209</v>
      </c>
      <c r="D12" s="43">
        <f t="shared" si="5"/>
        <v>6.21683904253003</v>
      </c>
      <c r="E12" s="43">
        <f t="shared" si="5"/>
        <v>6.48326486098868</v>
      </c>
      <c r="F12" s="43">
        <f t="shared" si="5"/>
        <v>6.37147523436924</v>
      </c>
      <c r="G12" s="43">
        <f t="shared" si="5"/>
        <v>6.28943267977689</v>
      </c>
      <c r="H12" s="43">
        <f t="shared" si="5"/>
        <v>6.62395270209189</v>
      </c>
      <c r="I12" s="43">
        <f t="shared" si="5"/>
        <v>6.86927620392376</v>
      </c>
      <c r="J12" s="43">
        <f t="shared" si="5"/>
        <v>7.21205647086524</v>
      </c>
      <c r="K12" s="43">
        <f t="shared" si="5"/>
        <v>6.66883232159853</v>
      </c>
      <c r="L12" s="43">
        <f t="shared" si="5"/>
        <v>7.02805419471826</v>
      </c>
      <c r="M12" s="43">
        <f t="shared" si="5"/>
        <v>6.7837328321704</v>
      </c>
      <c r="N12" s="43">
        <f t="shared" si="5"/>
        <v>6.63959989312672</v>
      </c>
      <c r="O12" s="43">
        <f t="shared" si="5"/>
        <v>6.85907626642805</v>
      </c>
      <c r="P12" s="43">
        <f t="shared" si="5"/>
        <v>7.00518664702158</v>
      </c>
      <c r="Q12" s="43">
        <f t="shared" si="5"/>
        <v>7.04604590282834</v>
      </c>
      <c r="R12" s="43">
        <f t="shared" si="5"/>
        <v>7.16031978191658</v>
      </c>
      <c r="S12" s="43">
        <f t="shared" si="5"/>
        <v>7.14787271808</v>
      </c>
      <c r="T12" s="43">
        <f t="shared" si="5"/>
        <v>7.15244919190416</v>
      </c>
      <c r="U12" s="43">
        <f t="shared" si="5"/>
        <v>7.41264731052313</v>
      </c>
      <c r="V12" s="43">
        <f t="shared" si="5"/>
        <v>7.37986816003805</v>
      </c>
      <c r="W12" s="43">
        <f t="shared" si="5"/>
        <v>7.20818321190457</v>
      </c>
      <c r="X12" s="43">
        <f t="shared" si="5"/>
        <v>6.70839969273619</v>
      </c>
      <c r="Y12" s="43">
        <f t="shared" si="5"/>
        <v>6.70195910574754</v>
      </c>
      <c r="Z12" s="43">
        <f t="shared" si="5"/>
        <v>6.76896232594503</v>
      </c>
      <c r="AA12" s="43">
        <f t="shared" si="5"/>
        <v>6.82834453647009</v>
      </c>
      <c r="AB12" s="43">
        <f t="shared" si="5"/>
        <v>6.72516522743546</v>
      </c>
      <c r="AC12" s="43">
        <f t="shared" si="5"/>
        <v>6.36788413170477</v>
      </c>
      <c r="AD12" s="43">
        <f t="shared" si="5"/>
        <v>5.87901166792206</v>
      </c>
      <c r="AE12" s="43">
        <f t="shared" si="5"/>
        <v>5.82211181015346</v>
      </c>
      <c r="AF12" s="43">
        <f t="shared" si="5"/>
        <v>5.88756979208231</v>
      </c>
      <c r="AG12" s="43">
        <f t="shared" si="5"/>
        <v>6.18496974598291</v>
      </c>
      <c r="AH12" s="43">
        <f t="shared" si="5"/>
        <v>5.98076075192906</v>
      </c>
      <c r="AI12" s="43">
        <f t="shared" si="5"/>
        <v>5.58751812130418</v>
      </c>
      <c r="AJ12" s="43">
        <f t="shared" si="5"/>
        <v>5.75267952091368</v>
      </c>
      <c r="AK12" s="43">
        <f t="shared" si="5"/>
        <v>5.83502438318032</v>
      </c>
      <c r="AL12" s="43">
        <f t="shared" si="5"/>
        <v>6.27909907509073</v>
      </c>
      <c r="AM12" s="43">
        <f t="shared" si="5"/>
        <v>6.48000675740434</v>
      </c>
      <c r="AN12" s="43">
        <f t="shared" si="5"/>
        <v>6.62963060302073</v>
      </c>
      <c r="AO12" s="43">
        <f t="shared" si="5"/>
        <v>6.6957504343062</v>
      </c>
      <c r="AP12" s="43">
        <f t="shared" si="5"/>
        <v>6.67636895153172</v>
      </c>
      <c r="AQ12" s="43">
        <f t="shared" si="5"/>
        <v>6.43695005977214</v>
      </c>
      <c r="AR12" s="43">
        <f t="shared" si="5"/>
        <v>6.2968704552907</v>
      </c>
      <c r="AS12" s="43">
        <f t="shared" si="5"/>
        <v>6.26892246104417</v>
      </c>
      <c r="AT12" s="43">
        <f t="shared" si="5"/>
        <v>6.28140712347023</v>
      </c>
      <c r="AU12" s="43">
        <f t="shared" si="5"/>
        <v>6.29783796188749</v>
      </c>
      <c r="AV12" s="43">
        <f t="shared" si="5"/>
        <v>6.56116379766394</v>
      </c>
      <c r="AW12" s="43">
        <f t="shared" si="5"/>
        <v>5.74489806762691</v>
      </c>
      <c r="AX12" s="43">
        <f t="shared" si="5"/>
        <v>5.81692404639463</v>
      </c>
      <c r="AY12" s="43">
        <f t="shared" si="5"/>
        <v>5.87596482537695</v>
      </c>
      <c r="AZ12" s="43">
        <f t="shared" si="5"/>
        <v>6.03984961758905</v>
      </c>
      <c r="BA12" s="43">
        <f t="shared" si="5"/>
        <v>5.9270429332527</v>
      </c>
      <c r="BB12" s="43">
        <f t="shared" si="5"/>
        <v>5.96655684330323</v>
      </c>
      <c r="BC12" s="43">
        <f t="shared" si="5"/>
        <v>5.99052968198926</v>
      </c>
      <c r="BD12" s="43">
        <f t="shared" si="5"/>
        <v>6.22992658854349</v>
      </c>
      <c r="BE12" s="43">
        <f t="shared" si="5"/>
        <v>6.35627284185286</v>
      </c>
      <c r="BF12" s="43">
        <f t="shared" si="5"/>
        <v>6.38433017278491</v>
      </c>
      <c r="BG12" s="43">
        <f t="shared" si="5"/>
        <v>6.37821928587347</v>
      </c>
      <c r="BH12" s="43">
        <f t="shared" si="5"/>
        <v>6</v>
      </c>
      <c r="BI12" s="43">
        <f t="shared" si="5"/>
        <v>5.4</v>
      </c>
      <c r="BJ12" s="43">
        <f t="shared" si="5"/>
        <v>5.56170212765957</v>
      </c>
      <c r="BK12" s="43">
        <f t="shared" si="5"/>
        <v>5.58510638297872</v>
      </c>
      <c r="BL12" s="43">
        <f t="shared" si="5"/>
        <v>6.00093290961279</v>
      </c>
      <c r="BM12" s="43">
        <f t="shared" si="5"/>
        <v>5.98126354357145</v>
      </c>
      <c r="BN12" s="43">
        <f t="shared" ref="BN12:CZ12" si="6">BN8/BN9</f>
        <v>5.78335524459326</v>
      </c>
      <c r="BO12" s="43">
        <f t="shared" si="6"/>
        <v>5.73172807422509</v>
      </c>
      <c r="BP12" s="43">
        <f t="shared" si="6"/>
        <v>5.5356872058994</v>
      </c>
      <c r="BQ12" s="43">
        <f t="shared" si="6"/>
        <v>5.53543433076988</v>
      </c>
      <c r="BR12" s="43">
        <f t="shared" si="6"/>
        <v>5.75536109580608</v>
      </c>
      <c r="BS12" s="43">
        <f t="shared" si="6"/>
        <v>5.62949293585721</v>
      </c>
      <c r="BT12" s="43">
        <f t="shared" si="6"/>
        <v>5.686050625897</v>
      </c>
      <c r="BU12" s="43">
        <f t="shared" si="6"/>
        <v>5.57089599475541</v>
      </c>
      <c r="BV12" s="43">
        <f t="shared" si="6"/>
        <v>5.63744990666333</v>
      </c>
      <c r="BW12" s="46">
        <f t="shared" si="6"/>
        <v>5.370244594219</v>
      </c>
      <c r="BX12" s="46">
        <f t="shared" si="6"/>
        <v>5.370244594219</v>
      </c>
      <c r="BY12" s="43">
        <f t="shared" si="6"/>
        <v>6.12884527512778</v>
      </c>
      <c r="BZ12" s="43">
        <f t="shared" si="6"/>
        <v>6.09724820084953</v>
      </c>
      <c r="CA12" s="43">
        <f t="shared" si="6"/>
        <v>6.12993911967015</v>
      </c>
      <c r="CB12" s="43">
        <f t="shared" si="6"/>
        <v>6.20951284782624</v>
      </c>
      <c r="CC12" s="43">
        <f t="shared" si="6"/>
        <v>6.16178110322231</v>
      </c>
      <c r="CD12" s="43">
        <f t="shared" si="6"/>
        <v>6.63428489856723</v>
      </c>
      <c r="CE12" s="43">
        <f t="shared" si="6"/>
        <v>6.8243069372714</v>
      </c>
      <c r="CF12" s="43">
        <f t="shared" si="6"/>
        <v>6.35115900531335</v>
      </c>
      <c r="CG12" s="43">
        <f t="shared" si="6"/>
        <v>6.45509248891511</v>
      </c>
      <c r="CH12" s="43">
        <f t="shared" si="6"/>
        <v>6.60648819173654</v>
      </c>
      <c r="CI12" s="43">
        <f t="shared" si="6"/>
        <v>6.9027508911852</v>
      </c>
      <c r="CJ12" s="43">
        <f t="shared" si="6"/>
        <v>7.61834538893433</v>
      </c>
      <c r="CK12" s="43">
        <f t="shared" si="6"/>
        <v>8.07290173880995</v>
      </c>
      <c r="CL12" s="43">
        <f t="shared" si="6"/>
        <v>7.0431567723971</v>
      </c>
      <c r="CM12" s="43">
        <f t="shared" si="6"/>
        <v>6.68478482160873</v>
      </c>
      <c r="CN12" s="43">
        <f t="shared" si="6"/>
        <v>6.63980334023331</v>
      </c>
      <c r="CO12" s="43">
        <f t="shared" si="6"/>
        <v>6.28725328793564</v>
      </c>
      <c r="CP12" s="43">
        <f t="shared" si="6"/>
        <v>6.21758015257965</v>
      </c>
      <c r="CQ12" s="43">
        <f t="shared" si="6"/>
        <v>6.15565362052581</v>
      </c>
      <c r="CR12" s="43">
        <f t="shared" si="6"/>
        <v>5.81604255325008</v>
      </c>
      <c r="CS12" s="43">
        <f t="shared" si="6"/>
        <v>5.81595295136944</v>
      </c>
      <c r="CT12" s="43">
        <f t="shared" si="6"/>
        <v>5.98016866262005</v>
      </c>
      <c r="CU12" s="43">
        <f t="shared" si="6"/>
        <v>5.86534890813566</v>
      </c>
      <c r="CV12" s="43">
        <f t="shared" si="6"/>
        <v>7.02509965964332</v>
      </c>
      <c r="CW12" s="43">
        <f t="shared" si="6"/>
        <v>6.75650557620818</v>
      </c>
      <c r="CX12" s="43">
        <f t="shared" si="6"/>
        <v>6.74490343347639</v>
      </c>
      <c r="CY12" s="43">
        <f t="shared" si="6"/>
        <v>6.15384615384615</v>
      </c>
      <c r="CZ12" s="49">
        <f t="shared" si="6"/>
        <v>5.29679479307381</v>
      </c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5">
        <f>DL8/DL9</f>
        <v>6.31448520171047</v>
      </c>
      <c r="DM12" s="55">
        <f t="shared" ref="DM12:DN12" si="7">DM8/DM9</f>
        <v>8.07290173880995</v>
      </c>
      <c r="DN12" s="55">
        <f t="shared" si="7"/>
        <v>5.29679479307381</v>
      </c>
      <c r="DO12" s="37">
        <f t="shared" si="4"/>
        <v>6.31448520171047</v>
      </c>
      <c r="DP12" s="37">
        <f t="shared" si="2"/>
        <v>8.07290173880995</v>
      </c>
      <c r="DQ12" s="37">
        <f t="shared" si="3"/>
        <v>5.29679479307381</v>
      </c>
    </row>
    <row r="13" ht="13.9" customHeight="1" spans="116:121">
      <c r="DL13" s="60" t="s">
        <v>149</v>
      </c>
      <c r="DM13" s="60"/>
      <c r="DN13" s="60"/>
      <c r="DO13" s="60"/>
      <c r="DP13" s="60"/>
      <c r="DQ13" s="60"/>
    </row>
    <row r="14" spans="103:121">
      <c r="CY14" s="14"/>
      <c r="DL14" s="60"/>
      <c r="DM14" s="60"/>
      <c r="DN14" s="60"/>
      <c r="DO14" s="60"/>
      <c r="DP14" s="60"/>
      <c r="DQ14" s="60"/>
    </row>
    <row r="15" spans="116:121">
      <c r="DL15" s="60"/>
      <c r="DM15" s="60"/>
      <c r="DN15" s="60"/>
      <c r="DO15" s="60"/>
      <c r="DP15" s="60"/>
      <c r="DQ15" s="60"/>
    </row>
    <row r="16" spans="116:121">
      <c r="DL16" s="60"/>
      <c r="DM16" s="60"/>
      <c r="DN16" s="60"/>
      <c r="DO16" s="60"/>
      <c r="DP16" s="60"/>
      <c r="DQ16" s="60"/>
    </row>
    <row r="17" spans="116:121">
      <c r="DL17" s="60"/>
      <c r="DM17" s="60"/>
      <c r="DN17" s="60"/>
      <c r="DO17" s="60"/>
      <c r="DP17" s="60"/>
      <c r="DQ17" s="60"/>
    </row>
    <row r="18" spans="116:121">
      <c r="DL18" s="60"/>
      <c r="DM18" s="60"/>
      <c r="DN18" s="60"/>
      <c r="DO18" s="60"/>
      <c r="DP18" s="60"/>
      <c r="DQ18" s="60"/>
    </row>
    <row r="19" spans="116:121">
      <c r="DL19" s="60"/>
      <c r="DM19" s="60"/>
      <c r="DN19" s="60"/>
      <c r="DO19" s="60"/>
      <c r="DP19" s="60"/>
      <c r="DQ19" s="60"/>
    </row>
    <row r="20" spans="116:121">
      <c r="DL20" s="60"/>
      <c r="DM20" s="60"/>
      <c r="DN20" s="60"/>
      <c r="DO20" s="60"/>
      <c r="DP20" s="60"/>
      <c r="DQ20" s="60"/>
    </row>
    <row r="21" spans="116:121">
      <c r="DL21" s="60"/>
      <c r="DM21" s="60"/>
      <c r="DN21" s="60"/>
      <c r="DO21" s="60"/>
      <c r="DP21" s="60"/>
      <c r="DQ21" s="60"/>
    </row>
    <row r="22" spans="116:121">
      <c r="DL22" s="60"/>
      <c r="DM22" s="60"/>
      <c r="DN22" s="60"/>
      <c r="DO22" s="60"/>
      <c r="DP22" s="60"/>
      <c r="DQ22" s="60"/>
    </row>
    <row r="23" spans="116:121">
      <c r="DL23" s="60"/>
      <c r="DM23" s="60"/>
      <c r="DN23" s="60"/>
      <c r="DO23" s="60"/>
      <c r="DP23" s="60"/>
      <c r="DQ23" s="60"/>
    </row>
    <row r="24" spans="116:121">
      <c r="DL24" s="60"/>
      <c r="DM24" s="60"/>
      <c r="DN24" s="60"/>
      <c r="DO24" s="60"/>
      <c r="DP24" s="60"/>
      <c r="DQ24" s="60"/>
    </row>
    <row r="25" spans="116:121">
      <c r="DL25" s="60"/>
      <c r="DM25" s="60"/>
      <c r="DN25" s="60"/>
      <c r="DO25" s="60"/>
      <c r="DP25" s="60"/>
      <c r="DQ25" s="60"/>
    </row>
    <row r="26" spans="116:121">
      <c r="DL26" s="60"/>
      <c r="DM26" s="60"/>
      <c r="DN26" s="60"/>
      <c r="DO26" s="60"/>
      <c r="DP26" s="60"/>
      <c r="DQ26" s="60"/>
    </row>
    <row r="27" spans="116:121">
      <c r="DL27" s="60"/>
      <c r="DM27" s="60"/>
      <c r="DN27" s="60"/>
      <c r="DO27" s="60"/>
      <c r="DP27" s="60"/>
      <c r="DQ27" s="60"/>
    </row>
    <row r="28" spans="116:121">
      <c r="DL28" s="60"/>
      <c r="DM28" s="60"/>
      <c r="DN28" s="60"/>
      <c r="DO28" s="60"/>
      <c r="DP28" s="60"/>
      <c r="DQ28" s="60"/>
    </row>
    <row r="29" ht="116.65" customHeight="1" spans="116:121">
      <c r="DL29" s="60"/>
      <c r="DM29" s="60"/>
      <c r="DN29" s="60"/>
      <c r="DO29" s="60"/>
      <c r="DP29" s="60"/>
      <c r="DQ29" s="60"/>
    </row>
    <row r="30" spans="1:11">
      <c r="A30" s="44" t="str">
        <f>DL13</f>
        <v>4、紧盯历史价格规律：
二铵、硫磺、磷矿石14-22年历史价格
（1）二铵均价2621、最高价5280（22年6月）、最低价1900（16年10月）。
（2）硫磺港口现货均价1224、最高价4034（22年5月）、最低价524（19年11月）。
（3）27%磷矿石均价417、最高价958（22年7月）、最低价328（20年9、10月）。
二铵与硫磺、磷矿14-22年历史价格比值
（1）二铵与硫磺价格平均比值2.368，最高比值4.018（19年11月）、最低比值1.243（22年4月）。
（2）二铵与磷矿价格平均比值6.314，最高比值8.073（19年11月）、最低比值5.297（22年7月）。
按二铵下半年预测均价4492，参照二铵与硫磺、磷矿历史价格比值对硫磺及磷矿石下半年均价测算：
（1）硫磺：按平均比值测算为1897、按最高比值测算为1118、按最低比值测算为3615。
（2）27%磷矿石：按平均比值测算为711、按最高比值测算为556、按最低比值测算为836。
故对比当前硫磺、磷矿价格：
（1）硫磺当前价2000，下半年达到平均比值需降价103，达到最高比值需降价882。
（2）27%磷矿石当前价958，下半年达到平均比值需降价247，达到最高比值需降价401。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</row>
    <row r="32" spans="1:1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3" spans="1:1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</row>
    <row r="34" spans="1:1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</row>
    <row r="35" spans="1:1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</row>
    <row r="36" spans="1:1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</row>
    <row r="37" spans="1:1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</row>
    <row r="38" spans="1:1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</row>
    <row r="39" spans="1:1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</row>
    <row r="40" spans="1:1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spans="1:1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</row>
    <row r="42" ht="58.15" customHeight="1" spans="1:1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</row>
  </sheetData>
  <mergeCells count="3">
    <mergeCell ref="DL1:DN1"/>
    <mergeCell ref="DL13:DQ29"/>
    <mergeCell ref="A30:K42"/>
  </mergeCells>
  <pageMargins left="0.7" right="0.7" top="0.75" bottom="0.75" header="0.3" footer="0.3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"/>
  <sheetViews>
    <sheetView workbookViewId="0">
      <selection activeCell="BI16" sqref="BI16"/>
    </sheetView>
  </sheetViews>
  <sheetFormatPr defaultColWidth="9" defaultRowHeight="14.25" outlineLevelRow="4"/>
  <cols>
    <col min="1" max="1" width="23.625" customWidth="1"/>
    <col min="2" max="2" width="10.75" customWidth="1"/>
    <col min="3" max="6" width="9" hidden="1" customWidth="1"/>
    <col min="7" max="7" width="10.75" customWidth="1"/>
    <col min="8" max="13" width="9" hidden="1" customWidth="1"/>
    <col min="14" max="14" width="10.75" customWidth="1"/>
    <col min="15" max="18" width="9" hidden="1" customWidth="1"/>
    <col min="19" max="19" width="10.75" customWidth="1"/>
    <col min="20" max="25" width="9" hidden="1" customWidth="1"/>
    <col min="26" max="26" width="10.75" customWidth="1"/>
    <col min="27" max="30" width="9" hidden="1" customWidth="1"/>
    <col min="31" max="31" width="10.75" customWidth="1"/>
    <col min="32" max="37" width="9" hidden="1" customWidth="1"/>
    <col min="38" max="38" width="10.75" customWidth="1"/>
    <col min="39" max="42" width="9" hidden="1" customWidth="1"/>
    <col min="43" max="43" width="10.75" customWidth="1"/>
    <col min="44" max="49" width="9" hidden="1" customWidth="1"/>
    <col min="50" max="50" width="10.75" customWidth="1"/>
    <col min="51" max="56" width="9" hidden="1" customWidth="1"/>
    <col min="57" max="57" width="10.75" customWidth="1"/>
  </cols>
  <sheetData>
    <row r="1" ht="21.6" customHeight="1" spans="1:57">
      <c r="A1" s="39" t="s">
        <v>92</v>
      </c>
      <c r="B1" s="181" t="s">
        <v>4</v>
      </c>
      <c r="C1" s="181" t="s">
        <v>5</v>
      </c>
      <c r="D1" s="181" t="s">
        <v>6</v>
      </c>
      <c r="E1" s="181" t="s">
        <v>7</v>
      </c>
      <c r="F1" s="181" t="s">
        <v>8</v>
      </c>
      <c r="G1" s="181" t="s">
        <v>9</v>
      </c>
      <c r="H1" s="181" t="s">
        <v>10</v>
      </c>
      <c r="I1" s="181" t="s">
        <v>11</v>
      </c>
      <c r="J1" s="181" t="s">
        <v>12</v>
      </c>
      <c r="K1" s="181" t="s">
        <v>13</v>
      </c>
      <c r="L1" s="181" t="s">
        <v>14</v>
      </c>
      <c r="M1" s="181" t="s">
        <v>15</v>
      </c>
      <c r="N1" s="181" t="s">
        <v>16</v>
      </c>
      <c r="O1" s="181" t="s">
        <v>17</v>
      </c>
      <c r="P1" s="181" t="s">
        <v>18</v>
      </c>
      <c r="Q1" s="181" t="s">
        <v>19</v>
      </c>
      <c r="R1" s="181" t="s">
        <v>20</v>
      </c>
      <c r="S1" s="181" t="s">
        <v>21</v>
      </c>
      <c r="T1" s="181" t="s">
        <v>22</v>
      </c>
      <c r="U1" s="181" t="s">
        <v>23</v>
      </c>
      <c r="V1" s="181" t="s">
        <v>24</v>
      </c>
      <c r="W1" s="181" t="s">
        <v>25</v>
      </c>
      <c r="X1" s="181" t="s">
        <v>26</v>
      </c>
      <c r="Y1" s="181" t="s">
        <v>27</v>
      </c>
      <c r="Z1" s="181" t="s">
        <v>28</v>
      </c>
      <c r="AA1" s="181" t="s">
        <v>29</v>
      </c>
      <c r="AB1" s="181" t="s">
        <v>30</v>
      </c>
      <c r="AC1" s="181" t="s">
        <v>31</v>
      </c>
      <c r="AD1" s="181" t="s">
        <v>32</v>
      </c>
      <c r="AE1" s="181" t="s">
        <v>33</v>
      </c>
      <c r="AF1" s="181" t="s">
        <v>34</v>
      </c>
      <c r="AG1" s="181" t="s">
        <v>35</v>
      </c>
      <c r="AH1" s="181" t="s">
        <v>36</v>
      </c>
      <c r="AI1" s="181" t="s">
        <v>37</v>
      </c>
      <c r="AJ1" s="181" t="s">
        <v>38</v>
      </c>
      <c r="AK1" s="181" t="s">
        <v>39</v>
      </c>
      <c r="AL1" s="181" t="s">
        <v>40</v>
      </c>
      <c r="AM1" s="181" t="s">
        <v>41</v>
      </c>
      <c r="AN1" s="181" t="s">
        <v>42</v>
      </c>
      <c r="AO1" s="181" t="s">
        <v>43</v>
      </c>
      <c r="AP1" s="181" t="s">
        <v>44</v>
      </c>
      <c r="AQ1" s="181" t="s">
        <v>45</v>
      </c>
      <c r="AR1" s="181" t="s">
        <v>46</v>
      </c>
      <c r="AS1" s="181" t="s">
        <v>47</v>
      </c>
      <c r="AT1" s="181" t="s">
        <v>48</v>
      </c>
      <c r="AU1" s="181" t="s">
        <v>49</v>
      </c>
      <c r="AV1" s="181" t="s">
        <v>50</v>
      </c>
      <c r="AW1" s="181" t="s">
        <v>51</v>
      </c>
      <c r="AX1" s="181" t="s">
        <v>52</v>
      </c>
      <c r="AY1" s="181" t="s">
        <v>53</v>
      </c>
      <c r="AZ1" s="181" t="s">
        <v>54</v>
      </c>
      <c r="BA1" s="181" t="s">
        <v>55</v>
      </c>
      <c r="BB1" s="181" t="s">
        <v>56</v>
      </c>
      <c r="BC1" s="181" t="s">
        <v>57</v>
      </c>
      <c r="BD1" s="181" t="s">
        <v>58</v>
      </c>
      <c r="BE1" s="181" t="s">
        <v>59</v>
      </c>
    </row>
    <row r="2" ht="21.6" customHeight="1" spans="1:57">
      <c r="A2" s="39" t="s">
        <v>60</v>
      </c>
      <c r="B2" s="41" t="e">
        <f>#REF!</f>
        <v>#REF!</v>
      </c>
      <c r="C2" s="41" t="e">
        <f>#REF!</f>
        <v>#REF!</v>
      </c>
      <c r="D2" s="41" t="e">
        <f>#REF!</f>
        <v>#REF!</v>
      </c>
      <c r="E2" s="41" t="e">
        <f>#REF!</f>
        <v>#REF!</v>
      </c>
      <c r="F2" s="41" t="e">
        <f>#REF!</f>
        <v>#REF!</v>
      </c>
      <c r="G2" s="41" t="e">
        <f>#REF!</f>
        <v>#REF!</v>
      </c>
      <c r="H2" s="41" t="e">
        <f>#REF!</f>
        <v>#REF!</v>
      </c>
      <c r="I2" s="41" t="e">
        <f>#REF!</f>
        <v>#REF!</v>
      </c>
      <c r="J2" s="41" t="e">
        <f>#REF!</f>
        <v>#REF!</v>
      </c>
      <c r="K2" s="41" t="e">
        <f>#REF!</f>
        <v>#REF!</v>
      </c>
      <c r="L2" s="41" t="e">
        <f>#REF!</f>
        <v>#REF!</v>
      </c>
      <c r="M2" s="41" t="e">
        <f>#REF!</f>
        <v>#REF!</v>
      </c>
      <c r="N2" s="41" t="e">
        <f>#REF!</f>
        <v>#REF!</v>
      </c>
      <c r="O2" s="41" t="e">
        <f>#REF!</f>
        <v>#REF!</v>
      </c>
      <c r="P2" s="41" t="e">
        <f>#REF!</f>
        <v>#REF!</v>
      </c>
      <c r="Q2" s="41" t="e">
        <f>#REF!</f>
        <v>#REF!</v>
      </c>
      <c r="R2" s="41" t="e">
        <f>#REF!</f>
        <v>#REF!</v>
      </c>
      <c r="S2" s="41" t="e">
        <f>#REF!</f>
        <v>#REF!</v>
      </c>
      <c r="T2" s="41" t="e">
        <f>#REF!</f>
        <v>#REF!</v>
      </c>
      <c r="U2" s="41" t="e">
        <f>#REF!</f>
        <v>#REF!</v>
      </c>
      <c r="V2" s="41" t="e">
        <f>#REF!</f>
        <v>#REF!</v>
      </c>
      <c r="W2" s="41" t="e">
        <f>#REF!</f>
        <v>#REF!</v>
      </c>
      <c r="X2" s="41" t="e">
        <f>#REF!</f>
        <v>#REF!</v>
      </c>
      <c r="Y2" s="41" t="e">
        <f>#REF!</f>
        <v>#REF!</v>
      </c>
      <c r="Z2" s="41" t="e">
        <f>#REF!</f>
        <v>#REF!</v>
      </c>
      <c r="AA2" s="41" t="e">
        <f>#REF!</f>
        <v>#REF!</v>
      </c>
      <c r="AB2" s="41" t="e">
        <f>#REF!</f>
        <v>#REF!</v>
      </c>
      <c r="AC2" s="41" t="e">
        <f>#REF!</f>
        <v>#REF!</v>
      </c>
      <c r="AD2" s="41" t="e">
        <f>#REF!</f>
        <v>#REF!</v>
      </c>
      <c r="AE2" s="41" t="e">
        <f>#REF!</f>
        <v>#REF!</v>
      </c>
      <c r="AF2" s="41" t="e">
        <f>#REF!</f>
        <v>#REF!</v>
      </c>
      <c r="AG2" s="41" t="e">
        <f>#REF!</f>
        <v>#REF!</v>
      </c>
      <c r="AH2" s="41" t="e">
        <f>#REF!</f>
        <v>#REF!</v>
      </c>
      <c r="AI2" s="41" t="e">
        <f>#REF!</f>
        <v>#REF!</v>
      </c>
      <c r="AJ2" s="41" t="e">
        <f>#REF!</f>
        <v>#REF!</v>
      </c>
      <c r="AK2" s="41" t="e">
        <f>#REF!</f>
        <v>#REF!</v>
      </c>
      <c r="AL2" s="41" t="e">
        <f>#REF!</f>
        <v>#REF!</v>
      </c>
      <c r="AM2" s="41" t="e">
        <f>#REF!</f>
        <v>#REF!</v>
      </c>
      <c r="AN2" s="41" t="e">
        <f>#REF!</f>
        <v>#REF!</v>
      </c>
      <c r="AO2" s="41" t="e">
        <f>#REF!</f>
        <v>#REF!</v>
      </c>
      <c r="AP2" s="41" t="e">
        <f>#REF!</f>
        <v>#REF!</v>
      </c>
      <c r="AQ2" s="41" t="e">
        <f>#REF!</f>
        <v>#REF!</v>
      </c>
      <c r="AR2" s="41" t="e">
        <f>#REF!</f>
        <v>#REF!</v>
      </c>
      <c r="AS2" s="41" t="e">
        <f>#REF!</f>
        <v>#REF!</v>
      </c>
      <c r="AT2" s="41" t="e">
        <f>#REF!</f>
        <v>#REF!</v>
      </c>
      <c r="AU2" s="41" t="e">
        <f>#REF!</f>
        <v>#REF!</v>
      </c>
      <c r="AV2" s="41" t="e">
        <f>#REF!</f>
        <v>#REF!</v>
      </c>
      <c r="AW2" s="41" t="e">
        <f>#REF!</f>
        <v>#REF!</v>
      </c>
      <c r="AX2" s="41" t="e">
        <f>#REF!</f>
        <v>#REF!</v>
      </c>
      <c r="AY2" s="41" t="e">
        <f>#REF!</f>
        <v>#REF!</v>
      </c>
      <c r="AZ2" s="41" t="e">
        <f>#REF!</f>
        <v>#REF!</v>
      </c>
      <c r="BA2" s="41" t="e">
        <f>#REF!</f>
        <v>#REF!</v>
      </c>
      <c r="BB2" s="41" t="e">
        <f>#REF!</f>
        <v>#REF!</v>
      </c>
      <c r="BC2" s="41" t="e">
        <f>#REF!</f>
        <v>#REF!</v>
      </c>
      <c r="BD2" s="41" t="e">
        <f>#REF!</f>
        <v>#REF!</v>
      </c>
      <c r="BE2" s="41" t="e">
        <f>#REF!</f>
        <v>#REF!</v>
      </c>
    </row>
    <row r="3" ht="21.6" customHeight="1" spans="1:57">
      <c r="A3" s="39" t="s">
        <v>167</v>
      </c>
      <c r="B3" s="41" t="e">
        <f>#REF!</f>
        <v>#REF!</v>
      </c>
      <c r="C3" s="41" t="e">
        <f>#REF!</f>
        <v>#REF!</v>
      </c>
      <c r="D3" s="41" t="e">
        <f>#REF!</f>
        <v>#REF!</v>
      </c>
      <c r="E3" s="41" t="e">
        <f>#REF!</f>
        <v>#REF!</v>
      </c>
      <c r="F3" s="41" t="e">
        <f>#REF!</f>
        <v>#REF!</v>
      </c>
      <c r="G3" s="41" t="e">
        <f>#REF!</f>
        <v>#REF!</v>
      </c>
      <c r="H3" s="41" t="e">
        <f>#REF!</f>
        <v>#REF!</v>
      </c>
      <c r="I3" s="41" t="e">
        <f>#REF!</f>
        <v>#REF!</v>
      </c>
      <c r="J3" s="41" t="e">
        <f>#REF!</f>
        <v>#REF!</v>
      </c>
      <c r="K3" s="41" t="e">
        <f>#REF!</f>
        <v>#REF!</v>
      </c>
      <c r="L3" s="41" t="e">
        <f>#REF!</f>
        <v>#REF!</v>
      </c>
      <c r="M3" s="41" t="e">
        <f>#REF!</f>
        <v>#REF!</v>
      </c>
      <c r="N3" s="41" t="e">
        <f>#REF!</f>
        <v>#REF!</v>
      </c>
      <c r="O3" s="41" t="e">
        <f>#REF!</f>
        <v>#REF!</v>
      </c>
      <c r="P3" s="41" t="e">
        <f>#REF!</f>
        <v>#REF!</v>
      </c>
      <c r="Q3" s="41" t="e">
        <f>#REF!</f>
        <v>#REF!</v>
      </c>
      <c r="R3" s="41" t="e">
        <f>#REF!</f>
        <v>#REF!</v>
      </c>
      <c r="S3" s="41" t="e">
        <f>#REF!</f>
        <v>#REF!</v>
      </c>
      <c r="T3" s="41" t="e">
        <f>#REF!</f>
        <v>#REF!</v>
      </c>
      <c r="U3" s="41" t="e">
        <f>#REF!</f>
        <v>#REF!</v>
      </c>
      <c r="V3" s="41" t="e">
        <f>#REF!</f>
        <v>#REF!</v>
      </c>
      <c r="W3" s="41" t="e">
        <f>#REF!</f>
        <v>#REF!</v>
      </c>
      <c r="X3" s="41" t="e">
        <f>#REF!</f>
        <v>#REF!</v>
      </c>
      <c r="Y3" s="41" t="e">
        <f>#REF!</f>
        <v>#REF!</v>
      </c>
      <c r="Z3" s="41" t="e">
        <f>#REF!</f>
        <v>#REF!</v>
      </c>
      <c r="AA3" s="41" t="e">
        <f>#REF!</f>
        <v>#REF!</v>
      </c>
      <c r="AB3" s="41" t="e">
        <f>#REF!</f>
        <v>#REF!</v>
      </c>
      <c r="AC3" s="41" t="e">
        <f>#REF!</f>
        <v>#REF!</v>
      </c>
      <c r="AD3" s="41" t="e">
        <f>#REF!</f>
        <v>#REF!</v>
      </c>
      <c r="AE3" s="41" t="e">
        <f>#REF!</f>
        <v>#REF!</v>
      </c>
      <c r="AF3" s="41" t="e">
        <f>#REF!</f>
        <v>#REF!</v>
      </c>
      <c r="AG3" s="41" t="e">
        <f>#REF!</f>
        <v>#REF!</v>
      </c>
      <c r="AH3" s="41" t="e">
        <f>#REF!</f>
        <v>#REF!</v>
      </c>
      <c r="AI3" s="41" t="e">
        <f>#REF!</f>
        <v>#REF!</v>
      </c>
      <c r="AJ3" s="41" t="e">
        <f>#REF!</f>
        <v>#REF!</v>
      </c>
      <c r="AK3" s="41" t="e">
        <f>#REF!</f>
        <v>#REF!</v>
      </c>
      <c r="AL3" s="41" t="e">
        <f>#REF!</f>
        <v>#REF!</v>
      </c>
      <c r="AM3" s="41" t="e">
        <f>#REF!</f>
        <v>#REF!</v>
      </c>
      <c r="AN3" s="41" t="e">
        <f>#REF!</f>
        <v>#REF!</v>
      </c>
      <c r="AO3" s="41" t="e">
        <f>#REF!</f>
        <v>#REF!</v>
      </c>
      <c r="AP3" s="41" t="e">
        <f>#REF!</f>
        <v>#REF!</v>
      </c>
      <c r="AQ3" s="41" t="e">
        <f>#REF!</f>
        <v>#REF!</v>
      </c>
      <c r="AR3" s="41" t="e">
        <f>#REF!</f>
        <v>#REF!</v>
      </c>
      <c r="AS3" s="41" t="e">
        <f>#REF!</f>
        <v>#REF!</v>
      </c>
      <c r="AT3" s="41" t="e">
        <f>#REF!</f>
        <v>#REF!</v>
      </c>
      <c r="AU3" s="41" t="e">
        <f>#REF!</f>
        <v>#REF!</v>
      </c>
      <c r="AV3" s="41" t="e">
        <f>#REF!</f>
        <v>#REF!</v>
      </c>
      <c r="AW3" s="41" t="e">
        <f>#REF!</f>
        <v>#REF!</v>
      </c>
      <c r="AX3" s="41" t="e">
        <f>#REF!</f>
        <v>#REF!</v>
      </c>
      <c r="AY3" s="41" t="e">
        <f>#REF!</f>
        <v>#REF!</v>
      </c>
      <c r="AZ3" s="41" t="e">
        <f>#REF!</f>
        <v>#REF!</v>
      </c>
      <c r="BA3" s="41" t="e">
        <f>#REF!</f>
        <v>#REF!</v>
      </c>
      <c r="BB3" s="41" t="e">
        <f>#REF!</f>
        <v>#REF!</v>
      </c>
      <c r="BC3" s="41" t="e">
        <f>#REF!</f>
        <v>#REF!</v>
      </c>
      <c r="BD3" s="41" t="e">
        <f>#REF!</f>
        <v>#REF!</v>
      </c>
      <c r="BE3" s="41" t="e">
        <f>#REF!</f>
        <v>#REF!</v>
      </c>
    </row>
    <row r="4" ht="21.6" customHeight="1" spans="1:57">
      <c r="A4" s="39" t="s">
        <v>146</v>
      </c>
      <c r="B4" s="41" t="e">
        <f>#REF!</f>
        <v>#REF!</v>
      </c>
      <c r="C4" s="41" t="e">
        <f>#REF!</f>
        <v>#REF!</v>
      </c>
      <c r="D4" s="41" t="e">
        <f>#REF!</f>
        <v>#REF!</v>
      </c>
      <c r="E4" s="41" t="e">
        <f>#REF!</f>
        <v>#REF!</v>
      </c>
      <c r="F4" s="41" t="e">
        <f>#REF!</f>
        <v>#REF!</v>
      </c>
      <c r="G4" s="41" t="e">
        <f>#REF!</f>
        <v>#REF!</v>
      </c>
      <c r="H4" s="41" t="e">
        <f>#REF!</f>
        <v>#REF!</v>
      </c>
      <c r="I4" s="41" t="e">
        <f>#REF!</f>
        <v>#REF!</v>
      </c>
      <c r="J4" s="41" t="e">
        <f>#REF!</f>
        <v>#REF!</v>
      </c>
      <c r="K4" s="41" t="e">
        <f>#REF!</f>
        <v>#REF!</v>
      </c>
      <c r="L4" s="41" t="e">
        <f>#REF!</f>
        <v>#REF!</v>
      </c>
      <c r="M4" s="41" t="e">
        <f>#REF!</f>
        <v>#REF!</v>
      </c>
      <c r="N4" s="41" t="e">
        <f>#REF!</f>
        <v>#REF!</v>
      </c>
      <c r="O4" s="41" t="e">
        <f>#REF!</f>
        <v>#REF!</v>
      </c>
      <c r="P4" s="41" t="e">
        <f>#REF!</f>
        <v>#REF!</v>
      </c>
      <c r="Q4" s="41" t="e">
        <f>#REF!</f>
        <v>#REF!</v>
      </c>
      <c r="R4" s="41" t="e">
        <f>#REF!</f>
        <v>#REF!</v>
      </c>
      <c r="S4" s="41" t="e">
        <f>#REF!</f>
        <v>#REF!</v>
      </c>
      <c r="T4" s="41" t="e">
        <f>#REF!</f>
        <v>#REF!</v>
      </c>
      <c r="U4" s="41" t="e">
        <f>#REF!</f>
        <v>#REF!</v>
      </c>
      <c r="V4" s="41" t="e">
        <f>#REF!</f>
        <v>#REF!</v>
      </c>
      <c r="W4" s="41" t="e">
        <f>#REF!</f>
        <v>#REF!</v>
      </c>
      <c r="X4" s="41" t="e">
        <f>#REF!</f>
        <v>#REF!</v>
      </c>
      <c r="Y4" s="41" t="e">
        <f>#REF!</f>
        <v>#REF!</v>
      </c>
      <c r="Z4" s="41" t="e">
        <f>#REF!</f>
        <v>#REF!</v>
      </c>
      <c r="AA4" s="41" t="e">
        <f>#REF!</f>
        <v>#REF!</v>
      </c>
      <c r="AB4" s="41" t="e">
        <f>#REF!</f>
        <v>#REF!</v>
      </c>
      <c r="AC4" s="41" t="e">
        <f>#REF!</f>
        <v>#REF!</v>
      </c>
      <c r="AD4" s="41" t="e">
        <f>#REF!</f>
        <v>#REF!</v>
      </c>
      <c r="AE4" s="41" t="e">
        <f>#REF!</f>
        <v>#REF!</v>
      </c>
      <c r="AF4" s="41" t="e">
        <f>#REF!</f>
        <v>#REF!</v>
      </c>
      <c r="AG4" s="41" t="e">
        <f>#REF!</f>
        <v>#REF!</v>
      </c>
      <c r="AH4" s="41" t="e">
        <f>#REF!</f>
        <v>#REF!</v>
      </c>
      <c r="AI4" s="41" t="e">
        <f>#REF!</f>
        <v>#REF!</v>
      </c>
      <c r="AJ4" s="41" t="e">
        <f>#REF!</f>
        <v>#REF!</v>
      </c>
      <c r="AK4" s="41" t="e">
        <f>#REF!</f>
        <v>#REF!</v>
      </c>
      <c r="AL4" s="41" t="e">
        <f>#REF!</f>
        <v>#REF!</v>
      </c>
      <c r="AM4" s="41" t="e">
        <f>#REF!</f>
        <v>#REF!</v>
      </c>
      <c r="AN4" s="41" t="e">
        <f>#REF!</f>
        <v>#REF!</v>
      </c>
      <c r="AO4" s="41" t="e">
        <f>#REF!</f>
        <v>#REF!</v>
      </c>
      <c r="AP4" s="41" t="e">
        <f>#REF!</f>
        <v>#REF!</v>
      </c>
      <c r="AQ4" s="41" t="e">
        <f>#REF!</f>
        <v>#REF!</v>
      </c>
      <c r="AR4" s="41" t="e">
        <f>#REF!</f>
        <v>#REF!</v>
      </c>
      <c r="AS4" s="41" t="e">
        <f>#REF!</f>
        <v>#REF!</v>
      </c>
      <c r="AT4" s="41" t="e">
        <f>#REF!</f>
        <v>#REF!</v>
      </c>
      <c r="AU4" s="41" t="e">
        <f>#REF!</f>
        <v>#REF!</v>
      </c>
      <c r="AV4" s="41" t="e">
        <f>#REF!</f>
        <v>#REF!</v>
      </c>
      <c r="AW4" s="41" t="e">
        <f>#REF!</f>
        <v>#REF!</v>
      </c>
      <c r="AX4" s="41" t="e">
        <f>#REF!</f>
        <v>#REF!</v>
      </c>
      <c r="AY4" s="41" t="e">
        <f>#REF!</f>
        <v>#REF!</v>
      </c>
      <c r="AZ4" s="41" t="e">
        <f>#REF!</f>
        <v>#REF!</v>
      </c>
      <c r="BA4" s="41" t="e">
        <f>#REF!</f>
        <v>#REF!</v>
      </c>
      <c r="BB4" s="41" t="e">
        <f>#REF!</f>
        <v>#REF!</v>
      </c>
      <c r="BC4" s="41" t="e">
        <f>#REF!</f>
        <v>#REF!</v>
      </c>
      <c r="BD4" s="41" t="e">
        <f>#REF!</f>
        <v>#REF!</v>
      </c>
      <c r="BE4" s="41" t="e">
        <f>#REF!</f>
        <v>#REF!</v>
      </c>
    </row>
    <row r="5" ht="21.6" customHeight="1" spans="1:57">
      <c r="A5" s="39" t="s">
        <v>61</v>
      </c>
      <c r="B5" s="41" t="e">
        <f>#REF!</f>
        <v>#REF!</v>
      </c>
      <c r="C5" s="41" t="e">
        <f>#REF!</f>
        <v>#REF!</v>
      </c>
      <c r="D5" s="41" t="e">
        <f>#REF!</f>
        <v>#REF!</v>
      </c>
      <c r="E5" s="41" t="e">
        <f>#REF!</f>
        <v>#REF!</v>
      </c>
      <c r="F5" s="41" t="e">
        <f>#REF!</f>
        <v>#REF!</v>
      </c>
      <c r="G5" s="41" t="e">
        <f>#REF!</f>
        <v>#REF!</v>
      </c>
      <c r="H5" s="41" t="e">
        <f>#REF!</f>
        <v>#REF!</v>
      </c>
      <c r="I5" s="41" t="e">
        <f>#REF!</f>
        <v>#REF!</v>
      </c>
      <c r="J5" s="41" t="e">
        <f>#REF!</f>
        <v>#REF!</v>
      </c>
      <c r="K5" s="41" t="e">
        <f>#REF!</f>
        <v>#REF!</v>
      </c>
      <c r="L5" s="41" t="e">
        <f>#REF!</f>
        <v>#REF!</v>
      </c>
      <c r="M5" s="41" t="e">
        <f>#REF!</f>
        <v>#REF!</v>
      </c>
      <c r="N5" s="41" t="e">
        <f>#REF!</f>
        <v>#REF!</v>
      </c>
      <c r="O5" s="41" t="e">
        <f>#REF!</f>
        <v>#REF!</v>
      </c>
      <c r="P5" s="41" t="e">
        <f>#REF!</f>
        <v>#REF!</v>
      </c>
      <c r="Q5" s="41" t="e">
        <f>#REF!</f>
        <v>#REF!</v>
      </c>
      <c r="R5" s="41" t="e">
        <f>#REF!</f>
        <v>#REF!</v>
      </c>
      <c r="S5" s="41" t="e">
        <f>#REF!</f>
        <v>#REF!</v>
      </c>
      <c r="T5" s="41" t="e">
        <f>#REF!</f>
        <v>#REF!</v>
      </c>
      <c r="U5" s="41" t="e">
        <f>#REF!</f>
        <v>#REF!</v>
      </c>
      <c r="V5" s="41" t="e">
        <f>#REF!</f>
        <v>#REF!</v>
      </c>
      <c r="W5" s="41" t="e">
        <f>#REF!</f>
        <v>#REF!</v>
      </c>
      <c r="X5" s="41" t="e">
        <f>#REF!</f>
        <v>#REF!</v>
      </c>
      <c r="Y5" s="41" t="e">
        <f>#REF!</f>
        <v>#REF!</v>
      </c>
      <c r="Z5" s="41" t="e">
        <f>#REF!</f>
        <v>#REF!</v>
      </c>
      <c r="AA5" s="41" t="e">
        <f>#REF!</f>
        <v>#REF!</v>
      </c>
      <c r="AB5" s="41" t="e">
        <f>#REF!</f>
        <v>#REF!</v>
      </c>
      <c r="AC5" s="41" t="e">
        <f>#REF!</f>
        <v>#REF!</v>
      </c>
      <c r="AD5" s="41" t="e">
        <f>#REF!</f>
        <v>#REF!</v>
      </c>
      <c r="AE5" s="41" t="e">
        <f>#REF!</f>
        <v>#REF!</v>
      </c>
      <c r="AF5" s="41" t="e">
        <f>#REF!</f>
        <v>#REF!</v>
      </c>
      <c r="AG5" s="41" t="e">
        <f>#REF!</f>
        <v>#REF!</v>
      </c>
      <c r="AH5" s="41" t="e">
        <f>#REF!</f>
        <v>#REF!</v>
      </c>
      <c r="AI5" s="41" t="e">
        <f>#REF!</f>
        <v>#REF!</v>
      </c>
      <c r="AJ5" s="41" t="e">
        <f>#REF!</f>
        <v>#REF!</v>
      </c>
      <c r="AK5" s="41" t="e">
        <f>#REF!</f>
        <v>#REF!</v>
      </c>
      <c r="AL5" s="41" t="e">
        <f>#REF!</f>
        <v>#REF!</v>
      </c>
      <c r="AM5" s="41" t="e">
        <f>#REF!</f>
        <v>#REF!</v>
      </c>
      <c r="AN5" s="41" t="e">
        <f>#REF!</f>
        <v>#REF!</v>
      </c>
      <c r="AO5" s="41" t="e">
        <f>#REF!</f>
        <v>#REF!</v>
      </c>
      <c r="AP5" s="41" t="e">
        <f>#REF!</f>
        <v>#REF!</v>
      </c>
      <c r="AQ5" s="41" t="e">
        <f>#REF!</f>
        <v>#REF!</v>
      </c>
      <c r="AR5" s="41" t="e">
        <f>#REF!</f>
        <v>#REF!</v>
      </c>
      <c r="AS5" s="41" t="e">
        <f>#REF!</f>
        <v>#REF!</v>
      </c>
      <c r="AT5" s="41" t="e">
        <f>#REF!</f>
        <v>#REF!</v>
      </c>
      <c r="AU5" s="41" t="e">
        <f>#REF!</f>
        <v>#REF!</v>
      </c>
      <c r="AV5" s="41" t="e">
        <f>#REF!</f>
        <v>#REF!</v>
      </c>
      <c r="AW5" s="41" t="e">
        <f>#REF!</f>
        <v>#REF!</v>
      </c>
      <c r="AX5" s="41" t="e">
        <f>#REF!</f>
        <v>#REF!</v>
      </c>
      <c r="AY5" s="41" t="e">
        <f>#REF!</f>
        <v>#REF!</v>
      </c>
      <c r="AZ5" s="41" t="e">
        <f>#REF!</f>
        <v>#REF!</v>
      </c>
      <c r="BA5" s="41" t="e">
        <f>#REF!</f>
        <v>#REF!</v>
      </c>
      <c r="BB5" s="41" t="e">
        <f>#REF!</f>
        <v>#REF!</v>
      </c>
      <c r="BC5" s="41" t="e">
        <f>#REF!</f>
        <v>#REF!</v>
      </c>
      <c r="BD5" s="41" t="e">
        <f>#REF!</f>
        <v>#REF!</v>
      </c>
      <c r="BE5" s="41" t="e">
        <f>#REF!</f>
        <v>#REF!</v>
      </c>
    </row>
  </sheetData>
  <printOptions horizontalCentered="1"/>
  <pageMargins left="0" right="0" top="0.354330708661417" bottom="0" header="0.31496062992126" footer="0.31496062992126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6"/>
  <sheetViews>
    <sheetView workbookViewId="0">
      <selection activeCell="A13" sqref="A13"/>
    </sheetView>
  </sheetViews>
  <sheetFormatPr defaultColWidth="9" defaultRowHeight="14.25"/>
  <cols>
    <col min="1" max="1" width="20.75" customWidth="1"/>
    <col min="85" max="85" width="8.625" style="16"/>
  </cols>
  <sheetData>
    <row r="1" ht="16.5" spans="1:110">
      <c r="A1" s="17" t="s">
        <v>92</v>
      </c>
      <c r="B1" s="189" t="s">
        <v>93</v>
      </c>
      <c r="C1" s="189" t="s">
        <v>94</v>
      </c>
      <c r="D1" s="189" t="s">
        <v>95</v>
      </c>
      <c r="E1" s="189" t="s">
        <v>96</v>
      </c>
      <c r="F1" s="189" t="s">
        <v>97</v>
      </c>
      <c r="G1" s="189" t="s">
        <v>98</v>
      </c>
      <c r="H1" s="189" t="s">
        <v>99</v>
      </c>
      <c r="I1" s="189" t="s">
        <v>100</v>
      </c>
      <c r="J1" s="189" t="s">
        <v>101</v>
      </c>
      <c r="K1" s="189" t="s">
        <v>102</v>
      </c>
      <c r="L1" s="189" t="s">
        <v>103</v>
      </c>
      <c r="M1" s="189" t="s">
        <v>104</v>
      </c>
      <c r="N1" s="189" t="s">
        <v>105</v>
      </c>
      <c r="O1" s="189" t="s">
        <v>106</v>
      </c>
      <c r="P1" s="189" t="s">
        <v>107</v>
      </c>
      <c r="Q1" s="189" t="s">
        <v>108</v>
      </c>
      <c r="R1" s="189" t="s">
        <v>109</v>
      </c>
      <c r="S1" s="189" t="s">
        <v>110</v>
      </c>
      <c r="T1" s="189" t="s">
        <v>111</v>
      </c>
      <c r="U1" s="189" t="s">
        <v>112</v>
      </c>
      <c r="V1" s="189" t="s">
        <v>113</v>
      </c>
      <c r="W1" s="189" t="s">
        <v>114</v>
      </c>
      <c r="X1" s="189" t="s">
        <v>115</v>
      </c>
      <c r="Y1" s="189" t="s">
        <v>116</v>
      </c>
      <c r="Z1" s="189" t="s">
        <v>117</v>
      </c>
      <c r="AA1" s="189" t="s">
        <v>118</v>
      </c>
      <c r="AB1" s="189" t="s">
        <v>119</v>
      </c>
      <c r="AC1" s="189" t="s">
        <v>120</v>
      </c>
      <c r="AD1" s="189" t="s">
        <v>121</v>
      </c>
      <c r="AE1" s="189" t="s">
        <v>122</v>
      </c>
      <c r="AF1" s="189" t="s">
        <v>123</v>
      </c>
      <c r="AG1" s="189" t="s">
        <v>124</v>
      </c>
      <c r="AH1" s="189" t="s">
        <v>125</v>
      </c>
      <c r="AI1" s="189" t="s">
        <v>126</v>
      </c>
      <c r="AJ1" s="189" t="s">
        <v>127</v>
      </c>
      <c r="AK1" s="189" t="s">
        <v>128</v>
      </c>
      <c r="AL1" s="189" t="s">
        <v>129</v>
      </c>
      <c r="AM1" s="189" t="s">
        <v>130</v>
      </c>
      <c r="AN1" s="189" t="s">
        <v>131</v>
      </c>
      <c r="AO1" s="189" t="s">
        <v>132</v>
      </c>
      <c r="AP1" s="189" t="s">
        <v>133</v>
      </c>
      <c r="AQ1" s="189" t="s">
        <v>134</v>
      </c>
      <c r="AR1" s="189" t="s">
        <v>135</v>
      </c>
      <c r="AS1" s="189" t="s">
        <v>136</v>
      </c>
      <c r="AT1" s="189" t="s">
        <v>137</v>
      </c>
      <c r="AU1" s="189" t="s">
        <v>138</v>
      </c>
      <c r="AV1" s="189" t="s">
        <v>139</v>
      </c>
      <c r="AW1" s="189" t="s">
        <v>140</v>
      </c>
      <c r="AX1" s="189" t="s">
        <v>4</v>
      </c>
      <c r="AY1" s="189" t="s">
        <v>5</v>
      </c>
      <c r="AZ1" s="189" t="s">
        <v>6</v>
      </c>
      <c r="BA1" s="189" t="s">
        <v>7</v>
      </c>
      <c r="BB1" s="189" t="s">
        <v>8</v>
      </c>
      <c r="BC1" s="189" t="s">
        <v>9</v>
      </c>
      <c r="BD1" s="189" t="s">
        <v>10</v>
      </c>
      <c r="BE1" s="189" t="s">
        <v>11</v>
      </c>
      <c r="BF1" s="189" t="s">
        <v>12</v>
      </c>
      <c r="BG1" s="189" t="s">
        <v>13</v>
      </c>
      <c r="BH1" s="189" t="s">
        <v>14</v>
      </c>
      <c r="BI1" s="189" t="s">
        <v>15</v>
      </c>
      <c r="BJ1" s="189" t="s">
        <v>16</v>
      </c>
      <c r="BK1" s="189" t="s">
        <v>17</v>
      </c>
      <c r="BL1" s="189" t="s">
        <v>18</v>
      </c>
      <c r="BM1" s="189" t="s">
        <v>19</v>
      </c>
      <c r="BN1" s="189" t="s">
        <v>20</v>
      </c>
      <c r="BO1" s="189" t="s">
        <v>21</v>
      </c>
      <c r="BP1" s="189" t="s">
        <v>22</v>
      </c>
      <c r="BQ1" s="189" t="s">
        <v>23</v>
      </c>
      <c r="BR1" s="189" t="s">
        <v>24</v>
      </c>
      <c r="BS1" s="189" t="s">
        <v>25</v>
      </c>
      <c r="BT1" s="189" t="s">
        <v>26</v>
      </c>
      <c r="BU1" s="189" t="s">
        <v>27</v>
      </c>
      <c r="BV1" s="189" t="s">
        <v>28</v>
      </c>
      <c r="BW1" s="189" t="s">
        <v>29</v>
      </c>
      <c r="BX1" s="189" t="s">
        <v>30</v>
      </c>
      <c r="BY1" s="189" t="s">
        <v>31</v>
      </c>
      <c r="BZ1" s="189" t="s">
        <v>32</v>
      </c>
      <c r="CA1" s="189" t="s">
        <v>33</v>
      </c>
      <c r="CB1" s="189" t="s">
        <v>34</v>
      </c>
      <c r="CC1" s="189" t="s">
        <v>35</v>
      </c>
      <c r="CD1" s="189" t="s">
        <v>36</v>
      </c>
      <c r="CE1" s="189" t="s">
        <v>37</v>
      </c>
      <c r="CF1" s="189" t="s">
        <v>38</v>
      </c>
      <c r="CG1" s="190" t="s">
        <v>39</v>
      </c>
      <c r="CH1" s="189" t="s">
        <v>40</v>
      </c>
      <c r="CI1" s="189" t="s">
        <v>41</v>
      </c>
      <c r="CJ1" s="189" t="s">
        <v>42</v>
      </c>
      <c r="CK1" s="189" t="s">
        <v>43</v>
      </c>
      <c r="CL1" s="189" t="s">
        <v>44</v>
      </c>
      <c r="CM1" s="189" t="s">
        <v>45</v>
      </c>
      <c r="CN1" s="189" t="s">
        <v>46</v>
      </c>
      <c r="CO1" s="189" t="s">
        <v>47</v>
      </c>
      <c r="CP1" s="189" t="s">
        <v>48</v>
      </c>
      <c r="CQ1" s="189" t="s">
        <v>49</v>
      </c>
      <c r="CR1" s="189" t="s">
        <v>50</v>
      </c>
      <c r="CS1" s="189" t="s">
        <v>51</v>
      </c>
      <c r="CT1" s="189" t="s">
        <v>52</v>
      </c>
      <c r="CU1" s="189" t="s">
        <v>53</v>
      </c>
      <c r="CV1" s="189" t="s">
        <v>54</v>
      </c>
      <c r="CW1" s="189" t="s">
        <v>55</v>
      </c>
      <c r="CX1" s="189" t="s">
        <v>56</v>
      </c>
      <c r="CY1" s="189" t="s">
        <v>57</v>
      </c>
      <c r="DD1" s="36"/>
      <c r="DE1" s="36"/>
      <c r="DF1" s="36">
        <f>MIN(B1:CZ1)</f>
        <v>0</v>
      </c>
    </row>
    <row r="2" ht="16.5" spans="1:110">
      <c r="A2" s="19" t="s">
        <v>60</v>
      </c>
      <c r="B2" s="20">
        <v>2214.84253724686</v>
      </c>
      <c r="C2" s="20">
        <v>2336.52802664836</v>
      </c>
      <c r="D2" s="20">
        <v>2486.73561701201</v>
      </c>
      <c r="E2" s="20">
        <v>2463.6406471757</v>
      </c>
      <c r="F2" s="20">
        <v>2421.16058906031</v>
      </c>
      <c r="G2" s="20">
        <v>2389.98441831522</v>
      </c>
      <c r="H2" s="20">
        <v>2517.10202679492</v>
      </c>
      <c r="I2" s="20">
        <v>2610.32495749103</v>
      </c>
      <c r="J2" s="20">
        <v>2740.58145892879</v>
      </c>
      <c r="K2" s="20">
        <v>2534.15628220744</v>
      </c>
      <c r="L2" s="20">
        <v>2670.66059399294</v>
      </c>
      <c r="M2" s="20">
        <v>2577.81847622475</v>
      </c>
      <c r="N2" s="20">
        <v>2589.44395831942</v>
      </c>
      <c r="O2" s="20">
        <v>2675.03974390694</v>
      </c>
      <c r="P2" s="20">
        <v>2661.9709258682</v>
      </c>
      <c r="Q2" s="20">
        <v>2677.49744307477</v>
      </c>
      <c r="R2" s="20">
        <v>2720.9215171283</v>
      </c>
      <c r="S2" s="20">
        <v>2716.1916328704</v>
      </c>
      <c r="T2" s="20">
        <v>2717.93069292358</v>
      </c>
      <c r="U2" s="20">
        <v>2742.67950489356</v>
      </c>
      <c r="V2" s="20">
        <v>2730.55121921408</v>
      </c>
      <c r="W2" s="20">
        <v>2667.02778840469</v>
      </c>
      <c r="X2" s="20">
        <v>2482.10788631239</v>
      </c>
      <c r="Y2" s="20">
        <v>2479.72486912659</v>
      </c>
      <c r="Z2" s="20">
        <v>2369.13681408076</v>
      </c>
      <c r="AA2" s="20">
        <v>2389.92058776453</v>
      </c>
      <c r="AB2" s="20">
        <v>2353.80782960241</v>
      </c>
      <c r="AC2" s="20">
        <v>2228.75944609667</v>
      </c>
      <c r="AD2" s="20">
        <v>2057.65408377272</v>
      </c>
      <c r="AE2" s="20">
        <v>2037.73913355371</v>
      </c>
      <c r="AF2" s="20">
        <v>2060.64942722881</v>
      </c>
      <c r="AG2" s="20">
        <v>2102.88971363419</v>
      </c>
      <c r="AH2" s="20">
        <v>2033.45865565588</v>
      </c>
      <c r="AI2" s="20">
        <v>1899.75616124342</v>
      </c>
      <c r="AJ2" s="20">
        <v>1955.91103711065</v>
      </c>
      <c r="AK2" s="20">
        <v>1983.90829028131</v>
      </c>
      <c r="AL2" s="20">
        <v>2134.89368553085</v>
      </c>
      <c r="AM2" s="20">
        <v>2300.40239887854</v>
      </c>
      <c r="AN2" s="20">
        <v>2353.51886407236</v>
      </c>
      <c r="AO2" s="20">
        <v>2376.9914041787</v>
      </c>
      <c r="AP2" s="20">
        <v>2370.11097779376</v>
      </c>
      <c r="AQ2" s="20">
        <v>2285.11727121911</v>
      </c>
      <c r="AR2" s="20">
        <v>2235.3890116282</v>
      </c>
      <c r="AS2" s="20">
        <v>2225.46747367068</v>
      </c>
      <c r="AT2" s="20">
        <v>2229.89952883193</v>
      </c>
      <c r="AU2" s="20">
        <v>2235.73247647006</v>
      </c>
      <c r="AV2" s="20">
        <v>2329.2131481707</v>
      </c>
      <c r="AW2" s="20">
        <v>2470.30616907957</v>
      </c>
      <c r="AX2" s="20">
        <v>2501.27733994969</v>
      </c>
      <c r="AY2" s="20">
        <v>2526.66487491209</v>
      </c>
      <c r="AZ2" s="20">
        <v>2597.13533556329</v>
      </c>
      <c r="BA2" s="20">
        <v>2548.62846129866</v>
      </c>
      <c r="BB2" s="20">
        <v>2565.61944262039</v>
      </c>
      <c r="BC2" s="20">
        <v>2575.92776325538</v>
      </c>
      <c r="BD2" s="20">
        <v>2678.8684330737</v>
      </c>
      <c r="BE2" s="20">
        <v>2733.19732199673</v>
      </c>
      <c r="BF2" s="20">
        <v>2745.26197429751</v>
      </c>
      <c r="BG2" s="20">
        <v>2742.63429292559</v>
      </c>
      <c r="BH2" s="20">
        <v>2700</v>
      </c>
      <c r="BI2" s="20">
        <v>2700</v>
      </c>
      <c r="BJ2" s="20">
        <v>2614</v>
      </c>
      <c r="BK2" s="20">
        <v>2625</v>
      </c>
      <c r="BL2" s="20">
        <v>2520.39182203737</v>
      </c>
      <c r="BM2" s="20">
        <v>2512.13068830001</v>
      </c>
      <c r="BN2" s="20">
        <v>2429.00920272917</v>
      </c>
      <c r="BO2" s="20">
        <v>2407.32579117454</v>
      </c>
      <c r="BP2" s="20">
        <v>2214.27488235976</v>
      </c>
      <c r="BQ2" s="20">
        <v>2214.17373230795</v>
      </c>
      <c r="BR2" s="20">
        <v>2187.03721640631</v>
      </c>
      <c r="BS2" s="20">
        <v>2139.20731562574</v>
      </c>
      <c r="BT2" s="20">
        <v>2103.83873158189</v>
      </c>
      <c r="BU2" s="20">
        <v>2061.2315180595</v>
      </c>
      <c r="BV2" s="20">
        <v>2085.85646546543</v>
      </c>
      <c r="BW2" s="20">
        <v>1986.99049986103</v>
      </c>
      <c r="BX2" s="20">
        <v>1986.99049986103</v>
      </c>
      <c r="BY2" s="20">
        <v>2071.54970299319</v>
      </c>
      <c r="BZ2" s="20">
        <v>2060.86989188714</v>
      </c>
      <c r="CA2" s="20">
        <v>2071.91942244851</v>
      </c>
      <c r="CB2" s="20">
        <v>2098.81534256527</v>
      </c>
      <c r="CC2" s="20">
        <v>2082.68201288914</v>
      </c>
      <c r="CD2" s="20">
        <v>2176.04544673005</v>
      </c>
      <c r="CE2" s="20">
        <v>2238.37267542502</v>
      </c>
      <c r="CF2" s="20">
        <v>2273.71492390218</v>
      </c>
      <c r="CG2" s="20">
        <v>2310.92311103161</v>
      </c>
      <c r="CH2" s="20">
        <v>2365.12277264168</v>
      </c>
      <c r="CI2" s="20">
        <v>2471.1848190443</v>
      </c>
      <c r="CJ2" s="20">
        <v>2727.36764923849</v>
      </c>
      <c r="CK2" s="20">
        <v>3293.74390943446</v>
      </c>
      <c r="CL2" s="20">
        <v>3225.76580175787</v>
      </c>
      <c r="CM2" s="20">
        <v>3262.17499294506</v>
      </c>
      <c r="CN2" s="20">
        <v>3373.02009683852</v>
      </c>
      <c r="CO2" s="20">
        <v>3508.28733466809</v>
      </c>
      <c r="CP2" s="20">
        <v>3780.28873276843</v>
      </c>
      <c r="CQ2" s="20">
        <v>3742.63740127969</v>
      </c>
      <c r="CR2" s="20">
        <v>3536.15387237605</v>
      </c>
      <c r="CS2" s="20">
        <v>3536.09939443262</v>
      </c>
      <c r="CT2" s="20">
        <v>3635.94254687299</v>
      </c>
      <c r="CU2" s="20">
        <v>3566.13213614648</v>
      </c>
      <c r="CV2" s="20">
        <v>4271.26059306314</v>
      </c>
      <c r="CW2" s="20">
        <v>4362</v>
      </c>
      <c r="CX2" s="20">
        <v>5029</v>
      </c>
      <c r="CY2" s="20">
        <v>5280</v>
      </c>
      <c r="DD2" s="36">
        <f t="shared" ref="DD2:DD6" si="0">AVERAGE(B2:CZ2)</f>
        <v>2597.04906462484</v>
      </c>
      <c r="DE2" s="36">
        <f t="shared" ref="DE2:DE6" si="1">MAX(B2:CZ2)</f>
        <v>5280</v>
      </c>
      <c r="DF2" s="36">
        <f t="shared" ref="DF2:DF6" si="2">MIN(B2:CZ2)</f>
        <v>1899.75616124342</v>
      </c>
    </row>
    <row r="3" ht="16.5" spans="1:110">
      <c r="A3" s="19" t="s">
        <v>144</v>
      </c>
      <c r="B3" s="21">
        <v>1327</v>
      </c>
      <c r="C3" s="21">
        <v>1491</v>
      </c>
      <c r="D3" s="21">
        <v>1408</v>
      </c>
      <c r="E3" s="21">
        <v>1104</v>
      </c>
      <c r="F3" s="21">
        <v>1307</v>
      </c>
      <c r="G3" s="21">
        <v>1315</v>
      </c>
      <c r="H3" s="21">
        <v>1361</v>
      </c>
      <c r="I3" s="21">
        <v>1291</v>
      </c>
      <c r="J3" s="21">
        <v>1197</v>
      </c>
      <c r="K3" s="21">
        <v>1024</v>
      </c>
      <c r="L3" s="21">
        <v>1145</v>
      </c>
      <c r="M3" s="21">
        <v>1314</v>
      </c>
      <c r="N3" s="21">
        <v>1372</v>
      </c>
      <c r="O3" s="21">
        <v>1354</v>
      </c>
      <c r="P3" s="21">
        <v>1370</v>
      </c>
      <c r="Q3" s="21">
        <v>1171</v>
      </c>
      <c r="R3" s="21">
        <v>1168</v>
      </c>
      <c r="S3" s="21">
        <v>1250</v>
      </c>
      <c r="T3" s="21">
        <v>1268</v>
      </c>
      <c r="U3" s="21">
        <v>1201</v>
      </c>
      <c r="V3" s="21">
        <v>1063</v>
      </c>
      <c r="W3" s="21">
        <v>1048</v>
      </c>
      <c r="X3" s="21">
        <v>1140</v>
      </c>
      <c r="Y3" s="21">
        <v>1080</v>
      </c>
      <c r="Z3" s="21">
        <v>945</v>
      </c>
      <c r="AA3" s="21">
        <v>841</v>
      </c>
      <c r="AB3" s="21">
        <v>760</v>
      </c>
      <c r="AC3" s="21">
        <v>767</v>
      </c>
      <c r="AD3" s="21">
        <v>753</v>
      </c>
      <c r="AE3" s="21">
        <v>711</v>
      </c>
      <c r="AF3" s="21">
        <v>669</v>
      </c>
      <c r="AG3" s="21">
        <v>689</v>
      </c>
      <c r="AH3" s="21">
        <v>729</v>
      </c>
      <c r="AI3" s="21">
        <v>763</v>
      </c>
      <c r="AJ3" s="21">
        <v>870</v>
      </c>
      <c r="AK3" s="21">
        <v>897</v>
      </c>
      <c r="AL3" s="21">
        <v>887</v>
      </c>
      <c r="AM3" s="21">
        <v>907</v>
      </c>
      <c r="AN3" s="21">
        <v>893</v>
      </c>
      <c r="AO3" s="21">
        <v>803</v>
      </c>
      <c r="AP3" s="21">
        <v>813</v>
      </c>
      <c r="AQ3" s="21">
        <v>837</v>
      </c>
      <c r="AR3" s="21">
        <v>902</v>
      </c>
      <c r="AS3" s="21">
        <v>983</v>
      </c>
      <c r="AT3" s="21">
        <v>1045</v>
      </c>
      <c r="AU3" s="21">
        <v>1386</v>
      </c>
      <c r="AV3" s="21">
        <v>1602</v>
      </c>
      <c r="AW3" s="21">
        <v>1301</v>
      </c>
      <c r="AX3" s="21">
        <v>1184</v>
      </c>
      <c r="AY3" s="21">
        <v>1199</v>
      </c>
      <c r="AZ3" s="21">
        <v>1117</v>
      </c>
      <c r="BA3" s="21">
        <v>1059</v>
      </c>
      <c r="BB3" s="21">
        <v>1127</v>
      </c>
      <c r="BC3" s="21">
        <v>1148</v>
      </c>
      <c r="BD3" s="21">
        <v>1193</v>
      </c>
      <c r="BE3" s="21">
        <v>1328</v>
      </c>
      <c r="BF3" s="21">
        <v>1487</v>
      </c>
      <c r="BG3" s="21">
        <v>1459</v>
      </c>
      <c r="BH3" s="21">
        <v>1398</v>
      </c>
      <c r="BI3" s="21">
        <v>1230.5</v>
      </c>
      <c r="BJ3" s="21">
        <v>1133.57</v>
      </c>
      <c r="BK3" s="21">
        <v>1086</v>
      </c>
      <c r="BL3" s="21">
        <v>1005.9</v>
      </c>
      <c r="BM3" s="21">
        <v>997.73</v>
      </c>
      <c r="BN3" s="21">
        <v>972.857142857143</v>
      </c>
      <c r="BO3" s="21">
        <v>963.684210526316</v>
      </c>
      <c r="BP3" s="21">
        <v>841.086956521739</v>
      </c>
      <c r="BQ3" s="21">
        <v>752.272727272727</v>
      </c>
      <c r="BR3" s="21">
        <v>642.6</v>
      </c>
      <c r="BS3" s="21">
        <v>602.368421052632</v>
      </c>
      <c r="BT3" s="21">
        <v>523.571428571429</v>
      </c>
      <c r="BU3" s="21">
        <v>539.090909090909</v>
      </c>
      <c r="BV3" s="21">
        <v>596.5625</v>
      </c>
      <c r="BW3" s="21">
        <v>611.136363636364</v>
      </c>
      <c r="BX3" s="21">
        <v>668.863636363636</v>
      </c>
      <c r="BY3" s="21">
        <v>598.409090909091</v>
      </c>
      <c r="BZ3" s="21">
        <v>641.052631578947</v>
      </c>
      <c r="CA3" s="21">
        <v>661.190476190476</v>
      </c>
      <c r="CB3" s="21">
        <v>630.869565217391</v>
      </c>
      <c r="CC3" s="21">
        <v>651.904761904762</v>
      </c>
      <c r="CD3" s="21">
        <v>702.173913043478</v>
      </c>
      <c r="CE3" s="21">
        <v>746.176470588235</v>
      </c>
      <c r="CF3" s="21">
        <v>806.363636363636</v>
      </c>
      <c r="CG3" s="21">
        <f>[6]硫磺价格对比!$X$67</f>
        <v>920.47619047619</v>
      </c>
      <c r="CH3" s="21">
        <f>[1]硫磺价格对比!$B$116</f>
        <v>1092.75</v>
      </c>
      <c r="CI3" s="21">
        <v>1438.23529411765</v>
      </c>
      <c r="CJ3" s="21">
        <v>1349.5652173913</v>
      </c>
      <c r="CK3" s="21">
        <v>1420</v>
      </c>
      <c r="CL3" s="21">
        <v>1554.47368421053</v>
      </c>
      <c r="CM3" s="21">
        <v>1597.85714285714</v>
      </c>
      <c r="CN3" s="21">
        <v>1584.31818181818</v>
      </c>
      <c r="CO3" s="21">
        <v>1774.09090909091</v>
      </c>
      <c r="CP3" s="21">
        <v>1908.40909090909</v>
      </c>
      <c r="CQ3" s="21">
        <v>1937.05882352941</v>
      </c>
      <c r="CR3" s="21">
        <v>2001.81818181818</v>
      </c>
      <c r="CS3" s="21">
        <v>2313.04347826087</v>
      </c>
      <c r="CT3" s="21">
        <v>2461.25</v>
      </c>
      <c r="CU3" s="21">
        <v>2569.33333333333</v>
      </c>
      <c r="CV3" s="21">
        <v>3236</v>
      </c>
      <c r="CW3" s="21">
        <f>[6]硫磺价格对比!$H$153</f>
        <v>3510.47619047619</v>
      </c>
      <c r="CX3" s="21">
        <f>[6]硫磺价格对比!$J$153</f>
        <v>4034</v>
      </c>
      <c r="CY3" s="21">
        <f>[6]硫磺价格对比!$L$153</f>
        <v>3538.09523809524</v>
      </c>
      <c r="DD3" s="36">
        <f t="shared" si="0"/>
        <v>1216.35476272621</v>
      </c>
      <c r="DE3" s="36">
        <f t="shared" si="1"/>
        <v>4034</v>
      </c>
      <c r="DF3" s="36">
        <f t="shared" si="2"/>
        <v>523.571428571429</v>
      </c>
    </row>
    <row r="4" ht="16.5" spans="1:110">
      <c r="A4" s="19" t="s">
        <v>146</v>
      </c>
      <c r="B4" s="21">
        <v>400</v>
      </c>
      <c r="C4" s="21">
        <v>400</v>
      </c>
      <c r="D4" s="21">
        <v>400</v>
      </c>
      <c r="E4" s="21">
        <v>380</v>
      </c>
      <c r="F4" s="21">
        <v>380</v>
      </c>
      <c r="G4" s="21">
        <v>380</v>
      </c>
      <c r="H4" s="21">
        <v>380</v>
      </c>
      <c r="I4" s="21">
        <v>380</v>
      </c>
      <c r="J4" s="21">
        <v>380</v>
      </c>
      <c r="K4" s="21">
        <v>380</v>
      </c>
      <c r="L4" s="21">
        <v>380</v>
      </c>
      <c r="M4" s="21">
        <v>380</v>
      </c>
      <c r="N4" s="21">
        <v>390</v>
      </c>
      <c r="O4" s="21">
        <v>390</v>
      </c>
      <c r="P4" s="21">
        <v>380</v>
      </c>
      <c r="Q4" s="21">
        <v>380</v>
      </c>
      <c r="R4" s="21">
        <v>380</v>
      </c>
      <c r="S4" s="21">
        <v>380</v>
      </c>
      <c r="T4" s="21">
        <v>380</v>
      </c>
      <c r="U4" s="21">
        <v>370</v>
      </c>
      <c r="V4" s="21">
        <v>370</v>
      </c>
      <c r="W4" s="21">
        <v>370</v>
      </c>
      <c r="X4" s="21">
        <v>370</v>
      </c>
      <c r="Y4" s="21">
        <v>370</v>
      </c>
      <c r="Z4" s="21">
        <v>350</v>
      </c>
      <c r="AA4" s="21">
        <v>350</v>
      </c>
      <c r="AB4" s="21">
        <v>350</v>
      </c>
      <c r="AC4" s="21">
        <v>350</v>
      </c>
      <c r="AD4" s="21">
        <v>350</v>
      </c>
      <c r="AE4" s="21">
        <v>350</v>
      </c>
      <c r="AF4" s="21">
        <v>350</v>
      </c>
      <c r="AG4" s="21">
        <v>340</v>
      </c>
      <c r="AH4" s="21">
        <v>340</v>
      </c>
      <c r="AI4" s="21">
        <v>340</v>
      </c>
      <c r="AJ4" s="21">
        <v>340</v>
      </c>
      <c r="AK4" s="21">
        <v>340</v>
      </c>
      <c r="AL4" s="21">
        <v>340</v>
      </c>
      <c r="AM4" s="21">
        <v>355</v>
      </c>
      <c r="AN4" s="21">
        <v>355</v>
      </c>
      <c r="AO4" s="21">
        <v>355</v>
      </c>
      <c r="AP4" s="21">
        <v>355</v>
      </c>
      <c r="AQ4" s="21">
        <v>355</v>
      </c>
      <c r="AR4" s="21">
        <v>355</v>
      </c>
      <c r="AS4" s="21">
        <v>355</v>
      </c>
      <c r="AT4" s="21">
        <v>355</v>
      </c>
      <c r="AU4" s="21">
        <v>355</v>
      </c>
      <c r="AV4" s="21">
        <v>355</v>
      </c>
      <c r="AW4" s="21">
        <v>430</v>
      </c>
      <c r="AX4" s="21">
        <v>430</v>
      </c>
      <c r="AY4" s="21">
        <v>430</v>
      </c>
      <c r="AZ4" s="21">
        <v>430</v>
      </c>
      <c r="BA4" s="21">
        <v>430</v>
      </c>
      <c r="BB4" s="21">
        <v>430</v>
      </c>
      <c r="BC4" s="21">
        <v>430</v>
      </c>
      <c r="BD4" s="21">
        <v>430</v>
      </c>
      <c r="BE4" s="21">
        <v>430</v>
      </c>
      <c r="BF4" s="21">
        <v>430</v>
      </c>
      <c r="BG4" s="21">
        <v>430</v>
      </c>
      <c r="BH4" s="21">
        <v>450</v>
      </c>
      <c r="BI4" s="21">
        <v>500</v>
      </c>
      <c r="BJ4" s="21">
        <v>470</v>
      </c>
      <c r="BK4" s="21">
        <v>470</v>
      </c>
      <c r="BL4" s="21">
        <v>420</v>
      </c>
      <c r="BM4" s="21">
        <v>420</v>
      </c>
      <c r="BN4" s="21">
        <v>420</v>
      </c>
      <c r="BO4" s="21">
        <v>420</v>
      </c>
      <c r="BP4" s="21">
        <v>400</v>
      </c>
      <c r="BQ4" s="21">
        <v>400</v>
      </c>
      <c r="BR4" s="21">
        <v>380</v>
      </c>
      <c r="BS4" s="21">
        <v>380</v>
      </c>
      <c r="BT4" s="21">
        <v>370</v>
      </c>
      <c r="BU4" s="21">
        <v>370</v>
      </c>
      <c r="BV4" s="21">
        <v>370</v>
      </c>
      <c r="BW4" s="21">
        <v>370</v>
      </c>
      <c r="BX4" s="21">
        <v>370</v>
      </c>
      <c r="BY4" s="21">
        <v>338</v>
      </c>
      <c r="BZ4" s="21">
        <v>338</v>
      </c>
      <c r="CA4" s="21">
        <v>338</v>
      </c>
      <c r="CB4" s="21">
        <v>338</v>
      </c>
      <c r="CC4" s="21">
        <v>338</v>
      </c>
      <c r="CD4" s="21">
        <v>328</v>
      </c>
      <c r="CE4" s="21">
        <v>328</v>
      </c>
      <c r="CF4" s="21">
        <v>358</v>
      </c>
      <c r="CG4" s="21">
        <v>358</v>
      </c>
      <c r="CH4" s="21">
        <v>358</v>
      </c>
      <c r="CI4" s="21">
        <v>358</v>
      </c>
      <c r="CJ4" s="21">
        <v>358</v>
      </c>
      <c r="CK4" s="21">
        <v>408</v>
      </c>
      <c r="CL4" s="21">
        <v>458</v>
      </c>
      <c r="CM4" s="21">
        <v>488</v>
      </c>
      <c r="CN4" s="21">
        <v>508</v>
      </c>
      <c r="CO4" s="21">
        <v>558</v>
      </c>
      <c r="CP4" s="21">
        <v>608</v>
      </c>
      <c r="CQ4" s="21">
        <v>608</v>
      </c>
      <c r="CR4" s="21">
        <v>608</v>
      </c>
      <c r="CS4" s="21">
        <v>608</v>
      </c>
      <c r="CT4" s="21">
        <v>608</v>
      </c>
      <c r="CU4" s="21">
        <v>608</v>
      </c>
      <c r="CV4" s="21">
        <v>608</v>
      </c>
      <c r="CW4" s="21">
        <v>645.6</v>
      </c>
      <c r="CX4" s="21">
        <v>745.6</v>
      </c>
      <c r="CY4" s="21">
        <v>858</v>
      </c>
      <c r="DD4" s="36">
        <f t="shared" si="0"/>
        <v>411.38431372549</v>
      </c>
      <c r="DE4" s="36">
        <f t="shared" si="1"/>
        <v>858</v>
      </c>
      <c r="DF4" s="36">
        <f t="shared" si="2"/>
        <v>328</v>
      </c>
    </row>
    <row r="5" ht="16.5" spans="1:110">
      <c r="A5" s="19" t="s">
        <v>168</v>
      </c>
      <c r="B5" s="22">
        <v>827</v>
      </c>
      <c r="C5" s="21">
        <v>800</v>
      </c>
      <c r="D5" s="21">
        <v>770</v>
      </c>
      <c r="E5" s="21">
        <v>735</v>
      </c>
      <c r="F5" s="21">
        <v>695</v>
      </c>
      <c r="G5" s="21">
        <v>695</v>
      </c>
      <c r="H5" s="21">
        <v>671</v>
      </c>
      <c r="I5" s="21">
        <v>667</v>
      </c>
      <c r="J5" s="21">
        <v>657</v>
      </c>
      <c r="K5" s="21">
        <v>657</v>
      </c>
      <c r="L5" s="21">
        <v>677</v>
      </c>
      <c r="M5" s="21">
        <v>677</v>
      </c>
      <c r="N5" s="21">
        <v>677</v>
      </c>
      <c r="O5" s="21">
        <v>677</v>
      </c>
      <c r="P5" s="21">
        <v>642</v>
      </c>
      <c r="Q5" s="21">
        <v>612</v>
      </c>
      <c r="R5" s="21">
        <v>612</v>
      </c>
      <c r="S5" s="21">
        <v>612</v>
      </c>
      <c r="T5" s="21">
        <v>578</v>
      </c>
      <c r="U5" s="21">
        <v>558</v>
      </c>
      <c r="V5" s="21">
        <v>558</v>
      </c>
      <c r="W5" s="21">
        <v>539</v>
      </c>
      <c r="X5" s="21">
        <v>517</v>
      </c>
      <c r="Y5" s="21">
        <v>517</v>
      </c>
      <c r="Z5" s="21">
        <v>519</v>
      </c>
      <c r="AA5" s="21">
        <v>519</v>
      </c>
      <c r="AB5" s="21">
        <v>519</v>
      </c>
      <c r="AC5" s="21">
        <v>509</v>
      </c>
      <c r="AD5" s="21">
        <v>529</v>
      </c>
      <c r="AE5" s="21">
        <v>539</v>
      </c>
      <c r="AF5" s="21">
        <v>539</v>
      </c>
      <c r="AG5" s="21">
        <v>519</v>
      </c>
      <c r="AH5" s="21">
        <v>659</v>
      </c>
      <c r="AI5" s="21">
        <v>779</v>
      </c>
      <c r="AJ5" s="21">
        <v>779</v>
      </c>
      <c r="AK5" s="21">
        <v>799</v>
      </c>
      <c r="AL5" s="21">
        <v>799</v>
      </c>
      <c r="AM5" s="21">
        <v>799</v>
      </c>
      <c r="AN5" s="21">
        <v>799</v>
      </c>
      <c r="AO5" s="21">
        <v>836</v>
      </c>
      <c r="AP5" s="21">
        <v>836</v>
      </c>
      <c r="AQ5" s="21">
        <v>811</v>
      </c>
      <c r="AR5" s="21">
        <v>824</v>
      </c>
      <c r="AS5" s="21">
        <v>914</v>
      </c>
      <c r="AT5" s="21">
        <v>1024</v>
      </c>
      <c r="AU5" s="21">
        <v>1024</v>
      </c>
      <c r="AV5" s="21">
        <v>974</v>
      </c>
      <c r="AW5" s="21">
        <v>944</v>
      </c>
      <c r="AX5" s="21">
        <v>964</v>
      </c>
      <c r="AY5" s="21">
        <v>984</v>
      </c>
      <c r="AZ5" s="21">
        <v>984</v>
      </c>
      <c r="BA5" s="21">
        <v>964</v>
      </c>
      <c r="BB5" s="21">
        <v>914</v>
      </c>
      <c r="BC5" s="21">
        <v>911</v>
      </c>
      <c r="BD5" s="21">
        <v>911</v>
      </c>
      <c r="BE5" s="21">
        <v>901</v>
      </c>
      <c r="BF5" s="21">
        <v>896</v>
      </c>
      <c r="BG5" s="21">
        <v>974</v>
      </c>
      <c r="BH5" s="21">
        <v>974</v>
      </c>
      <c r="BI5" s="21">
        <v>967</v>
      </c>
      <c r="BJ5" s="21">
        <v>917</v>
      </c>
      <c r="BK5" s="21">
        <v>917</v>
      </c>
      <c r="BL5" s="21">
        <v>903.67</v>
      </c>
      <c r="BM5" s="21">
        <v>886</v>
      </c>
      <c r="BN5" s="21">
        <v>876</v>
      </c>
      <c r="BO5" s="21">
        <v>866</v>
      </c>
      <c r="BP5" s="21">
        <v>839</v>
      </c>
      <c r="BQ5" s="21">
        <v>802.53</v>
      </c>
      <c r="BR5" s="21">
        <v>802.53</v>
      </c>
      <c r="BS5" s="21">
        <v>802.53</v>
      </c>
      <c r="BT5" s="21">
        <v>752.53</v>
      </c>
      <c r="BU5" s="21">
        <v>752.5</v>
      </c>
      <c r="BV5" s="21">
        <v>750.20172</v>
      </c>
      <c r="BW5" s="21">
        <v>755.198448</v>
      </c>
      <c r="BX5" s="21">
        <v>764.7</v>
      </c>
      <c r="BY5" s="21">
        <v>735.941569</v>
      </c>
      <c r="BZ5" s="21">
        <v>701.654031</v>
      </c>
      <c r="CA5" s="21">
        <v>729.379919</v>
      </c>
      <c r="CB5" s="21">
        <v>739.272656</v>
      </c>
      <c r="CC5" s="21">
        <v>703.906131</v>
      </c>
      <c r="CD5" s="21">
        <v>687</v>
      </c>
      <c r="CE5" s="21">
        <v>727.283902</v>
      </c>
      <c r="CF5" s="21">
        <v>780.382239</v>
      </c>
      <c r="CG5" s="21">
        <v>896.965541</v>
      </c>
      <c r="CH5" s="21">
        <v>995.129117</v>
      </c>
      <c r="CI5" s="21">
        <v>994.733969</v>
      </c>
      <c r="CJ5" s="21">
        <v>857.375507</v>
      </c>
      <c r="CK5" s="30">
        <v>850.554139</v>
      </c>
      <c r="CL5" s="21">
        <v>1202.1483598648</v>
      </c>
      <c r="CM5" s="21">
        <v>1122.259334</v>
      </c>
      <c r="CN5" s="21">
        <v>1166.168215</v>
      </c>
      <c r="CO5" s="21">
        <v>1320.308521</v>
      </c>
      <c r="CP5" s="21">
        <v>1515.822445</v>
      </c>
      <c r="CQ5" s="21">
        <v>1998.347332</v>
      </c>
      <c r="CR5" s="21">
        <v>2366.678374</v>
      </c>
      <c r="CS5" s="21">
        <v>1377.70531</v>
      </c>
      <c r="CT5" s="21">
        <f>[2]原料煤!$AF$10</f>
        <v>1564.761568</v>
      </c>
      <c r="CU5" s="21">
        <f>[3]原料煤!$AF$10</f>
        <v>1707.354545</v>
      </c>
      <c r="CV5" s="21">
        <f>[4]原料煤!$AF$10</f>
        <v>1531.446555</v>
      </c>
      <c r="CW5" s="21">
        <f>[5]原料煤!$AF$10</f>
        <v>1631.932225</v>
      </c>
      <c r="CX5" s="21">
        <f>[7]原料煤!$AF$10</f>
        <v>1574.097596</v>
      </c>
      <c r="CY5" s="21">
        <f>[8]原料煤!$AF$10</f>
        <v>1554.386728</v>
      </c>
      <c r="DD5" s="36">
        <f t="shared" si="0"/>
        <v>874.346921528086</v>
      </c>
      <c r="DE5" s="36">
        <f t="shared" si="1"/>
        <v>2366.678374</v>
      </c>
      <c r="DF5" s="36">
        <f t="shared" si="2"/>
        <v>509</v>
      </c>
    </row>
    <row r="6" ht="16.5" spans="1:110">
      <c r="A6" s="19" t="s">
        <v>169</v>
      </c>
      <c r="B6" s="22">
        <v>573</v>
      </c>
      <c r="C6" s="21">
        <v>540</v>
      </c>
      <c r="D6" s="21">
        <v>530</v>
      </c>
      <c r="E6" s="21">
        <v>535</v>
      </c>
      <c r="F6" s="21">
        <v>535</v>
      </c>
      <c r="G6" s="21">
        <v>515</v>
      </c>
      <c r="H6" s="21">
        <v>485</v>
      </c>
      <c r="I6" s="21">
        <v>475</v>
      </c>
      <c r="J6" s="21">
        <v>480</v>
      </c>
      <c r="K6" s="21">
        <v>495</v>
      </c>
      <c r="L6" s="21">
        <v>505</v>
      </c>
      <c r="M6" s="21">
        <v>510</v>
      </c>
      <c r="N6" s="21">
        <v>510</v>
      </c>
      <c r="O6" s="21">
        <v>500</v>
      </c>
      <c r="P6" s="21">
        <v>470</v>
      </c>
      <c r="Q6" s="21">
        <v>435</v>
      </c>
      <c r="R6" s="21">
        <v>415</v>
      </c>
      <c r="S6" s="21">
        <v>415</v>
      </c>
      <c r="T6" s="21">
        <v>410</v>
      </c>
      <c r="U6" s="21">
        <v>410</v>
      </c>
      <c r="V6" s="21">
        <v>395</v>
      </c>
      <c r="W6" s="21">
        <v>387</v>
      </c>
      <c r="X6" s="21">
        <v>370</v>
      </c>
      <c r="Y6" s="21">
        <v>370</v>
      </c>
      <c r="Z6" s="21">
        <v>370</v>
      </c>
      <c r="AA6" s="21">
        <v>380</v>
      </c>
      <c r="AB6" s="21">
        <v>390</v>
      </c>
      <c r="AC6" s="21">
        <v>390</v>
      </c>
      <c r="AD6" s="21">
        <v>390</v>
      </c>
      <c r="AE6" s="21">
        <v>400</v>
      </c>
      <c r="AF6" s="21">
        <v>445</v>
      </c>
      <c r="AG6" s="21">
        <v>495</v>
      </c>
      <c r="AH6" s="21">
        <v>565</v>
      </c>
      <c r="AI6" s="21">
        <v>665</v>
      </c>
      <c r="AJ6" s="21">
        <v>672</v>
      </c>
      <c r="AK6" s="21">
        <v>639</v>
      </c>
      <c r="AL6" s="21">
        <v>614</v>
      </c>
      <c r="AM6" s="21">
        <v>605</v>
      </c>
      <c r="AN6" s="21">
        <v>649</v>
      </c>
      <c r="AO6" s="21">
        <v>649</v>
      </c>
      <c r="AP6" s="21">
        <v>565</v>
      </c>
      <c r="AQ6" s="21">
        <v>585</v>
      </c>
      <c r="AR6" s="21">
        <v>645</v>
      </c>
      <c r="AS6" s="21">
        <v>630</v>
      </c>
      <c r="AT6" s="21">
        <v>675</v>
      </c>
      <c r="AU6" s="21">
        <v>720</v>
      </c>
      <c r="AV6" s="21">
        <v>675</v>
      </c>
      <c r="AW6" s="21">
        <v>705</v>
      </c>
      <c r="AX6" s="21">
        <v>750</v>
      </c>
      <c r="AY6" s="21">
        <v>730</v>
      </c>
      <c r="AZ6" s="21">
        <v>639</v>
      </c>
      <c r="BA6" s="21">
        <v>576</v>
      </c>
      <c r="BB6" s="21">
        <v>649</v>
      </c>
      <c r="BC6" s="21">
        <v>688</v>
      </c>
      <c r="BD6" s="21">
        <v>634</v>
      </c>
      <c r="BE6" s="21">
        <v>619</v>
      </c>
      <c r="BF6" s="21">
        <v>637</v>
      </c>
      <c r="BG6" s="21">
        <v>659</v>
      </c>
      <c r="BH6" s="21">
        <v>630</v>
      </c>
      <c r="BI6" s="21">
        <v>605</v>
      </c>
      <c r="BJ6" s="21">
        <v>593</v>
      </c>
      <c r="BK6" s="21">
        <v>606</v>
      </c>
      <c r="BL6" s="21">
        <v>625</v>
      </c>
      <c r="BM6" s="21">
        <v>620</v>
      </c>
      <c r="BN6" s="21">
        <v>606</v>
      </c>
      <c r="BO6" s="21">
        <v>600</v>
      </c>
      <c r="BP6" s="21">
        <v>593</v>
      </c>
      <c r="BQ6" s="21">
        <v>584</v>
      </c>
      <c r="BR6" s="21">
        <v>586</v>
      </c>
      <c r="BS6" s="21">
        <v>573</v>
      </c>
      <c r="BT6" s="21">
        <v>552</v>
      </c>
      <c r="BU6" s="21">
        <v>554</v>
      </c>
      <c r="BV6" s="21">
        <f>Sheet4!L100</f>
        <v>560.333333333333</v>
      </c>
      <c r="BW6" s="21">
        <f>Sheet4!L96</f>
        <v>574.25</v>
      </c>
      <c r="BX6" s="21">
        <f>Sheet4!L92</f>
        <v>559.25</v>
      </c>
      <c r="BY6" s="21">
        <f>Sheet4!L88</f>
        <v>511.5</v>
      </c>
      <c r="BZ6" s="21">
        <f>Sheet4!L84</f>
        <v>505.5</v>
      </c>
      <c r="CA6" s="21">
        <f>Sheet4!L81</f>
        <v>554.666666666667</v>
      </c>
      <c r="CB6" s="21">
        <f>Sheet4!L76</f>
        <v>580.2</v>
      </c>
      <c r="CC6" s="21">
        <f>Sheet4!L72</f>
        <v>560.5</v>
      </c>
      <c r="CD6" s="21">
        <f>Sheet4!L68</f>
        <v>576.75</v>
      </c>
      <c r="CE6" s="21">
        <f>Sheet4!L64</f>
        <v>606.25</v>
      </c>
      <c r="CF6" s="21">
        <f>Sheet4!L60</f>
        <v>616.75</v>
      </c>
      <c r="CG6" s="21">
        <f>Sheet4!L56</f>
        <v>674</v>
      </c>
      <c r="CH6" s="21">
        <f>Sheet4!L52</f>
        <v>892.5</v>
      </c>
      <c r="CI6" s="21">
        <f>Sheet4!L49</f>
        <v>659.666666666667</v>
      </c>
      <c r="CJ6" s="21">
        <f>Sheet4!L45</f>
        <v>627.75</v>
      </c>
      <c r="CK6" s="21">
        <f>Sheet4!L40</f>
        <v>748.8</v>
      </c>
      <c r="CL6" s="21">
        <f>Sheet4!L36</f>
        <v>872.75</v>
      </c>
      <c r="CM6" s="21">
        <f>Sheet4!L32</f>
        <v>942.75</v>
      </c>
      <c r="CN6" s="21">
        <f>Sheet4!L29</f>
        <v>959</v>
      </c>
      <c r="CO6" s="21">
        <f>Sheet4!L28</f>
        <v>885</v>
      </c>
      <c r="CP6" s="21">
        <f>Sheet4!L27</f>
        <v>1079</v>
      </c>
      <c r="CQ6" s="21">
        <f>Sheet4!L26</f>
        <v>1202</v>
      </c>
      <c r="CR6" s="21">
        <f>Sheet4!L25</f>
        <v>986</v>
      </c>
      <c r="CS6" s="21">
        <f>Sheet4!L24</f>
        <v>834</v>
      </c>
      <c r="CT6" s="21">
        <f>Sheet4!L23</f>
        <v>907.25</v>
      </c>
      <c r="CU6" s="21">
        <f>Sheet4!L20</f>
        <v>940</v>
      </c>
      <c r="CV6" s="21">
        <f>Sheet4!L16</f>
        <v>900</v>
      </c>
      <c r="CW6" s="21">
        <v>900</v>
      </c>
      <c r="CX6" s="21">
        <v>900</v>
      </c>
      <c r="CY6" s="21">
        <v>900</v>
      </c>
      <c r="DD6" s="36">
        <f t="shared" si="0"/>
        <v>614.778594771242</v>
      </c>
      <c r="DE6" s="36">
        <f t="shared" si="1"/>
        <v>1202</v>
      </c>
      <c r="DF6" s="36">
        <f t="shared" si="2"/>
        <v>370</v>
      </c>
    </row>
    <row r="7" ht="16.5" spans="1:110">
      <c r="A7" s="19" t="s">
        <v>170</v>
      </c>
      <c r="B7" s="21">
        <v>805</v>
      </c>
      <c r="C7" s="19">
        <v>788</v>
      </c>
      <c r="D7" s="21">
        <v>758</v>
      </c>
      <c r="E7" s="19">
        <v>696</v>
      </c>
      <c r="F7" s="21">
        <v>628</v>
      </c>
      <c r="G7" s="19">
        <v>610</v>
      </c>
      <c r="H7" s="21">
        <v>605</v>
      </c>
      <c r="I7" s="19">
        <v>596</v>
      </c>
      <c r="J7" s="21">
        <v>598</v>
      </c>
      <c r="K7" s="19">
        <v>616</v>
      </c>
      <c r="L7" s="21">
        <v>630</v>
      </c>
      <c r="M7" s="19">
        <v>630</v>
      </c>
      <c r="N7" s="21">
        <v>624</v>
      </c>
      <c r="O7" s="19">
        <v>615</v>
      </c>
      <c r="P7" s="21">
        <v>592</v>
      </c>
      <c r="Q7" s="19">
        <v>560</v>
      </c>
      <c r="R7" s="21">
        <v>558</v>
      </c>
      <c r="S7" s="19">
        <v>565</v>
      </c>
      <c r="T7" s="21">
        <v>570</v>
      </c>
      <c r="U7" s="19">
        <v>558</v>
      </c>
      <c r="V7" s="21">
        <v>555</v>
      </c>
      <c r="W7" s="19">
        <v>535</v>
      </c>
      <c r="X7" s="21">
        <v>529</v>
      </c>
      <c r="Y7" s="19">
        <v>521</v>
      </c>
      <c r="Z7" s="21">
        <v>514</v>
      </c>
      <c r="AA7" s="19">
        <v>511</v>
      </c>
      <c r="AB7" s="21">
        <v>500</v>
      </c>
      <c r="AC7" s="19">
        <v>489</v>
      </c>
      <c r="AD7" s="21">
        <v>485</v>
      </c>
      <c r="AE7" s="19">
        <v>497</v>
      </c>
      <c r="AF7" s="21">
        <v>499</v>
      </c>
      <c r="AG7" s="19">
        <v>531</v>
      </c>
      <c r="AH7" s="21">
        <v>675</v>
      </c>
      <c r="AI7" s="19">
        <v>756</v>
      </c>
      <c r="AJ7" s="21">
        <v>890</v>
      </c>
      <c r="AK7" s="19">
        <v>926</v>
      </c>
      <c r="AL7" s="21">
        <v>920</v>
      </c>
      <c r="AM7" s="19">
        <v>905</v>
      </c>
      <c r="AN7" s="21">
        <v>887</v>
      </c>
      <c r="AO7" s="19">
        <v>927</v>
      </c>
      <c r="AP7" s="21">
        <v>962</v>
      </c>
      <c r="AQ7" s="19">
        <v>892</v>
      </c>
      <c r="AR7" s="21">
        <v>920</v>
      </c>
      <c r="AS7" s="19">
        <v>957</v>
      </c>
      <c r="AT7" s="21">
        <v>981</v>
      </c>
      <c r="AU7" s="19">
        <v>1026</v>
      </c>
      <c r="AV7" s="21">
        <v>1006</v>
      </c>
      <c r="AW7" s="19">
        <v>988</v>
      </c>
      <c r="AX7" s="21">
        <v>981</v>
      </c>
      <c r="AY7" s="19">
        <v>970</v>
      </c>
      <c r="AZ7" s="21">
        <v>895</v>
      </c>
      <c r="BA7" s="19">
        <v>826</v>
      </c>
      <c r="BB7" s="21">
        <v>810</v>
      </c>
      <c r="BC7" s="19">
        <v>837</v>
      </c>
      <c r="BD7" s="21">
        <v>849</v>
      </c>
      <c r="BE7" s="19">
        <v>836</v>
      </c>
      <c r="BF7" s="21">
        <v>853</v>
      </c>
      <c r="BG7" s="19">
        <v>878</v>
      </c>
      <c r="BH7" s="21">
        <v>919</v>
      </c>
      <c r="BI7" s="19">
        <v>905</v>
      </c>
      <c r="BJ7" s="21">
        <v>918</v>
      </c>
      <c r="BK7" s="19">
        <v>976</v>
      </c>
      <c r="BL7" s="21">
        <v>955</v>
      </c>
      <c r="BM7" s="19">
        <v>911</v>
      </c>
      <c r="BN7" s="21">
        <v>966</v>
      </c>
      <c r="BO7" s="19">
        <v>975</v>
      </c>
      <c r="BP7" s="21">
        <v>950</v>
      </c>
      <c r="BQ7" s="19">
        <v>936</v>
      </c>
      <c r="BR7" s="21">
        <v>935</v>
      </c>
      <c r="BS7" s="19">
        <v>934</v>
      </c>
      <c r="BT7" s="21">
        <v>892</v>
      </c>
      <c r="BU7" s="19">
        <v>872</v>
      </c>
      <c r="BV7" s="21">
        <v>871.040405224866</v>
      </c>
      <c r="BW7" s="21">
        <v>967.096818782618</v>
      </c>
      <c r="BX7" s="21">
        <v>780.453347981001</v>
      </c>
      <c r="BY7" s="21">
        <v>626.721012308986</v>
      </c>
      <c r="BZ7" s="21">
        <v>626.303999500521</v>
      </c>
      <c r="CA7" s="21">
        <v>650.942661237142</v>
      </c>
      <c r="CB7" s="21">
        <v>685.821334107755</v>
      </c>
      <c r="CC7" s="21">
        <v>685.019087072349</v>
      </c>
      <c r="CD7" s="21">
        <v>707.558442335669</v>
      </c>
      <c r="CE7" s="33">
        <v>748.273570247803</v>
      </c>
      <c r="CF7" s="33">
        <v>799.776698288807</v>
      </c>
      <c r="CG7" s="33">
        <v>965.033619908441</v>
      </c>
      <c r="CH7" s="34">
        <v>1063.94459947629</v>
      </c>
      <c r="CI7" s="34">
        <v>943.272808190338</v>
      </c>
      <c r="CJ7" s="34">
        <v>798.533383212649</v>
      </c>
      <c r="CK7" s="34">
        <v>809.949318514667</v>
      </c>
      <c r="CL7" s="34">
        <v>1245.33913617715</v>
      </c>
      <c r="CM7" s="34">
        <v>1187.69726325096</v>
      </c>
      <c r="CN7" s="34">
        <v>1463.08650807288</v>
      </c>
      <c r="CO7" s="34">
        <v>1694.63563229685</v>
      </c>
      <c r="CP7" s="34">
        <v>2243.61775096215</v>
      </c>
      <c r="CQ7" s="34">
        <v>3433.57101270544</v>
      </c>
      <c r="CR7" s="34">
        <v>1847.89620689729</v>
      </c>
      <c r="CS7" s="34">
        <v>1783.48787251747</v>
      </c>
      <c r="CT7" s="34">
        <v>1849.49896330572</v>
      </c>
      <c r="CU7" s="34">
        <v>1808.34461083508</v>
      </c>
      <c r="CV7" s="34">
        <v>1765.7804099553</v>
      </c>
      <c r="CW7" s="34">
        <v>1827.10603207482</v>
      </c>
      <c r="CX7" s="34">
        <v>1714.29703841919</v>
      </c>
      <c r="CY7" s="34">
        <v>1925.80754753257</v>
      </c>
      <c r="DD7" s="36">
        <f t="shared" ref="DD7:DD16" si="3">AVERAGE(B7:CZ7)</f>
        <v>918.479481288165</v>
      </c>
      <c r="DE7" s="36">
        <f t="shared" ref="DE7:DE16" si="4">MAX(B7:CZ7)</f>
        <v>3433.57101270544</v>
      </c>
      <c r="DF7" s="36">
        <f t="shared" ref="DF7:DF16" si="5">MIN(B7:CZ7)</f>
        <v>485</v>
      </c>
    </row>
    <row r="8" ht="16.5" spans="1:110">
      <c r="A8" s="19" t="s">
        <v>171</v>
      </c>
      <c r="B8" s="21">
        <v>3254</v>
      </c>
      <c r="C8" s="19">
        <v>3232</v>
      </c>
      <c r="D8" s="21">
        <v>3262</v>
      </c>
      <c r="E8" s="19">
        <v>3265</v>
      </c>
      <c r="F8" s="21">
        <v>3140</v>
      </c>
      <c r="G8" s="19">
        <v>3105</v>
      </c>
      <c r="H8" s="21">
        <v>3124</v>
      </c>
      <c r="I8" s="19">
        <v>3145</v>
      </c>
      <c r="J8" s="21">
        <v>3169</v>
      </c>
      <c r="K8" s="19">
        <v>3180</v>
      </c>
      <c r="L8" s="21">
        <v>3095</v>
      </c>
      <c r="M8" s="19">
        <v>3081</v>
      </c>
      <c r="N8" s="21">
        <v>2983</v>
      </c>
      <c r="O8" s="19">
        <v>2834</v>
      </c>
      <c r="P8" s="21">
        <v>2794</v>
      </c>
      <c r="Q8" s="19">
        <v>3070</v>
      </c>
      <c r="R8" s="21">
        <v>3031</v>
      </c>
      <c r="S8" s="19">
        <v>2645</v>
      </c>
      <c r="T8" s="21">
        <v>2712</v>
      </c>
      <c r="U8" s="19">
        <v>2884</v>
      </c>
      <c r="V8" s="21">
        <v>2774</v>
      </c>
      <c r="W8" s="19">
        <v>2698</v>
      </c>
      <c r="X8" s="21">
        <v>2609</v>
      </c>
      <c r="Y8" s="19">
        <v>2581</v>
      </c>
      <c r="Z8" s="21">
        <v>2641</v>
      </c>
      <c r="AA8" s="19">
        <v>2601</v>
      </c>
      <c r="AB8" s="21">
        <v>2564</v>
      </c>
      <c r="AC8" s="19">
        <v>2676</v>
      </c>
      <c r="AD8" s="21">
        <v>2714</v>
      </c>
      <c r="AE8" s="19">
        <v>2666</v>
      </c>
      <c r="AF8" s="21">
        <v>2656</v>
      </c>
      <c r="AG8" s="19">
        <v>2868</v>
      </c>
      <c r="AH8" s="21">
        <v>2966</v>
      </c>
      <c r="AI8" s="19">
        <v>3089</v>
      </c>
      <c r="AJ8" s="21">
        <v>3184</v>
      </c>
      <c r="AK8" s="19">
        <v>3241</v>
      </c>
      <c r="AL8" s="21">
        <v>3250</v>
      </c>
      <c r="AM8" s="19">
        <v>3198</v>
      </c>
      <c r="AN8" s="21">
        <v>3035</v>
      </c>
      <c r="AO8" s="19">
        <v>2984</v>
      </c>
      <c r="AP8" s="21">
        <v>2998</v>
      </c>
      <c r="AQ8" s="19">
        <v>3001</v>
      </c>
      <c r="AR8" s="21">
        <v>3162</v>
      </c>
      <c r="AS8" s="19">
        <v>3260</v>
      </c>
      <c r="AT8" s="21">
        <v>3330</v>
      </c>
      <c r="AU8" s="19">
        <v>3714</v>
      </c>
      <c r="AV8" s="21">
        <v>3682</v>
      </c>
      <c r="AW8" s="19">
        <v>3473</v>
      </c>
      <c r="AX8" s="21">
        <v>3471</v>
      </c>
      <c r="AY8" s="19">
        <v>3510</v>
      </c>
      <c r="AZ8" s="21">
        <v>3335</v>
      </c>
      <c r="BA8" s="19">
        <v>3329</v>
      </c>
      <c r="BB8" s="21">
        <v>3395</v>
      </c>
      <c r="BC8" s="19">
        <v>3371</v>
      </c>
      <c r="BD8" s="21">
        <v>3302</v>
      </c>
      <c r="BE8" s="19">
        <v>3374</v>
      </c>
      <c r="BF8" s="21">
        <v>3640</v>
      </c>
      <c r="BG8" s="19">
        <v>3633</v>
      </c>
      <c r="BH8" s="21">
        <v>3262</v>
      </c>
      <c r="BI8" s="19">
        <v>3113</v>
      </c>
      <c r="BJ8" s="21">
        <v>3091</v>
      </c>
      <c r="BK8" s="19">
        <v>3237</v>
      </c>
      <c r="BL8" s="21">
        <v>3352</v>
      </c>
      <c r="BM8" s="19">
        <v>3501</v>
      </c>
      <c r="BN8" s="21">
        <v>3280</v>
      </c>
      <c r="BO8" s="19">
        <v>3154</v>
      </c>
      <c r="BP8" s="21">
        <v>3495</v>
      </c>
      <c r="BQ8" s="19">
        <v>3320</v>
      </c>
      <c r="BR8" s="21">
        <v>3365</v>
      </c>
      <c r="BS8" s="19">
        <v>3343</v>
      </c>
      <c r="BT8" s="21">
        <v>3034</v>
      </c>
      <c r="BU8" s="19">
        <v>3113</v>
      </c>
      <c r="BV8" s="21">
        <v>3236.36157196672</v>
      </c>
      <c r="BW8" s="21">
        <v>3336.30743301519</v>
      </c>
      <c r="BX8" s="21">
        <v>3140.820489239</v>
      </c>
      <c r="BY8" s="21">
        <v>2711.27870626398</v>
      </c>
      <c r="BZ8" s="21">
        <v>2896.92420505046</v>
      </c>
      <c r="CA8" s="21">
        <v>3014.64080297469</v>
      </c>
      <c r="CB8" s="21">
        <v>2885.65621176042</v>
      </c>
      <c r="CC8" s="21">
        <v>3199.25279189799</v>
      </c>
      <c r="CD8" s="21">
        <v>3227.97201550557</v>
      </c>
      <c r="CE8" s="21">
        <v>3197.46375550651</v>
      </c>
      <c r="CF8" s="21">
        <v>3715.52121243505</v>
      </c>
      <c r="CG8" s="21">
        <v>4304.89071776562</v>
      </c>
      <c r="CH8" s="22">
        <v>3510.9600195448</v>
      </c>
      <c r="CI8" s="22">
        <v>3670.01468614784</v>
      </c>
      <c r="CJ8" s="22">
        <v>4667.16281084154</v>
      </c>
      <c r="CK8" s="22">
        <v>4393.57173250424</v>
      </c>
      <c r="CL8" s="22">
        <v>4848.58804655159</v>
      </c>
      <c r="CM8" s="22">
        <v>4732.16685479711</v>
      </c>
      <c r="CN8" s="22">
        <v>5219.91430786827</v>
      </c>
      <c r="CO8" s="22">
        <v>5535.13301976329</v>
      </c>
      <c r="CP8" s="22">
        <v>5926.03748845454</v>
      </c>
      <c r="CQ8" s="22">
        <v>7973.25445304492</v>
      </c>
      <c r="CR8" s="22">
        <v>5234.00677528604</v>
      </c>
      <c r="CS8" s="22">
        <v>5144.0949284361</v>
      </c>
      <c r="CT8" s="22">
        <v>4692.08550385657</v>
      </c>
      <c r="CU8" s="22">
        <v>4486.32785990827</v>
      </c>
      <c r="CV8" s="22">
        <v>4767.48191061224</v>
      </c>
      <c r="CW8" s="22">
        <v>4600.90987304343</v>
      </c>
      <c r="CX8" s="22">
        <v>4714.38002421122</v>
      </c>
      <c r="CY8" s="22">
        <v>4347.64204333821</v>
      </c>
      <c r="DD8" s="36">
        <f t="shared" si="3"/>
        <v>3450.69433579992</v>
      </c>
      <c r="DE8" s="36">
        <f t="shared" si="4"/>
        <v>7973.25445304492</v>
      </c>
      <c r="DF8" s="36">
        <f t="shared" si="5"/>
        <v>2564</v>
      </c>
    </row>
    <row r="9" ht="16.5" spans="1:110">
      <c r="A9" s="17" t="s">
        <v>172</v>
      </c>
      <c r="B9" s="21">
        <v>5897.23902804922</v>
      </c>
      <c r="C9" s="21">
        <v>5804.83936958037</v>
      </c>
      <c r="D9" s="21">
        <v>5566.24136139147</v>
      </c>
      <c r="E9" s="21">
        <v>5531.842688117</v>
      </c>
      <c r="F9" s="21">
        <v>5659.08204381295</v>
      </c>
      <c r="G9" s="21">
        <v>5632.33399872694</v>
      </c>
      <c r="H9" s="21">
        <v>5624.16715821525</v>
      </c>
      <c r="I9" s="21">
        <v>5602.82400016152</v>
      </c>
      <c r="J9" s="21">
        <v>5620.88153217857</v>
      </c>
      <c r="K9" s="21">
        <v>5605.16547062043</v>
      </c>
      <c r="L9" s="21">
        <v>5584.95360555112</v>
      </c>
      <c r="M9" s="21">
        <v>5549.81778799447</v>
      </c>
      <c r="N9" s="21">
        <v>5101.00352773863</v>
      </c>
      <c r="O9" s="21">
        <v>4634.42339624777</v>
      </c>
      <c r="P9" s="21">
        <v>4781.90589377858</v>
      </c>
      <c r="Q9" s="21">
        <v>5266.31388255527</v>
      </c>
      <c r="R9" s="21">
        <v>5405.67955249827</v>
      </c>
      <c r="S9" s="21">
        <v>5273.17344569919</v>
      </c>
      <c r="T9" s="21">
        <v>5079.91384716583</v>
      </c>
      <c r="U9" s="21">
        <v>4956.36526839614</v>
      </c>
      <c r="V9" s="21">
        <v>4883.74474057513</v>
      </c>
      <c r="W9" s="21">
        <v>4742.92625349378</v>
      </c>
      <c r="X9" s="21">
        <v>4442.80425884572</v>
      </c>
      <c r="Y9" s="21">
        <v>4242.94171473753</v>
      </c>
      <c r="Z9" s="21">
        <v>4349.35308696419</v>
      </c>
      <c r="AA9" s="21">
        <v>4438.84268688065</v>
      </c>
      <c r="AB9" s="21">
        <v>4805.50339513053</v>
      </c>
      <c r="AC9" s="21">
        <v>4935.41108359396</v>
      </c>
      <c r="AD9" s="21">
        <v>4877.95655335579</v>
      </c>
      <c r="AE9" s="21">
        <v>4831.34105749448</v>
      </c>
      <c r="AF9" s="21">
        <v>5038.31453698868</v>
      </c>
      <c r="AG9" s="21">
        <v>5268.53045007283</v>
      </c>
      <c r="AH9" s="21">
        <v>5693.40471602664</v>
      </c>
      <c r="AI9" s="21">
        <v>6317.47417202146</v>
      </c>
      <c r="AJ9" s="21">
        <v>7003.65757155025</v>
      </c>
      <c r="AK9" s="21">
        <v>6374.03795387699</v>
      </c>
      <c r="AL9" s="21">
        <v>5879.715</v>
      </c>
      <c r="AM9" s="21">
        <v>5873.575</v>
      </c>
      <c r="AN9" s="21">
        <v>5966.585</v>
      </c>
      <c r="AO9" s="21">
        <v>5578.205</v>
      </c>
      <c r="AP9" s="21">
        <v>5310.945</v>
      </c>
      <c r="AQ9" s="21">
        <v>5344.54</v>
      </c>
      <c r="AR9" s="21">
        <v>5591.215</v>
      </c>
      <c r="AS9" s="21">
        <v>6104.21</v>
      </c>
      <c r="AT9" s="21">
        <v>6872.09</v>
      </c>
      <c r="AU9" s="21">
        <v>6317.905</v>
      </c>
      <c r="AV9" s="21">
        <v>5820.91</v>
      </c>
      <c r="AW9" s="21">
        <v>5788.945</v>
      </c>
      <c r="AX9" s="21">
        <v>6015.34862405904</v>
      </c>
      <c r="AY9" s="21">
        <v>6183.00333939774</v>
      </c>
      <c r="AZ9" s="21">
        <v>6118.98475252753</v>
      </c>
      <c r="BA9" s="21">
        <v>6142.95889050923</v>
      </c>
      <c r="BB9" s="21">
        <v>6518.13262700773</v>
      </c>
      <c r="BC9" s="21">
        <v>6592.81004890328</v>
      </c>
      <c r="BD9" s="21">
        <v>6573.65410747435</v>
      </c>
      <c r="BE9" s="21">
        <v>6742.15542036788</v>
      </c>
      <c r="BF9" s="21">
        <v>6684.51223976496</v>
      </c>
      <c r="BG9" s="21">
        <v>6483</v>
      </c>
      <c r="BH9" s="30">
        <v>6158.68562689593</v>
      </c>
      <c r="BI9" s="30">
        <v>6168.81010191576</v>
      </c>
      <c r="BJ9" s="31">
        <v>6119.67776705312</v>
      </c>
      <c r="BK9" s="31">
        <v>6087.77520690187</v>
      </c>
      <c r="BL9" s="31">
        <v>6074.01466283895</v>
      </c>
      <c r="BM9" s="31">
        <v>6202.03614677978</v>
      </c>
      <c r="BN9" s="31">
        <v>6633.41237123678</v>
      </c>
      <c r="BO9" s="31">
        <v>6509.430704965</v>
      </c>
      <c r="BP9" s="31">
        <v>6454.60217328951</v>
      </c>
      <c r="BQ9" s="31">
        <v>6438.09799556756</v>
      </c>
      <c r="BR9" s="31">
        <v>6356.6022949469</v>
      </c>
      <c r="BS9" s="31">
        <v>6280.33093874578</v>
      </c>
      <c r="BT9" s="31">
        <v>6251.55031590923</v>
      </c>
      <c r="BU9" s="31">
        <v>6472.49970381377</v>
      </c>
      <c r="BV9" s="31">
        <v>6405.92732112158</v>
      </c>
      <c r="BW9" s="31">
        <v>6214.52566464598</v>
      </c>
      <c r="BX9" s="31">
        <v>5903.02365859244</v>
      </c>
      <c r="BY9" s="31">
        <v>5447.34137521684</v>
      </c>
      <c r="BZ9" s="31">
        <v>5270.53558571532</v>
      </c>
      <c r="CA9" s="31">
        <v>5560.52974806103</v>
      </c>
      <c r="CB9" s="31">
        <v>5977.19339944563</v>
      </c>
      <c r="CC9" s="31">
        <v>6238.34166705756</v>
      </c>
      <c r="CD9" s="31">
        <v>6302.08668804042</v>
      </c>
      <c r="CE9" s="31">
        <v>6428.03168127182</v>
      </c>
      <c r="CF9" s="31">
        <v>6806.64858392781</v>
      </c>
      <c r="CG9" s="31">
        <v>7519.87707208253</v>
      </c>
      <c r="CH9" s="22">
        <v>7280.13361673133</v>
      </c>
      <c r="CI9" s="22">
        <v>6858.5038562674</v>
      </c>
      <c r="CJ9" s="22">
        <v>8185.67964338075</v>
      </c>
      <c r="CK9" s="22">
        <v>7718.78315486059</v>
      </c>
      <c r="CL9" s="22">
        <v>7670.65232920394</v>
      </c>
      <c r="CM9" s="22">
        <v>8369.51433504641</v>
      </c>
      <c r="CN9" s="22">
        <v>8762.26986948881</v>
      </c>
      <c r="CO9" s="22">
        <v>8832.02189636907</v>
      </c>
      <c r="CP9" s="22">
        <v>9322.81628152093</v>
      </c>
      <c r="CQ9" s="22">
        <v>11157.2126352467</v>
      </c>
      <c r="CR9" s="22">
        <v>9350.01686151354</v>
      </c>
      <c r="CS9" s="22">
        <v>8669.33981845998</v>
      </c>
      <c r="CT9" s="22">
        <v>8125.15226624684</v>
      </c>
      <c r="CU9" s="22">
        <v>8198.04995767285</v>
      </c>
      <c r="CV9" s="22">
        <v>8601.50455892965</v>
      </c>
      <c r="CW9" s="22">
        <v>8812.91168562511</v>
      </c>
      <c r="CX9" s="22">
        <v>8509.44065518779</v>
      </c>
      <c r="CY9" s="22">
        <v>8043.36040410722</v>
      </c>
      <c r="CZ9" s="35">
        <v>7332.38094682475</v>
      </c>
      <c r="DD9" s="36">
        <f t="shared" si="3"/>
        <v>6281.64217833807</v>
      </c>
      <c r="DE9" s="36">
        <f t="shared" si="4"/>
        <v>11157.2126352467</v>
      </c>
      <c r="DF9" s="36">
        <f t="shared" si="5"/>
        <v>4242.94171473753</v>
      </c>
    </row>
    <row r="10" ht="16.5" spans="1:110">
      <c r="A10" s="23" t="s">
        <v>173</v>
      </c>
      <c r="B10" s="21">
        <v>6199.11120640366</v>
      </c>
      <c r="C10" s="21">
        <v>6127.65688400935</v>
      </c>
      <c r="D10" s="21">
        <v>5856.03806194293</v>
      </c>
      <c r="E10" s="21">
        <v>5839.78752505271</v>
      </c>
      <c r="F10" s="21">
        <v>6005.76558745022</v>
      </c>
      <c r="G10" s="21">
        <v>6004.94808489116</v>
      </c>
      <c r="H10" s="21">
        <v>5983.06201132881</v>
      </c>
      <c r="I10" s="21">
        <v>5955.42113890874</v>
      </c>
      <c r="J10" s="21">
        <v>5972.57156286722</v>
      </c>
      <c r="K10" s="21">
        <v>5959.63673026214</v>
      </c>
      <c r="L10" s="21">
        <v>5947.66923444722</v>
      </c>
      <c r="M10" s="21">
        <v>5941.55830307704</v>
      </c>
      <c r="N10" s="21">
        <v>5643.2171827991</v>
      </c>
      <c r="O10" s="21">
        <v>4999.66071853438</v>
      </c>
      <c r="P10" s="21">
        <v>5056.06464207438</v>
      </c>
      <c r="Q10" s="21">
        <v>5461.41574262065</v>
      </c>
      <c r="R10" s="21">
        <v>5673.02065186961</v>
      </c>
      <c r="S10" s="21">
        <v>5666.73488928785</v>
      </c>
      <c r="T10" s="21">
        <v>5419.54459119497</v>
      </c>
      <c r="U10" s="21">
        <v>5265.57836529023</v>
      </c>
      <c r="V10" s="21">
        <v>5186.47447697405</v>
      </c>
      <c r="W10" s="21">
        <v>5053.12705513275</v>
      </c>
      <c r="X10" s="21">
        <v>4828.7615149642</v>
      </c>
      <c r="Y10" s="21">
        <v>4576.77074833897</v>
      </c>
      <c r="Z10" s="21">
        <v>4608.14708368555</v>
      </c>
      <c r="AA10" s="21">
        <v>4635.22196414746</v>
      </c>
      <c r="AB10" s="21">
        <v>5018.4330570148</v>
      </c>
      <c r="AC10" s="21">
        <v>5213.71671421778</v>
      </c>
      <c r="AD10" s="21">
        <v>5154.73670350341</v>
      </c>
      <c r="AE10" s="21">
        <v>5113.47951219512</v>
      </c>
      <c r="AF10" s="21">
        <v>5292.04406383807</v>
      </c>
      <c r="AG10" s="21">
        <v>5526.32278374276</v>
      </c>
      <c r="AH10" s="21">
        <v>5902.38211549339</v>
      </c>
      <c r="AI10" s="21">
        <v>6671.01455406472</v>
      </c>
      <c r="AJ10" s="21">
        <v>7409.63355938993</v>
      </c>
      <c r="AK10" s="21">
        <v>7061.78520735357</v>
      </c>
      <c r="AL10" s="21">
        <v>6138.66563754245</v>
      </c>
      <c r="AM10" s="21">
        <v>6259.28972143927</v>
      </c>
      <c r="AN10" s="21">
        <v>6218.07673067303</v>
      </c>
      <c r="AO10" s="21">
        <v>5816.69038557008</v>
      </c>
      <c r="AP10" s="21">
        <v>5545.19035997565</v>
      </c>
      <c r="AQ10" s="21">
        <v>5728.55955488391</v>
      </c>
      <c r="AR10" s="21">
        <v>6113.15447687766</v>
      </c>
      <c r="AS10" s="21">
        <v>6883.59674009046</v>
      </c>
      <c r="AT10" s="21">
        <v>7364.78074938909</v>
      </c>
      <c r="AU10" s="21">
        <v>6734.15657915422</v>
      </c>
      <c r="AV10" s="21">
        <v>6194.20596654295</v>
      </c>
      <c r="AW10" s="21">
        <v>6137.67656918275</v>
      </c>
      <c r="AX10" s="21">
        <v>6410.45695523037</v>
      </c>
      <c r="AY10" s="21">
        <v>6481.70911775563</v>
      </c>
      <c r="AZ10" s="21">
        <v>6400.7258404142</v>
      </c>
      <c r="BA10" s="21">
        <v>6479.82783918615</v>
      </c>
      <c r="BB10" s="21">
        <v>6812.16146975981</v>
      </c>
      <c r="BC10" s="21">
        <v>6822.32907742998</v>
      </c>
      <c r="BD10" s="21">
        <v>6826.70284638387</v>
      </c>
      <c r="BE10" s="21">
        <v>7021.28594676657</v>
      </c>
      <c r="BF10" s="21">
        <v>6865.96367679763</v>
      </c>
      <c r="BG10" s="21">
        <v>6693</v>
      </c>
      <c r="BH10" s="21">
        <v>6450</v>
      </c>
      <c r="BI10" s="21">
        <v>6300</v>
      </c>
      <c r="BJ10" s="21">
        <v>6375.20558144822</v>
      </c>
      <c r="BK10" s="21">
        <v>6324.40192498742</v>
      </c>
      <c r="BL10" s="21">
        <v>6305.87272463207</v>
      </c>
      <c r="BM10" s="21">
        <v>6551.77511994284</v>
      </c>
      <c r="BN10" s="21">
        <v>6857.30925984054</v>
      </c>
      <c r="BO10" s="21">
        <v>6649</v>
      </c>
      <c r="BP10" s="21">
        <v>6666.55246082793</v>
      </c>
      <c r="BQ10" s="21">
        <v>6674.15964190206</v>
      </c>
      <c r="BR10" s="21">
        <v>6582.90511342326</v>
      </c>
      <c r="BS10" s="21">
        <v>6525.91702591942</v>
      </c>
      <c r="BT10" s="21">
        <v>6558.49985082318</v>
      </c>
      <c r="BU10" s="21">
        <v>6823.55888974258</v>
      </c>
      <c r="BV10" s="31">
        <v>6623.18416192419</v>
      </c>
      <c r="BW10" s="31">
        <v>6549.83550724638</v>
      </c>
      <c r="BX10" s="31">
        <v>6127.25080594516</v>
      </c>
      <c r="BY10" s="31">
        <v>5358.4840554151</v>
      </c>
      <c r="BZ10" s="31">
        <v>5531.90241620342</v>
      </c>
      <c r="CA10" s="31">
        <v>6072.21025470285</v>
      </c>
      <c r="CB10" s="31">
        <v>6315.29024695217</v>
      </c>
      <c r="CC10" s="31">
        <v>6445.90396565602</v>
      </c>
      <c r="CD10" s="31">
        <v>6504.59593195651</v>
      </c>
      <c r="CE10" s="31">
        <v>6721.9887152155</v>
      </c>
      <c r="CF10" s="31">
        <v>7281.94526585818</v>
      </c>
      <c r="CG10" s="31">
        <v>7911.93014409738</v>
      </c>
      <c r="CH10" s="22">
        <v>7329.50254709872</v>
      </c>
      <c r="CI10" s="22">
        <v>7109.61681455689</v>
      </c>
      <c r="CJ10" s="22">
        <v>8402.11495080123</v>
      </c>
      <c r="CK10" s="22">
        <v>8753.42051862523</v>
      </c>
      <c r="CL10" s="22">
        <v>9117.30551927564</v>
      </c>
      <c r="CM10" s="22">
        <v>9045.76836385591</v>
      </c>
      <c r="CN10" s="22">
        <v>8971.81247602705</v>
      </c>
      <c r="CO10" s="22">
        <v>9137.84159305286</v>
      </c>
      <c r="CP10" s="22">
        <v>9665.49305258769</v>
      </c>
      <c r="CQ10" s="22">
        <v>11848.2833934075</v>
      </c>
      <c r="CR10" s="22">
        <v>9523.25961279189</v>
      </c>
      <c r="CS10" s="22">
        <v>8756.26400789733</v>
      </c>
      <c r="CT10" s="22">
        <v>8351.27156767927</v>
      </c>
      <c r="CU10" s="22">
        <v>8538.86086653733</v>
      </c>
      <c r="CV10" s="22">
        <v>8848.72917766716</v>
      </c>
      <c r="CW10" s="22">
        <v>9070.53028088128</v>
      </c>
      <c r="CX10" s="22">
        <v>8702.91975685659</v>
      </c>
      <c r="CY10" s="22">
        <v>8303.50096142971</v>
      </c>
      <c r="CZ10" s="35">
        <v>7706.13625103221</v>
      </c>
      <c r="DD10" s="36">
        <f t="shared" si="3"/>
        <v>6606.32069171008</v>
      </c>
      <c r="DE10" s="36">
        <f t="shared" si="4"/>
        <v>11848.2833934075</v>
      </c>
      <c r="DF10" s="36">
        <f t="shared" si="5"/>
        <v>4576.77074833897</v>
      </c>
    </row>
    <row r="11" ht="16.5" spans="1:110">
      <c r="A11" s="24" t="s">
        <v>147</v>
      </c>
      <c r="B11" s="25">
        <f>B2/B4</f>
        <v>5.53710634311715</v>
      </c>
      <c r="C11" s="25">
        <f t="shared" ref="C11:BN11" si="6">C2/C4</f>
        <v>5.8413200666209</v>
      </c>
      <c r="D11" s="25">
        <f t="shared" si="6"/>
        <v>6.21683904253003</v>
      </c>
      <c r="E11" s="25">
        <f t="shared" si="6"/>
        <v>6.48326486098868</v>
      </c>
      <c r="F11" s="25">
        <f t="shared" si="6"/>
        <v>6.37147523436924</v>
      </c>
      <c r="G11" s="25">
        <f t="shared" si="6"/>
        <v>6.28943267977689</v>
      </c>
      <c r="H11" s="25">
        <f t="shared" si="6"/>
        <v>6.62395270209189</v>
      </c>
      <c r="I11" s="25">
        <f t="shared" si="6"/>
        <v>6.86927620392376</v>
      </c>
      <c r="J11" s="25">
        <f t="shared" si="6"/>
        <v>7.21205647086524</v>
      </c>
      <c r="K11" s="25">
        <f t="shared" si="6"/>
        <v>6.66883232159853</v>
      </c>
      <c r="L11" s="25">
        <f t="shared" si="6"/>
        <v>7.02805419471826</v>
      </c>
      <c r="M11" s="25">
        <f t="shared" si="6"/>
        <v>6.7837328321704</v>
      </c>
      <c r="N11" s="25">
        <f t="shared" si="6"/>
        <v>6.63959989312672</v>
      </c>
      <c r="O11" s="25">
        <f t="shared" si="6"/>
        <v>6.85907626642805</v>
      </c>
      <c r="P11" s="25">
        <f t="shared" si="6"/>
        <v>7.00518664702158</v>
      </c>
      <c r="Q11" s="25">
        <f t="shared" si="6"/>
        <v>7.04604590282834</v>
      </c>
      <c r="R11" s="25">
        <f t="shared" si="6"/>
        <v>7.16031978191658</v>
      </c>
      <c r="S11" s="25">
        <f t="shared" si="6"/>
        <v>7.14787271808</v>
      </c>
      <c r="T11" s="25">
        <f t="shared" si="6"/>
        <v>7.15244919190416</v>
      </c>
      <c r="U11" s="25">
        <f t="shared" si="6"/>
        <v>7.41264731052313</v>
      </c>
      <c r="V11" s="25">
        <f t="shared" si="6"/>
        <v>7.37986816003805</v>
      </c>
      <c r="W11" s="25">
        <f t="shared" si="6"/>
        <v>7.20818321190457</v>
      </c>
      <c r="X11" s="25">
        <f t="shared" si="6"/>
        <v>6.70839969273619</v>
      </c>
      <c r="Y11" s="25">
        <f t="shared" si="6"/>
        <v>6.70195910574754</v>
      </c>
      <c r="Z11" s="25">
        <f t="shared" si="6"/>
        <v>6.76896232594503</v>
      </c>
      <c r="AA11" s="25">
        <f t="shared" si="6"/>
        <v>6.82834453647009</v>
      </c>
      <c r="AB11" s="25">
        <f t="shared" si="6"/>
        <v>6.72516522743546</v>
      </c>
      <c r="AC11" s="25">
        <f t="shared" si="6"/>
        <v>6.36788413170477</v>
      </c>
      <c r="AD11" s="25">
        <f t="shared" si="6"/>
        <v>5.87901166792206</v>
      </c>
      <c r="AE11" s="25">
        <f t="shared" si="6"/>
        <v>5.82211181015346</v>
      </c>
      <c r="AF11" s="25">
        <f t="shared" si="6"/>
        <v>5.88756979208231</v>
      </c>
      <c r="AG11" s="25">
        <f t="shared" si="6"/>
        <v>6.18496974598291</v>
      </c>
      <c r="AH11" s="25">
        <f t="shared" si="6"/>
        <v>5.98076075192906</v>
      </c>
      <c r="AI11" s="25">
        <f t="shared" si="6"/>
        <v>5.58751812130418</v>
      </c>
      <c r="AJ11" s="25">
        <f t="shared" si="6"/>
        <v>5.75267952091368</v>
      </c>
      <c r="AK11" s="25">
        <f t="shared" si="6"/>
        <v>5.83502438318032</v>
      </c>
      <c r="AL11" s="25">
        <f t="shared" si="6"/>
        <v>6.27909907509073</v>
      </c>
      <c r="AM11" s="25">
        <f t="shared" si="6"/>
        <v>6.48000675740434</v>
      </c>
      <c r="AN11" s="25">
        <f t="shared" si="6"/>
        <v>6.62963060302073</v>
      </c>
      <c r="AO11" s="25">
        <f t="shared" si="6"/>
        <v>6.6957504343062</v>
      </c>
      <c r="AP11" s="25">
        <f t="shared" si="6"/>
        <v>6.67636895153172</v>
      </c>
      <c r="AQ11" s="25">
        <f t="shared" si="6"/>
        <v>6.43695005977214</v>
      </c>
      <c r="AR11" s="25">
        <f t="shared" si="6"/>
        <v>6.2968704552907</v>
      </c>
      <c r="AS11" s="25">
        <f t="shared" si="6"/>
        <v>6.26892246104417</v>
      </c>
      <c r="AT11" s="25">
        <f t="shared" si="6"/>
        <v>6.28140712347023</v>
      </c>
      <c r="AU11" s="25">
        <f t="shared" si="6"/>
        <v>6.29783796188749</v>
      </c>
      <c r="AV11" s="25">
        <f t="shared" si="6"/>
        <v>6.56116379766394</v>
      </c>
      <c r="AW11" s="25">
        <f t="shared" si="6"/>
        <v>5.74489806762691</v>
      </c>
      <c r="AX11" s="25">
        <f t="shared" si="6"/>
        <v>5.81692404639463</v>
      </c>
      <c r="AY11" s="25">
        <f t="shared" si="6"/>
        <v>5.87596482537695</v>
      </c>
      <c r="AZ11" s="25">
        <f t="shared" si="6"/>
        <v>6.03984961758905</v>
      </c>
      <c r="BA11" s="25">
        <f t="shared" si="6"/>
        <v>5.9270429332527</v>
      </c>
      <c r="BB11" s="25">
        <f t="shared" si="6"/>
        <v>5.96655684330323</v>
      </c>
      <c r="BC11" s="25">
        <f t="shared" si="6"/>
        <v>5.99052968198926</v>
      </c>
      <c r="BD11" s="25">
        <f t="shared" si="6"/>
        <v>6.22992658854349</v>
      </c>
      <c r="BE11" s="25">
        <f t="shared" si="6"/>
        <v>6.35627284185286</v>
      </c>
      <c r="BF11" s="25">
        <f t="shared" si="6"/>
        <v>6.38433017278491</v>
      </c>
      <c r="BG11" s="25">
        <f t="shared" si="6"/>
        <v>6.37821928587347</v>
      </c>
      <c r="BH11" s="25">
        <f t="shared" si="6"/>
        <v>6</v>
      </c>
      <c r="BI11" s="25">
        <f t="shared" si="6"/>
        <v>5.4</v>
      </c>
      <c r="BJ11" s="25">
        <f t="shared" si="6"/>
        <v>5.56170212765957</v>
      </c>
      <c r="BK11" s="25">
        <f t="shared" si="6"/>
        <v>5.58510638297872</v>
      </c>
      <c r="BL11" s="25">
        <f t="shared" si="6"/>
        <v>6.00093290961279</v>
      </c>
      <c r="BM11" s="25">
        <f t="shared" si="6"/>
        <v>5.98126354357145</v>
      </c>
      <c r="BN11" s="25">
        <f t="shared" si="6"/>
        <v>5.78335524459326</v>
      </c>
      <c r="BO11" s="25">
        <f t="shared" ref="BO11:CY11" si="7">BO2/BO4</f>
        <v>5.73172807422509</v>
      </c>
      <c r="BP11" s="25">
        <f t="shared" si="7"/>
        <v>5.5356872058994</v>
      </c>
      <c r="BQ11" s="25">
        <f t="shared" si="7"/>
        <v>5.53543433076988</v>
      </c>
      <c r="BR11" s="25">
        <f t="shared" si="7"/>
        <v>5.75536109580608</v>
      </c>
      <c r="BS11" s="25">
        <f t="shared" si="7"/>
        <v>5.62949293585721</v>
      </c>
      <c r="BT11" s="25">
        <f t="shared" si="7"/>
        <v>5.686050625897</v>
      </c>
      <c r="BU11" s="25">
        <f t="shared" si="7"/>
        <v>5.57089599475541</v>
      </c>
      <c r="BV11" s="25">
        <f t="shared" si="7"/>
        <v>5.63744990666333</v>
      </c>
      <c r="BW11" s="25">
        <f t="shared" si="7"/>
        <v>5.370244594219</v>
      </c>
      <c r="BX11" s="25">
        <f t="shared" si="7"/>
        <v>5.370244594219</v>
      </c>
      <c r="BY11" s="25">
        <f t="shared" si="7"/>
        <v>6.12884527512778</v>
      </c>
      <c r="BZ11" s="25">
        <f t="shared" si="7"/>
        <v>6.09724820084953</v>
      </c>
      <c r="CA11" s="25">
        <f t="shared" si="7"/>
        <v>6.12993911967015</v>
      </c>
      <c r="CB11" s="25">
        <f t="shared" si="7"/>
        <v>6.20951284782624</v>
      </c>
      <c r="CC11" s="25">
        <f t="shared" si="7"/>
        <v>6.16178110322231</v>
      </c>
      <c r="CD11" s="25">
        <f t="shared" si="7"/>
        <v>6.63428489856723</v>
      </c>
      <c r="CE11" s="25">
        <f t="shared" si="7"/>
        <v>6.8243069372714</v>
      </c>
      <c r="CF11" s="25">
        <f t="shared" si="7"/>
        <v>6.35115900531335</v>
      </c>
      <c r="CG11" s="25">
        <f t="shared" si="7"/>
        <v>6.45509248891511</v>
      </c>
      <c r="CH11" s="25">
        <f t="shared" si="7"/>
        <v>6.60648819173654</v>
      </c>
      <c r="CI11" s="25">
        <f t="shared" si="7"/>
        <v>6.9027508911852</v>
      </c>
      <c r="CJ11" s="25">
        <f t="shared" si="7"/>
        <v>7.61834538893433</v>
      </c>
      <c r="CK11" s="25">
        <f t="shared" si="7"/>
        <v>8.07290173880995</v>
      </c>
      <c r="CL11" s="25">
        <f t="shared" si="7"/>
        <v>7.0431567723971</v>
      </c>
      <c r="CM11" s="25">
        <f t="shared" si="7"/>
        <v>6.68478482160873</v>
      </c>
      <c r="CN11" s="25">
        <f t="shared" si="7"/>
        <v>6.63980334023331</v>
      </c>
      <c r="CO11" s="25">
        <f t="shared" si="7"/>
        <v>6.28725328793564</v>
      </c>
      <c r="CP11" s="25">
        <f t="shared" si="7"/>
        <v>6.21758015257965</v>
      </c>
      <c r="CQ11" s="25">
        <f t="shared" si="7"/>
        <v>6.15565362052581</v>
      </c>
      <c r="CR11" s="25">
        <f t="shared" si="7"/>
        <v>5.81604255325008</v>
      </c>
      <c r="CS11" s="25">
        <f t="shared" si="7"/>
        <v>5.81595295136944</v>
      </c>
      <c r="CT11" s="25">
        <f t="shared" si="7"/>
        <v>5.98016866262005</v>
      </c>
      <c r="CU11" s="25">
        <f t="shared" si="7"/>
        <v>5.86534890813566</v>
      </c>
      <c r="CV11" s="25">
        <f t="shared" si="7"/>
        <v>7.02509965964332</v>
      </c>
      <c r="CW11" s="25">
        <f t="shared" si="7"/>
        <v>6.75650557620818</v>
      </c>
      <c r="CX11" s="25">
        <f t="shared" si="7"/>
        <v>6.74490343347639</v>
      </c>
      <c r="CY11" s="25">
        <f t="shared" si="7"/>
        <v>6.15384615384615</v>
      </c>
      <c r="CZ11" s="35"/>
      <c r="DD11" s="37">
        <f t="shared" ref="DD11:DD14" si="8">AVERAGE(B11:CZ11)</f>
        <v>6.32446255865789</v>
      </c>
      <c r="DE11" s="37">
        <f t="shared" ref="DE11:DE14" si="9">MAX(B11:CZ11)</f>
        <v>8.07290173880995</v>
      </c>
      <c r="DF11" s="37">
        <f t="shared" ref="DF11:DF14" si="10">MIN(B11:CZ11)</f>
        <v>5.370244594219</v>
      </c>
    </row>
    <row r="12" ht="16.5" spans="1:110">
      <c r="A12" s="24" t="s">
        <v>147</v>
      </c>
      <c r="B12" s="25">
        <f>B2/B3</f>
        <v>1.66905993763893</v>
      </c>
      <c r="C12" s="25">
        <f t="shared" ref="C12:BN12" si="11">C2/C3</f>
        <v>1.56708787836912</v>
      </c>
      <c r="D12" s="25">
        <f t="shared" si="11"/>
        <v>1.76614745526421</v>
      </c>
      <c r="E12" s="25">
        <f t="shared" si="11"/>
        <v>2.23155855722437</v>
      </c>
      <c r="F12" s="25">
        <f t="shared" si="11"/>
        <v>1.85245645681738</v>
      </c>
      <c r="G12" s="25">
        <f t="shared" si="11"/>
        <v>1.81747864510663</v>
      </c>
      <c r="H12" s="25">
        <f t="shared" si="11"/>
        <v>1.84945042380229</v>
      </c>
      <c r="I12" s="25">
        <f t="shared" si="11"/>
        <v>2.02194032338577</v>
      </c>
      <c r="J12" s="25">
        <f t="shared" si="11"/>
        <v>2.28954173678262</v>
      </c>
      <c r="K12" s="25">
        <f t="shared" si="11"/>
        <v>2.4747619943432</v>
      </c>
      <c r="L12" s="25">
        <f t="shared" si="11"/>
        <v>2.33245466724274</v>
      </c>
      <c r="M12" s="25">
        <f t="shared" si="11"/>
        <v>1.9618101036718</v>
      </c>
      <c r="N12" s="25">
        <f t="shared" si="11"/>
        <v>1.88734982384797</v>
      </c>
      <c r="O12" s="25">
        <f t="shared" si="11"/>
        <v>1.97565712253098</v>
      </c>
      <c r="P12" s="25">
        <f t="shared" si="11"/>
        <v>1.94304447143664</v>
      </c>
      <c r="Q12" s="25">
        <f t="shared" si="11"/>
        <v>2.2865050752133</v>
      </c>
      <c r="R12" s="25">
        <f t="shared" si="11"/>
        <v>2.32955609343176</v>
      </c>
      <c r="S12" s="25">
        <f t="shared" si="11"/>
        <v>2.17295330629632</v>
      </c>
      <c r="T12" s="25">
        <f t="shared" si="11"/>
        <v>2.14347846445077</v>
      </c>
      <c r="U12" s="25">
        <f t="shared" si="11"/>
        <v>2.28366320141012</v>
      </c>
      <c r="V12" s="25">
        <f t="shared" si="11"/>
        <v>2.56872174902547</v>
      </c>
      <c r="W12" s="25">
        <f t="shared" si="11"/>
        <v>2.5448738438976</v>
      </c>
      <c r="X12" s="25">
        <f t="shared" si="11"/>
        <v>2.17728761957227</v>
      </c>
      <c r="Y12" s="25">
        <f t="shared" si="11"/>
        <v>2.29604154548758</v>
      </c>
      <c r="Z12" s="25">
        <f t="shared" si="11"/>
        <v>2.50702308368334</v>
      </c>
      <c r="AA12" s="25">
        <f t="shared" si="11"/>
        <v>2.84176050863797</v>
      </c>
      <c r="AB12" s="25">
        <f t="shared" si="11"/>
        <v>3.09711556526633</v>
      </c>
      <c r="AC12" s="25">
        <f t="shared" si="11"/>
        <v>2.90581414093438</v>
      </c>
      <c r="AD12" s="25">
        <f t="shared" si="11"/>
        <v>2.73260834498369</v>
      </c>
      <c r="AE12" s="25">
        <f t="shared" si="11"/>
        <v>2.86601847194615</v>
      </c>
      <c r="AF12" s="25">
        <f t="shared" si="11"/>
        <v>3.08019346372019</v>
      </c>
      <c r="AG12" s="25">
        <f t="shared" si="11"/>
        <v>3.05208956986094</v>
      </c>
      <c r="AH12" s="25">
        <f t="shared" si="11"/>
        <v>2.78938087195594</v>
      </c>
      <c r="AI12" s="25">
        <f t="shared" si="11"/>
        <v>2.4898508011054</v>
      </c>
      <c r="AJ12" s="25">
        <f t="shared" si="11"/>
        <v>2.24817360587431</v>
      </c>
      <c r="AK12" s="25">
        <f t="shared" si="11"/>
        <v>2.21171492784984</v>
      </c>
      <c r="AL12" s="25">
        <f t="shared" si="11"/>
        <v>2.4068699949615</v>
      </c>
      <c r="AM12" s="25">
        <f t="shared" si="11"/>
        <v>2.53627607373599</v>
      </c>
      <c r="AN12" s="25">
        <f t="shared" si="11"/>
        <v>2.6355194446499</v>
      </c>
      <c r="AO12" s="25">
        <f t="shared" si="11"/>
        <v>2.96013873496725</v>
      </c>
      <c r="AP12" s="25">
        <f t="shared" si="11"/>
        <v>2.91526565534288</v>
      </c>
      <c r="AQ12" s="25">
        <f t="shared" si="11"/>
        <v>2.7301281615521</v>
      </c>
      <c r="AR12" s="25">
        <f t="shared" si="11"/>
        <v>2.47825832774745</v>
      </c>
      <c r="AS12" s="25">
        <f t="shared" si="11"/>
        <v>2.26395470363243</v>
      </c>
      <c r="AT12" s="25">
        <f t="shared" si="11"/>
        <v>2.13387514720759</v>
      </c>
      <c r="AU12" s="25">
        <f t="shared" si="11"/>
        <v>1.61308259485574</v>
      </c>
      <c r="AV12" s="25">
        <f t="shared" si="11"/>
        <v>1.45394079161717</v>
      </c>
      <c r="AW12" s="25">
        <f t="shared" si="11"/>
        <v>1.89877491858537</v>
      </c>
      <c r="AX12" s="25">
        <f t="shared" si="11"/>
        <v>2.11256532090345</v>
      </c>
      <c r="AY12" s="25">
        <f t="shared" si="11"/>
        <v>2.10731015422193</v>
      </c>
      <c r="AZ12" s="25">
        <f t="shared" si="11"/>
        <v>2.32509877848101</v>
      </c>
      <c r="BA12" s="25">
        <f t="shared" si="11"/>
        <v>2.406636885079</v>
      </c>
      <c r="BB12" s="25">
        <f t="shared" si="11"/>
        <v>2.2765034983322</v>
      </c>
      <c r="BC12" s="25">
        <f t="shared" si="11"/>
        <v>2.24383951503082</v>
      </c>
      <c r="BD12" s="25">
        <f t="shared" si="11"/>
        <v>2.24548904700226</v>
      </c>
      <c r="BE12" s="25">
        <f t="shared" si="11"/>
        <v>2.05813051355175</v>
      </c>
      <c r="BF12" s="25">
        <f t="shared" si="11"/>
        <v>1.84617483140384</v>
      </c>
      <c r="BG12" s="25">
        <f t="shared" si="11"/>
        <v>1.87980417609705</v>
      </c>
      <c r="BH12" s="25">
        <f t="shared" si="11"/>
        <v>1.931330472103</v>
      </c>
      <c r="BI12" s="25">
        <f t="shared" si="11"/>
        <v>2.19422998780983</v>
      </c>
      <c r="BJ12" s="25">
        <f t="shared" si="11"/>
        <v>2.30598904346445</v>
      </c>
      <c r="BK12" s="25">
        <f t="shared" si="11"/>
        <v>2.4171270718232</v>
      </c>
      <c r="BL12" s="25">
        <f t="shared" si="11"/>
        <v>2.50560873052726</v>
      </c>
      <c r="BM12" s="25">
        <f t="shared" si="11"/>
        <v>2.51784619917213</v>
      </c>
      <c r="BN12" s="25">
        <f t="shared" si="11"/>
        <v>2.49677891616802</v>
      </c>
      <c r="BO12" s="25">
        <f t="shared" ref="BO12:CY12" si="12">BO2/BO3</f>
        <v>2.4980442398862</v>
      </c>
      <c r="BP12" s="25">
        <f t="shared" si="12"/>
        <v>2.63263490794906</v>
      </c>
      <c r="BQ12" s="25">
        <f t="shared" si="12"/>
        <v>2.94331251424622</v>
      </c>
      <c r="BR12" s="25">
        <f t="shared" si="12"/>
        <v>3.40341925989155</v>
      </c>
      <c r="BS12" s="25">
        <f t="shared" si="12"/>
        <v>3.55132712947916</v>
      </c>
      <c r="BT12" s="25">
        <f t="shared" si="12"/>
        <v>4.01824587205272</v>
      </c>
      <c r="BU12" s="25">
        <f t="shared" si="12"/>
        <v>3.82353232692319</v>
      </c>
      <c r="BV12" s="25">
        <f t="shared" si="12"/>
        <v>3.49645924017254</v>
      </c>
      <c r="BW12" s="25">
        <f t="shared" si="12"/>
        <v>3.25130464834084</v>
      </c>
      <c r="BX12" s="25">
        <f t="shared" si="12"/>
        <v>2.9706959562992</v>
      </c>
      <c r="BY12" s="25">
        <f t="shared" si="12"/>
        <v>3.4617617520585</v>
      </c>
      <c r="BZ12" s="25">
        <f t="shared" si="12"/>
        <v>3.2148216704315</v>
      </c>
      <c r="CA12" s="25">
        <f t="shared" si="12"/>
        <v>3.13361958022461</v>
      </c>
      <c r="CB12" s="25">
        <f t="shared" si="12"/>
        <v>3.32686098408003</v>
      </c>
      <c r="CC12" s="25">
        <f t="shared" si="12"/>
        <v>3.1947642272222</v>
      </c>
      <c r="CD12" s="25">
        <f t="shared" si="12"/>
        <v>3.09901209131834</v>
      </c>
      <c r="CE12" s="25">
        <f t="shared" si="12"/>
        <v>2.99978994735714</v>
      </c>
      <c r="CF12" s="25">
        <f t="shared" si="12"/>
        <v>2.81971411081443</v>
      </c>
      <c r="CG12" s="25">
        <f t="shared" si="12"/>
        <v>2.51057347809952</v>
      </c>
      <c r="CH12" s="25">
        <f t="shared" si="12"/>
        <v>2.16437682236713</v>
      </c>
      <c r="CI12" s="25">
        <f t="shared" si="12"/>
        <v>1.71820621365043</v>
      </c>
      <c r="CJ12" s="25">
        <f t="shared" si="12"/>
        <v>2.02092319370121</v>
      </c>
      <c r="CK12" s="25">
        <f t="shared" si="12"/>
        <v>2.31953796439046</v>
      </c>
      <c r="CL12" s="25">
        <f t="shared" si="12"/>
        <v>2.07514983014726</v>
      </c>
      <c r="CM12" s="25">
        <f t="shared" si="12"/>
        <v>2.04159364779754</v>
      </c>
      <c r="CN12" s="25">
        <f t="shared" si="12"/>
        <v>2.12900422121496</v>
      </c>
      <c r="CO12" s="25">
        <f t="shared" si="12"/>
        <v>1.977512717466</v>
      </c>
      <c r="CP12" s="25">
        <f t="shared" si="12"/>
        <v>1.98085869050626</v>
      </c>
      <c r="CQ12" s="25">
        <f t="shared" si="12"/>
        <v>1.93212377229744</v>
      </c>
      <c r="CR12" s="25">
        <f t="shared" si="12"/>
        <v>1.7664710534122</v>
      </c>
      <c r="CS12" s="25">
        <f t="shared" si="12"/>
        <v>1.52876477578854</v>
      </c>
      <c r="CT12" s="25">
        <f t="shared" si="12"/>
        <v>1.47727477780518</v>
      </c>
      <c r="CU12" s="25">
        <f t="shared" si="12"/>
        <v>1.38796009450434</v>
      </c>
      <c r="CV12" s="25">
        <f t="shared" si="12"/>
        <v>1.31991983716413</v>
      </c>
      <c r="CW12" s="25">
        <f t="shared" si="12"/>
        <v>1.24256646771568</v>
      </c>
      <c r="CX12" s="25">
        <f t="shared" si="12"/>
        <v>1.24665344571145</v>
      </c>
      <c r="CY12" s="25">
        <f t="shared" si="12"/>
        <v>1.49232839838493</v>
      </c>
      <c r="CZ12" s="35"/>
      <c r="DD12" s="37">
        <f t="shared" si="8"/>
        <v>2.36600285689183</v>
      </c>
      <c r="DE12" s="37">
        <f t="shared" si="9"/>
        <v>4.01824587205272</v>
      </c>
      <c r="DF12" s="37">
        <f t="shared" si="10"/>
        <v>1.24256646771568</v>
      </c>
    </row>
    <row r="13" ht="16.5" spans="1:110">
      <c r="A13" s="24" t="s">
        <v>174</v>
      </c>
      <c r="B13" s="25">
        <f>B7/B8</f>
        <v>0.247387830362631</v>
      </c>
      <c r="C13" s="25">
        <f t="shared" ref="C13:BN13" si="13">C7/C8</f>
        <v>0.243811881188119</v>
      </c>
      <c r="D13" s="25">
        <f t="shared" si="13"/>
        <v>0.232372777437155</v>
      </c>
      <c r="E13" s="25">
        <f t="shared" si="13"/>
        <v>0.213169984686064</v>
      </c>
      <c r="F13" s="25">
        <f t="shared" si="13"/>
        <v>0.2</v>
      </c>
      <c r="G13" s="25">
        <f t="shared" si="13"/>
        <v>0.19645732689211</v>
      </c>
      <c r="H13" s="25">
        <f t="shared" si="13"/>
        <v>0.193661971830986</v>
      </c>
      <c r="I13" s="25">
        <f t="shared" si="13"/>
        <v>0.189507154213037</v>
      </c>
      <c r="J13" s="25">
        <f t="shared" si="13"/>
        <v>0.188703060902493</v>
      </c>
      <c r="K13" s="25">
        <f t="shared" si="13"/>
        <v>0.193710691823899</v>
      </c>
      <c r="L13" s="25">
        <f t="shared" si="13"/>
        <v>0.203554119547658</v>
      </c>
      <c r="M13" s="25">
        <f t="shared" si="13"/>
        <v>0.204479065238559</v>
      </c>
      <c r="N13" s="25">
        <f t="shared" si="13"/>
        <v>0.20918538384177</v>
      </c>
      <c r="O13" s="25">
        <f t="shared" si="13"/>
        <v>0.217007762879323</v>
      </c>
      <c r="P13" s="25">
        <f t="shared" si="13"/>
        <v>0.211882605583393</v>
      </c>
      <c r="Q13" s="25">
        <f t="shared" si="13"/>
        <v>0.182410423452769</v>
      </c>
      <c r="R13" s="25">
        <f t="shared" si="13"/>
        <v>0.184097657538766</v>
      </c>
      <c r="S13" s="25">
        <f t="shared" si="13"/>
        <v>0.213610586011342</v>
      </c>
      <c r="T13" s="25">
        <f t="shared" si="13"/>
        <v>0.210176991150442</v>
      </c>
      <c r="U13" s="25">
        <f t="shared" si="13"/>
        <v>0.193481276005548</v>
      </c>
      <c r="V13" s="25">
        <f t="shared" si="13"/>
        <v>0.200072098053353</v>
      </c>
      <c r="W13" s="25">
        <f t="shared" si="13"/>
        <v>0.198295033358043</v>
      </c>
      <c r="X13" s="25">
        <f t="shared" si="13"/>
        <v>0.202759678037562</v>
      </c>
      <c r="Y13" s="25">
        <f t="shared" si="13"/>
        <v>0.201859744285161</v>
      </c>
      <c r="Z13" s="25">
        <f t="shared" si="13"/>
        <v>0.194623248769406</v>
      </c>
      <c r="AA13" s="25">
        <f t="shared" si="13"/>
        <v>0.196462898885044</v>
      </c>
      <c r="AB13" s="25">
        <f t="shared" si="13"/>
        <v>0.195007800312012</v>
      </c>
      <c r="AC13" s="25">
        <f t="shared" si="13"/>
        <v>0.182735426008969</v>
      </c>
      <c r="AD13" s="25">
        <f t="shared" si="13"/>
        <v>0.178703021370671</v>
      </c>
      <c r="AE13" s="25">
        <f t="shared" si="13"/>
        <v>0.18642160540135</v>
      </c>
      <c r="AF13" s="25">
        <f t="shared" si="13"/>
        <v>0.187876506024096</v>
      </c>
      <c r="AG13" s="25">
        <f t="shared" si="13"/>
        <v>0.185146443514644</v>
      </c>
      <c r="AH13" s="25">
        <f t="shared" si="13"/>
        <v>0.22757923128793</v>
      </c>
      <c r="AI13" s="25">
        <f t="shared" si="13"/>
        <v>0.244739397863386</v>
      </c>
      <c r="AJ13" s="25">
        <f t="shared" si="13"/>
        <v>0.279522613065327</v>
      </c>
      <c r="AK13" s="25">
        <f t="shared" si="13"/>
        <v>0.285714285714286</v>
      </c>
      <c r="AL13" s="25">
        <f t="shared" si="13"/>
        <v>0.283076923076923</v>
      </c>
      <c r="AM13" s="25">
        <f t="shared" si="13"/>
        <v>0.282989368355222</v>
      </c>
      <c r="AN13" s="25">
        <f t="shared" si="13"/>
        <v>0.292257001647446</v>
      </c>
      <c r="AO13" s="25">
        <f t="shared" si="13"/>
        <v>0.310656836461126</v>
      </c>
      <c r="AP13" s="25">
        <f t="shared" si="13"/>
        <v>0.320880587058039</v>
      </c>
      <c r="AQ13" s="25">
        <f t="shared" si="13"/>
        <v>0.297234255248251</v>
      </c>
      <c r="AR13" s="25">
        <f t="shared" si="13"/>
        <v>0.290955091714105</v>
      </c>
      <c r="AS13" s="25">
        <f t="shared" si="13"/>
        <v>0.293558282208589</v>
      </c>
      <c r="AT13" s="25">
        <f t="shared" si="13"/>
        <v>0.294594594594595</v>
      </c>
      <c r="AU13" s="25">
        <f t="shared" si="13"/>
        <v>0.276252019386107</v>
      </c>
      <c r="AV13" s="25">
        <f t="shared" si="13"/>
        <v>0.273221075502444</v>
      </c>
      <c r="AW13" s="25">
        <f t="shared" si="13"/>
        <v>0.284480276418082</v>
      </c>
      <c r="AX13" s="25">
        <f t="shared" si="13"/>
        <v>0.282627484874676</v>
      </c>
      <c r="AY13" s="25">
        <f t="shared" si="13"/>
        <v>0.276353276353276</v>
      </c>
      <c r="AZ13" s="25">
        <f t="shared" si="13"/>
        <v>0.268365817091454</v>
      </c>
      <c r="BA13" s="25">
        <f t="shared" si="13"/>
        <v>0.248122559327125</v>
      </c>
      <c r="BB13" s="25">
        <f t="shared" si="13"/>
        <v>0.238586156111929</v>
      </c>
      <c r="BC13" s="25">
        <f t="shared" si="13"/>
        <v>0.248294274695936</v>
      </c>
      <c r="BD13" s="25">
        <f t="shared" si="13"/>
        <v>0.257116898849182</v>
      </c>
      <c r="BE13" s="25">
        <f t="shared" si="13"/>
        <v>0.247777119146414</v>
      </c>
      <c r="BF13" s="25">
        <f t="shared" si="13"/>
        <v>0.234340659340659</v>
      </c>
      <c r="BG13" s="25">
        <f t="shared" si="13"/>
        <v>0.24167354803193</v>
      </c>
      <c r="BH13" s="25">
        <f t="shared" si="13"/>
        <v>0.281729000613121</v>
      </c>
      <c r="BI13" s="25">
        <f t="shared" si="13"/>
        <v>0.290716350787022</v>
      </c>
      <c r="BJ13" s="25">
        <f t="shared" si="13"/>
        <v>0.296991264962795</v>
      </c>
      <c r="BK13" s="25">
        <f t="shared" si="13"/>
        <v>0.30151374729688</v>
      </c>
      <c r="BL13" s="25">
        <f t="shared" si="13"/>
        <v>0.284904534606205</v>
      </c>
      <c r="BM13" s="25">
        <f t="shared" si="13"/>
        <v>0.26021136818052</v>
      </c>
      <c r="BN13" s="25">
        <f t="shared" si="13"/>
        <v>0.294512195121951</v>
      </c>
      <c r="BO13" s="25">
        <f t="shared" ref="BO13:CY13" si="14">BO7/BO8</f>
        <v>0.309131261889664</v>
      </c>
      <c r="BP13" s="25">
        <f t="shared" si="14"/>
        <v>0.271816881258941</v>
      </c>
      <c r="BQ13" s="25">
        <f t="shared" si="14"/>
        <v>0.281927710843373</v>
      </c>
      <c r="BR13" s="25">
        <f t="shared" si="14"/>
        <v>0.277860326894502</v>
      </c>
      <c r="BS13" s="25">
        <f t="shared" si="14"/>
        <v>0.279389769667963</v>
      </c>
      <c r="BT13" s="25">
        <f t="shared" si="14"/>
        <v>0.294001318391562</v>
      </c>
      <c r="BU13" s="25">
        <f t="shared" si="14"/>
        <v>0.280115644073241</v>
      </c>
      <c r="BV13" s="25">
        <f t="shared" si="14"/>
        <v>0.269141869922631</v>
      </c>
      <c r="BW13" s="25">
        <f t="shared" si="14"/>
        <v>0.289870414582448</v>
      </c>
      <c r="BX13" s="25">
        <f t="shared" si="14"/>
        <v>0.248487091400152</v>
      </c>
      <c r="BY13" s="25">
        <f t="shared" si="14"/>
        <v>0.231153297099648</v>
      </c>
      <c r="BZ13" s="25">
        <f t="shared" si="14"/>
        <v>0.216196198163773</v>
      </c>
      <c r="CA13" s="25">
        <f t="shared" si="14"/>
        <v>0.215927105011923</v>
      </c>
      <c r="CB13" s="25">
        <f t="shared" si="14"/>
        <v>0.237665641289044</v>
      </c>
      <c r="CC13" s="25">
        <f t="shared" si="14"/>
        <v>0.214118461913088</v>
      </c>
      <c r="CD13" s="25">
        <f t="shared" si="14"/>
        <v>0.219195965434927</v>
      </c>
      <c r="CE13" s="25">
        <f t="shared" si="14"/>
        <v>0.234020970201512</v>
      </c>
      <c r="CF13" s="25">
        <f t="shared" si="14"/>
        <v>0.215252895236374</v>
      </c>
      <c r="CG13" s="25">
        <f t="shared" si="14"/>
        <v>0.224171455950298</v>
      </c>
      <c r="CH13" s="25">
        <f t="shared" si="14"/>
        <v>0.303035236389343</v>
      </c>
      <c r="CI13" s="25">
        <f t="shared" si="14"/>
        <v>0.257021535022909</v>
      </c>
      <c r="CJ13" s="25">
        <f t="shared" si="14"/>
        <v>0.17109610604492</v>
      </c>
      <c r="CK13" s="25">
        <f t="shared" si="14"/>
        <v>0.184348718497653</v>
      </c>
      <c r="CL13" s="25">
        <f t="shared" si="14"/>
        <v>0.256845729977589</v>
      </c>
      <c r="CM13" s="25">
        <f t="shared" si="14"/>
        <v>0.250983809255788</v>
      </c>
      <c r="CN13" s="25">
        <f t="shared" si="14"/>
        <v>0.280289372924664</v>
      </c>
      <c r="CO13" s="25">
        <f t="shared" si="14"/>
        <v>0.306159874793636</v>
      </c>
      <c r="CP13" s="25">
        <f t="shared" si="14"/>
        <v>0.378603367820961</v>
      </c>
      <c r="CQ13" s="25">
        <f t="shared" si="14"/>
        <v>0.43063607626296</v>
      </c>
      <c r="CR13" s="25">
        <f t="shared" si="14"/>
        <v>0.353055753695753</v>
      </c>
      <c r="CS13" s="25">
        <f t="shared" si="14"/>
        <v>0.346705863194419</v>
      </c>
      <c r="CT13" s="25">
        <f t="shared" si="14"/>
        <v>0.394174181562881</v>
      </c>
      <c r="CU13" s="25">
        <f t="shared" si="14"/>
        <v>0.403079014129845</v>
      </c>
      <c r="CV13" s="25">
        <f t="shared" si="14"/>
        <v>0.370380096466594</v>
      </c>
      <c r="CW13" s="25">
        <f t="shared" si="14"/>
        <v>0.397118414072784</v>
      </c>
      <c r="CX13" s="25">
        <f t="shared" si="14"/>
        <v>0.363631491227951</v>
      </c>
      <c r="CY13" s="25">
        <f t="shared" si="14"/>
        <v>0.44295448621016</v>
      </c>
      <c r="CZ13" s="35"/>
      <c r="DD13" s="37">
        <f t="shared" si="8"/>
        <v>0.257154348591914</v>
      </c>
      <c r="DE13" s="37">
        <f t="shared" si="9"/>
        <v>0.44295448621016</v>
      </c>
      <c r="DF13" s="37">
        <f t="shared" si="10"/>
        <v>0.17109610604492</v>
      </c>
    </row>
    <row r="14" ht="16.5" spans="1:110">
      <c r="A14" s="26" t="s">
        <v>175</v>
      </c>
      <c r="B14" s="27">
        <f>B9/B7</f>
        <v>7.325762767763</v>
      </c>
      <c r="C14" s="27">
        <f t="shared" ref="C14:BN14" si="15">C9/C7</f>
        <v>7.36654742332534</v>
      </c>
      <c r="D14" s="27">
        <f t="shared" si="15"/>
        <v>7.34332633428953</v>
      </c>
      <c r="E14" s="27">
        <f t="shared" si="15"/>
        <v>7.94804983924857</v>
      </c>
      <c r="F14" s="27">
        <f t="shared" si="15"/>
        <v>9.01127713982954</v>
      </c>
      <c r="G14" s="27">
        <f t="shared" si="15"/>
        <v>9.23333442414252</v>
      </c>
      <c r="H14" s="27">
        <f t="shared" si="15"/>
        <v>9.29614406316571</v>
      </c>
      <c r="I14" s="27">
        <f t="shared" si="15"/>
        <v>9.40071140966698</v>
      </c>
      <c r="J14" s="27">
        <f t="shared" si="15"/>
        <v>9.39946744511466</v>
      </c>
      <c r="K14" s="27">
        <f t="shared" si="15"/>
        <v>9.09929459516304</v>
      </c>
      <c r="L14" s="27">
        <f t="shared" si="15"/>
        <v>8.86500572309701</v>
      </c>
      <c r="M14" s="27">
        <f t="shared" si="15"/>
        <v>8.8092345841182</v>
      </c>
      <c r="N14" s="27">
        <f t="shared" si="15"/>
        <v>8.17468514060678</v>
      </c>
      <c r="O14" s="27">
        <f t="shared" si="15"/>
        <v>7.53564779877686</v>
      </c>
      <c r="P14" s="27">
        <f t="shared" si="15"/>
        <v>8.07754373949084</v>
      </c>
      <c r="Q14" s="27">
        <f t="shared" si="15"/>
        <v>9.40413193313441</v>
      </c>
      <c r="R14" s="27">
        <f t="shared" si="15"/>
        <v>9.68759776433382</v>
      </c>
      <c r="S14" s="27">
        <f t="shared" si="15"/>
        <v>9.33305034637025</v>
      </c>
      <c r="T14" s="27">
        <f t="shared" si="15"/>
        <v>8.91212955643128</v>
      </c>
      <c r="U14" s="27">
        <f t="shared" si="15"/>
        <v>8.88237503296799</v>
      </c>
      <c r="V14" s="27">
        <f t="shared" si="15"/>
        <v>8.79954007310835</v>
      </c>
      <c r="W14" s="27">
        <f t="shared" si="15"/>
        <v>8.8652827168108</v>
      </c>
      <c r="X14" s="27">
        <f t="shared" si="15"/>
        <v>8.39849576341346</v>
      </c>
      <c r="Y14" s="27">
        <f t="shared" si="15"/>
        <v>8.14384206283596</v>
      </c>
      <c r="Z14" s="27">
        <f t="shared" si="15"/>
        <v>8.46177643378246</v>
      </c>
      <c r="AA14" s="27">
        <f t="shared" si="15"/>
        <v>8.68658060054921</v>
      </c>
      <c r="AB14" s="27">
        <f t="shared" si="15"/>
        <v>9.61100679026105</v>
      </c>
      <c r="AC14" s="27">
        <f t="shared" si="15"/>
        <v>10.0928652016236</v>
      </c>
      <c r="AD14" s="27">
        <f t="shared" si="15"/>
        <v>10.0576423780532</v>
      </c>
      <c r="AE14" s="27">
        <f t="shared" si="15"/>
        <v>9.72100816397281</v>
      </c>
      <c r="AF14" s="27">
        <f t="shared" si="15"/>
        <v>10.0968227194162</v>
      </c>
      <c r="AG14" s="27">
        <f t="shared" si="15"/>
        <v>9.92190291915788</v>
      </c>
      <c r="AH14" s="27">
        <f t="shared" si="15"/>
        <v>8.4346736533728</v>
      </c>
      <c r="AI14" s="27">
        <f t="shared" si="15"/>
        <v>8.3564473174887</v>
      </c>
      <c r="AJ14" s="27">
        <f t="shared" si="15"/>
        <v>7.86927817028118</v>
      </c>
      <c r="AK14" s="27">
        <f t="shared" si="15"/>
        <v>6.88341031736176</v>
      </c>
      <c r="AL14" s="27">
        <f t="shared" si="15"/>
        <v>6.39099456521739</v>
      </c>
      <c r="AM14" s="27">
        <f t="shared" si="15"/>
        <v>6.49013812154696</v>
      </c>
      <c r="AN14" s="27">
        <f t="shared" si="15"/>
        <v>6.726702367531</v>
      </c>
      <c r="AO14" s="27">
        <f t="shared" si="15"/>
        <v>6.0174811218986</v>
      </c>
      <c r="AP14" s="27">
        <f t="shared" si="15"/>
        <v>5.52073284823285</v>
      </c>
      <c r="AQ14" s="27">
        <f t="shared" si="15"/>
        <v>5.99163677130045</v>
      </c>
      <c r="AR14" s="27">
        <f t="shared" si="15"/>
        <v>6.07740760869565</v>
      </c>
      <c r="AS14" s="27">
        <f t="shared" si="15"/>
        <v>6.37848484848485</v>
      </c>
      <c r="AT14" s="27">
        <f t="shared" si="15"/>
        <v>7.00518858307849</v>
      </c>
      <c r="AU14" s="27">
        <f t="shared" si="15"/>
        <v>6.15780214424951</v>
      </c>
      <c r="AV14" s="27">
        <f t="shared" si="15"/>
        <v>5.78619284294235</v>
      </c>
      <c r="AW14" s="27">
        <f t="shared" si="15"/>
        <v>5.85925607287449</v>
      </c>
      <c r="AX14" s="27">
        <f t="shared" si="15"/>
        <v>6.13185384715499</v>
      </c>
      <c r="AY14" s="27">
        <f t="shared" si="15"/>
        <v>6.37423024680179</v>
      </c>
      <c r="AZ14" s="27">
        <f t="shared" si="15"/>
        <v>6.8368544720978</v>
      </c>
      <c r="BA14" s="27">
        <f t="shared" si="15"/>
        <v>7.43699623548333</v>
      </c>
      <c r="BB14" s="27">
        <f t="shared" si="15"/>
        <v>8.04707731729349</v>
      </c>
      <c r="BC14" s="27">
        <f t="shared" si="15"/>
        <v>7.87671451481873</v>
      </c>
      <c r="BD14" s="27">
        <f t="shared" si="15"/>
        <v>7.74281991457521</v>
      </c>
      <c r="BE14" s="27">
        <f t="shared" si="15"/>
        <v>8.06477921096636</v>
      </c>
      <c r="BF14" s="27">
        <f t="shared" si="15"/>
        <v>7.83647390359315</v>
      </c>
      <c r="BG14" s="27">
        <f t="shared" si="15"/>
        <v>7.38382687927107</v>
      </c>
      <c r="BH14" s="27">
        <f t="shared" si="15"/>
        <v>6.70150775505541</v>
      </c>
      <c r="BI14" s="27">
        <f t="shared" si="15"/>
        <v>6.81636475349807</v>
      </c>
      <c r="BJ14" s="27">
        <f t="shared" si="15"/>
        <v>6.66631565038466</v>
      </c>
      <c r="BK14" s="27">
        <f t="shared" si="15"/>
        <v>6.23747459723552</v>
      </c>
      <c r="BL14" s="27">
        <f t="shared" si="15"/>
        <v>6.36022477784183</v>
      </c>
      <c r="BM14" s="27">
        <f t="shared" si="15"/>
        <v>6.80794308098769</v>
      </c>
      <c r="BN14" s="27">
        <f t="shared" si="15"/>
        <v>6.86688651266747</v>
      </c>
      <c r="BO14" s="27">
        <f t="shared" ref="BO14:CY14" si="16">BO9/BO7</f>
        <v>6.67633918457949</v>
      </c>
      <c r="BP14" s="27">
        <f t="shared" si="16"/>
        <v>6.79431807714685</v>
      </c>
      <c r="BQ14" s="27">
        <f t="shared" si="16"/>
        <v>6.87830982432431</v>
      </c>
      <c r="BR14" s="27">
        <f t="shared" si="16"/>
        <v>6.79850512828546</v>
      </c>
      <c r="BS14" s="27">
        <f t="shared" si="16"/>
        <v>6.72412306075565</v>
      </c>
      <c r="BT14" s="27">
        <f t="shared" si="16"/>
        <v>7.00846447971887</v>
      </c>
      <c r="BU14" s="27">
        <f t="shared" si="16"/>
        <v>7.42259140345616</v>
      </c>
      <c r="BV14" s="27">
        <f t="shared" si="16"/>
        <v>7.35434003141087</v>
      </c>
      <c r="BW14" s="27">
        <f t="shared" si="16"/>
        <v>6.42596019752069</v>
      </c>
      <c r="BX14" s="27">
        <f t="shared" si="16"/>
        <v>7.56358297887158</v>
      </c>
      <c r="BY14" s="27">
        <f t="shared" si="16"/>
        <v>8.69181225494191</v>
      </c>
      <c r="BZ14" s="27">
        <f t="shared" si="16"/>
        <v>8.41529926348639</v>
      </c>
      <c r="CA14" s="27">
        <f t="shared" si="16"/>
        <v>8.54227273642354</v>
      </c>
      <c r="CB14" s="27">
        <f t="shared" si="16"/>
        <v>8.71537979672487</v>
      </c>
      <c r="CC14" s="27">
        <f t="shared" si="16"/>
        <v>9.10681437172668</v>
      </c>
      <c r="CD14" s="27">
        <f t="shared" si="16"/>
        <v>8.906807283985</v>
      </c>
      <c r="CE14" s="27">
        <f t="shared" si="16"/>
        <v>8.59048339652445</v>
      </c>
      <c r="CF14" s="27">
        <f t="shared" si="16"/>
        <v>8.5106862934257</v>
      </c>
      <c r="CG14" s="27">
        <f t="shared" si="16"/>
        <v>7.79234724775287</v>
      </c>
      <c r="CH14" s="27">
        <f t="shared" si="16"/>
        <v>6.84258712372322</v>
      </c>
      <c r="CI14" s="27">
        <f t="shared" si="16"/>
        <v>7.27096529945074</v>
      </c>
      <c r="CJ14" s="27">
        <f t="shared" si="16"/>
        <v>10.2508922174903</v>
      </c>
      <c r="CK14" s="27">
        <f t="shared" si="16"/>
        <v>9.52995820654031</v>
      </c>
      <c r="CL14" s="27">
        <f t="shared" si="16"/>
        <v>6.1594886937792</v>
      </c>
      <c r="CM14" s="27">
        <f t="shared" si="16"/>
        <v>7.04684147552669</v>
      </c>
      <c r="CN14" s="27">
        <f t="shared" si="16"/>
        <v>5.98889390418214</v>
      </c>
      <c r="CO14" s="27">
        <f t="shared" si="16"/>
        <v>5.21175273790181</v>
      </c>
      <c r="CP14" s="27">
        <f t="shared" si="16"/>
        <v>4.15526052845808</v>
      </c>
      <c r="CQ14" s="27">
        <f t="shared" si="16"/>
        <v>3.24944863349585</v>
      </c>
      <c r="CR14" s="27">
        <f t="shared" si="16"/>
        <v>5.05981711884819</v>
      </c>
      <c r="CS14" s="27">
        <f t="shared" si="16"/>
        <v>4.8608908151547</v>
      </c>
      <c r="CT14" s="27">
        <f t="shared" si="16"/>
        <v>4.3931640014138</v>
      </c>
      <c r="CU14" s="27">
        <f t="shared" si="16"/>
        <v>4.53345557508922</v>
      </c>
      <c r="CV14" s="27">
        <f t="shared" si="16"/>
        <v>4.87121983596328</v>
      </c>
      <c r="CW14" s="27">
        <f t="shared" si="16"/>
        <v>4.82342651762655</v>
      </c>
      <c r="CX14" s="27">
        <f t="shared" si="16"/>
        <v>4.96380759254804</v>
      </c>
      <c r="CY14" s="27">
        <f t="shared" si="16"/>
        <v>4.17661692852577</v>
      </c>
      <c r="DD14" s="37">
        <f t="shared" si="8"/>
        <v>7.45493311887337</v>
      </c>
      <c r="DE14" s="37">
        <f t="shared" si="9"/>
        <v>10.2508922174903</v>
      </c>
      <c r="DF14" s="37">
        <f t="shared" si="10"/>
        <v>3.24944863349585</v>
      </c>
    </row>
    <row r="15" ht="16.5" spans="1:110">
      <c r="A15" s="26" t="s">
        <v>176</v>
      </c>
      <c r="B15" s="28">
        <f>B10/B8</f>
        <v>1.90507412612282</v>
      </c>
      <c r="C15" s="28">
        <f t="shared" ref="C15:BN15" si="17">C10/C8</f>
        <v>1.89593344183458</v>
      </c>
      <c r="D15" s="28">
        <f t="shared" si="17"/>
        <v>1.79522932616276</v>
      </c>
      <c r="E15" s="28">
        <f t="shared" si="17"/>
        <v>1.78860261104218</v>
      </c>
      <c r="F15" s="28">
        <f t="shared" si="17"/>
        <v>1.91266419982491</v>
      </c>
      <c r="G15" s="28">
        <f t="shared" si="17"/>
        <v>1.93396073587477</v>
      </c>
      <c r="H15" s="28">
        <f t="shared" si="17"/>
        <v>1.91519270529091</v>
      </c>
      <c r="I15" s="28">
        <f t="shared" si="17"/>
        <v>1.89361562445429</v>
      </c>
      <c r="J15" s="28">
        <f t="shared" si="17"/>
        <v>1.88468651400038</v>
      </c>
      <c r="K15" s="28">
        <f t="shared" si="17"/>
        <v>1.87409960071136</v>
      </c>
      <c r="L15" s="28">
        <f t="shared" si="17"/>
        <v>1.92170249901364</v>
      </c>
      <c r="M15" s="28">
        <f t="shared" si="17"/>
        <v>1.928451250593</v>
      </c>
      <c r="N15" s="28">
        <f t="shared" si="17"/>
        <v>1.89179255206138</v>
      </c>
      <c r="O15" s="28">
        <f t="shared" si="17"/>
        <v>1.76417103688581</v>
      </c>
      <c r="P15" s="28">
        <f t="shared" si="17"/>
        <v>1.80961511885268</v>
      </c>
      <c r="Q15" s="28">
        <f t="shared" si="17"/>
        <v>1.77896278261259</v>
      </c>
      <c r="R15" s="28">
        <f t="shared" si="17"/>
        <v>1.87166633186064</v>
      </c>
      <c r="S15" s="28">
        <f t="shared" si="17"/>
        <v>2.14243285039238</v>
      </c>
      <c r="T15" s="28">
        <f t="shared" si="17"/>
        <v>1.99835715014564</v>
      </c>
      <c r="U15" s="28">
        <f t="shared" si="17"/>
        <v>1.82579000183434</v>
      </c>
      <c r="V15" s="28">
        <f t="shared" si="17"/>
        <v>1.86967356776282</v>
      </c>
      <c r="W15" s="28">
        <f t="shared" si="17"/>
        <v>1.87291588403734</v>
      </c>
      <c r="X15" s="28">
        <f t="shared" si="17"/>
        <v>1.85080931964899</v>
      </c>
      <c r="Y15" s="28">
        <f t="shared" si="17"/>
        <v>1.77325484244051</v>
      </c>
      <c r="Z15" s="28">
        <f t="shared" si="17"/>
        <v>1.74484933119483</v>
      </c>
      <c r="AA15" s="28">
        <f t="shared" si="17"/>
        <v>1.78209225841886</v>
      </c>
      <c r="AB15" s="28">
        <f t="shared" si="17"/>
        <v>1.95726718292309</v>
      </c>
      <c r="AC15" s="28">
        <f t="shared" si="17"/>
        <v>1.948324631621</v>
      </c>
      <c r="AD15" s="28">
        <f t="shared" si="17"/>
        <v>1.89931345007495</v>
      </c>
      <c r="AE15" s="28">
        <f t="shared" si="17"/>
        <v>1.91803432565458</v>
      </c>
      <c r="AF15" s="28">
        <f t="shared" si="17"/>
        <v>1.99248646981855</v>
      </c>
      <c r="AG15" s="28">
        <f t="shared" si="17"/>
        <v>1.92689078931059</v>
      </c>
      <c r="AH15" s="28">
        <f t="shared" si="17"/>
        <v>1.99001419942461</v>
      </c>
      <c r="AI15" s="28">
        <f t="shared" si="17"/>
        <v>2.1596032871689</v>
      </c>
      <c r="AJ15" s="28">
        <f t="shared" si="17"/>
        <v>2.32714621840136</v>
      </c>
      <c r="AK15" s="28">
        <f t="shared" si="17"/>
        <v>2.1788908384306</v>
      </c>
      <c r="AL15" s="28">
        <f t="shared" si="17"/>
        <v>1.88882019616691</v>
      </c>
      <c r="AM15" s="28">
        <f t="shared" si="17"/>
        <v>1.95725132002479</v>
      </c>
      <c r="AN15" s="28">
        <f t="shared" si="17"/>
        <v>2.04878969709161</v>
      </c>
      <c r="AO15" s="28">
        <f t="shared" si="17"/>
        <v>1.94929302465485</v>
      </c>
      <c r="AP15" s="28">
        <f t="shared" si="17"/>
        <v>1.84962987324071</v>
      </c>
      <c r="AQ15" s="28">
        <f t="shared" si="17"/>
        <v>1.90888355710893</v>
      </c>
      <c r="AR15" s="28">
        <f t="shared" si="17"/>
        <v>1.93331893639395</v>
      </c>
      <c r="AS15" s="28">
        <f t="shared" si="17"/>
        <v>2.11153274235904</v>
      </c>
      <c r="AT15" s="28">
        <f t="shared" si="17"/>
        <v>2.21164587068741</v>
      </c>
      <c r="AU15" s="28">
        <f t="shared" si="17"/>
        <v>1.81318163143625</v>
      </c>
      <c r="AV15" s="28">
        <f t="shared" si="17"/>
        <v>1.68229385294485</v>
      </c>
      <c r="AW15" s="28">
        <f t="shared" si="17"/>
        <v>1.76725498680759</v>
      </c>
      <c r="AX15" s="28">
        <f t="shared" si="17"/>
        <v>1.84686169842419</v>
      </c>
      <c r="AY15" s="28">
        <f t="shared" si="17"/>
        <v>1.84664077428935</v>
      </c>
      <c r="AZ15" s="28">
        <f t="shared" si="17"/>
        <v>1.91925812306273</v>
      </c>
      <c r="BA15" s="28">
        <f t="shared" si="17"/>
        <v>1.94647877416226</v>
      </c>
      <c r="BB15" s="28">
        <f t="shared" si="17"/>
        <v>2.00652767886887</v>
      </c>
      <c r="BC15" s="28">
        <f t="shared" si="17"/>
        <v>2.02382945043903</v>
      </c>
      <c r="BD15" s="28">
        <f t="shared" si="17"/>
        <v>2.06744483536762</v>
      </c>
      <c r="BE15" s="28">
        <f t="shared" si="17"/>
        <v>2.08099761314955</v>
      </c>
      <c r="BF15" s="28">
        <f t="shared" si="17"/>
        <v>1.88625375736199</v>
      </c>
      <c r="BG15" s="28">
        <f t="shared" si="17"/>
        <v>1.84227910817506</v>
      </c>
      <c r="BH15" s="28">
        <f t="shared" si="17"/>
        <v>1.9773145309626</v>
      </c>
      <c r="BI15" s="28">
        <f t="shared" si="17"/>
        <v>2.02377128172181</v>
      </c>
      <c r="BJ15" s="28">
        <f t="shared" si="17"/>
        <v>2.06250584970826</v>
      </c>
      <c r="BK15" s="28">
        <f t="shared" si="17"/>
        <v>1.95378496292475</v>
      </c>
      <c r="BL15" s="28">
        <f t="shared" si="17"/>
        <v>1.88122694648928</v>
      </c>
      <c r="BM15" s="28">
        <f t="shared" si="17"/>
        <v>1.87140106253723</v>
      </c>
      <c r="BN15" s="28">
        <f t="shared" si="17"/>
        <v>2.09064306702456</v>
      </c>
      <c r="BO15" s="28">
        <f t="shared" ref="BO15:CY15" si="18">BO10/BO8</f>
        <v>2.10811667723526</v>
      </c>
      <c r="BP15" s="28">
        <f t="shared" si="18"/>
        <v>1.9074542091067</v>
      </c>
      <c r="BQ15" s="28">
        <f t="shared" si="18"/>
        <v>2.01028904876568</v>
      </c>
      <c r="BR15" s="28">
        <f t="shared" si="18"/>
        <v>1.95628680933826</v>
      </c>
      <c r="BS15" s="28">
        <f t="shared" si="18"/>
        <v>1.95211397724183</v>
      </c>
      <c r="BT15" s="28">
        <f t="shared" si="18"/>
        <v>2.16166771615794</v>
      </c>
      <c r="BU15" s="28">
        <f t="shared" si="18"/>
        <v>2.19195595558708</v>
      </c>
      <c r="BV15" s="28">
        <f t="shared" si="18"/>
        <v>2.04649079364124</v>
      </c>
      <c r="BW15" s="28">
        <f t="shared" si="18"/>
        <v>1.96319902729316</v>
      </c>
      <c r="BX15" s="28">
        <f t="shared" si="18"/>
        <v>1.95084399982049</v>
      </c>
      <c r="BY15" s="28">
        <f t="shared" si="18"/>
        <v>1.97636784556127</v>
      </c>
      <c r="BZ15" s="28">
        <f t="shared" si="18"/>
        <v>1.90957789180648</v>
      </c>
      <c r="CA15" s="28">
        <f t="shared" si="18"/>
        <v>2.014240054308</v>
      </c>
      <c r="CB15" s="28">
        <f t="shared" si="18"/>
        <v>2.18851096025034</v>
      </c>
      <c r="CC15" s="28">
        <f t="shared" si="18"/>
        <v>2.01481545377723</v>
      </c>
      <c r="CD15" s="28">
        <f t="shared" si="18"/>
        <v>2.01507197110498</v>
      </c>
      <c r="CE15" s="28">
        <f t="shared" si="18"/>
        <v>2.10228769712846</v>
      </c>
      <c r="CF15" s="28">
        <f t="shared" si="18"/>
        <v>1.95987180519575</v>
      </c>
      <c r="CG15" s="28">
        <f t="shared" si="18"/>
        <v>1.83789337820959</v>
      </c>
      <c r="CH15" s="28">
        <f t="shared" si="18"/>
        <v>2.0876063829542</v>
      </c>
      <c r="CI15" s="28">
        <f t="shared" si="18"/>
        <v>1.9372175379547</v>
      </c>
      <c r="CJ15" s="28">
        <f t="shared" si="18"/>
        <v>1.80026180601277</v>
      </c>
      <c r="CK15" s="28">
        <f t="shared" si="18"/>
        <v>1.99232448030067</v>
      </c>
      <c r="CL15" s="28">
        <f t="shared" si="18"/>
        <v>1.88040423969614</v>
      </c>
      <c r="CM15" s="28">
        <f t="shared" si="18"/>
        <v>1.91154890379362</v>
      </c>
      <c r="CN15" s="28">
        <f t="shared" si="18"/>
        <v>1.71876623769538</v>
      </c>
      <c r="CO15" s="28">
        <f t="shared" si="18"/>
        <v>1.65088021560205</v>
      </c>
      <c r="CP15" s="28">
        <f t="shared" si="18"/>
        <v>1.63102124672998</v>
      </c>
      <c r="CQ15" s="28">
        <f t="shared" si="18"/>
        <v>1.48600342095977</v>
      </c>
      <c r="CR15" s="28">
        <f t="shared" si="18"/>
        <v>1.81949699755049</v>
      </c>
      <c r="CS15" s="28">
        <f t="shared" si="18"/>
        <v>1.70219720470038</v>
      </c>
      <c r="CT15" s="28">
        <f t="shared" si="18"/>
        <v>1.77986346600357</v>
      </c>
      <c r="CU15" s="28">
        <f t="shared" si="18"/>
        <v>1.90330736699924</v>
      </c>
      <c r="CV15" s="28">
        <f t="shared" si="18"/>
        <v>1.85605930836784</v>
      </c>
      <c r="CW15" s="28">
        <f t="shared" si="18"/>
        <v>1.97146445619924</v>
      </c>
      <c r="CX15" s="28">
        <f t="shared" si="18"/>
        <v>1.84603695759819</v>
      </c>
      <c r="CY15" s="28">
        <f t="shared" si="18"/>
        <v>1.90988606666756</v>
      </c>
      <c r="DD15" s="38">
        <f t="shared" ref="DD15" si="19">AVERAGE(B15:CZ15)</f>
        <v>1.92670670418436</v>
      </c>
      <c r="DE15" s="38">
        <f t="shared" ref="DE15" si="20">MAX(B15:CZ15)</f>
        <v>2.32714621840136</v>
      </c>
      <c r="DF15" s="38">
        <f t="shared" ref="DF15" si="21">MIN(B15:CZ15)</f>
        <v>1.48600342095977</v>
      </c>
    </row>
    <row r="16" s="15" customFormat="1" spans="1:110">
      <c r="A16" s="29" t="s">
        <v>177</v>
      </c>
      <c r="B16" s="27">
        <f>B5/B6</f>
        <v>1.44328097731239</v>
      </c>
      <c r="C16" s="27">
        <f t="shared" ref="C16:BN16" si="22">C5/C6</f>
        <v>1.48148148148148</v>
      </c>
      <c r="D16" s="27">
        <f t="shared" si="22"/>
        <v>1.45283018867925</v>
      </c>
      <c r="E16" s="27">
        <f t="shared" si="22"/>
        <v>1.37383177570093</v>
      </c>
      <c r="F16" s="27">
        <f t="shared" si="22"/>
        <v>1.29906542056075</v>
      </c>
      <c r="G16" s="27">
        <f t="shared" si="22"/>
        <v>1.3495145631068</v>
      </c>
      <c r="H16" s="27">
        <f t="shared" si="22"/>
        <v>1.38350515463918</v>
      </c>
      <c r="I16" s="27">
        <f t="shared" si="22"/>
        <v>1.40421052631579</v>
      </c>
      <c r="J16" s="27">
        <f t="shared" si="22"/>
        <v>1.36875</v>
      </c>
      <c r="K16" s="27">
        <f t="shared" si="22"/>
        <v>1.32727272727273</v>
      </c>
      <c r="L16" s="27">
        <f t="shared" si="22"/>
        <v>1.34059405940594</v>
      </c>
      <c r="M16" s="27">
        <f t="shared" si="22"/>
        <v>1.32745098039216</v>
      </c>
      <c r="N16" s="27">
        <f t="shared" si="22"/>
        <v>1.32745098039216</v>
      </c>
      <c r="O16" s="27">
        <f t="shared" si="22"/>
        <v>1.354</v>
      </c>
      <c r="P16" s="27">
        <f t="shared" si="22"/>
        <v>1.36595744680851</v>
      </c>
      <c r="Q16" s="27">
        <f t="shared" si="22"/>
        <v>1.40689655172414</v>
      </c>
      <c r="R16" s="27">
        <f t="shared" si="22"/>
        <v>1.47469879518072</v>
      </c>
      <c r="S16" s="27">
        <f t="shared" si="22"/>
        <v>1.47469879518072</v>
      </c>
      <c r="T16" s="27">
        <f t="shared" si="22"/>
        <v>1.40975609756098</v>
      </c>
      <c r="U16" s="27">
        <f t="shared" si="22"/>
        <v>1.3609756097561</v>
      </c>
      <c r="V16" s="27">
        <f t="shared" si="22"/>
        <v>1.4126582278481</v>
      </c>
      <c r="W16" s="27">
        <f t="shared" si="22"/>
        <v>1.39276485788114</v>
      </c>
      <c r="X16" s="27">
        <f t="shared" si="22"/>
        <v>1.3972972972973</v>
      </c>
      <c r="Y16" s="27">
        <f t="shared" si="22"/>
        <v>1.3972972972973</v>
      </c>
      <c r="Z16" s="27">
        <f t="shared" si="22"/>
        <v>1.4027027027027</v>
      </c>
      <c r="AA16" s="27">
        <f t="shared" si="22"/>
        <v>1.36578947368421</v>
      </c>
      <c r="AB16" s="27">
        <f t="shared" si="22"/>
        <v>1.33076923076923</v>
      </c>
      <c r="AC16" s="27">
        <f t="shared" si="22"/>
        <v>1.30512820512821</v>
      </c>
      <c r="AD16" s="27">
        <f t="shared" si="22"/>
        <v>1.35641025641026</v>
      </c>
      <c r="AE16" s="27">
        <f t="shared" si="22"/>
        <v>1.3475</v>
      </c>
      <c r="AF16" s="27">
        <f t="shared" si="22"/>
        <v>1.21123595505618</v>
      </c>
      <c r="AG16" s="27">
        <f t="shared" si="22"/>
        <v>1.04848484848485</v>
      </c>
      <c r="AH16" s="27">
        <f t="shared" si="22"/>
        <v>1.16637168141593</v>
      </c>
      <c r="AI16" s="27">
        <f t="shared" si="22"/>
        <v>1.17142857142857</v>
      </c>
      <c r="AJ16" s="27">
        <f t="shared" si="22"/>
        <v>1.15922619047619</v>
      </c>
      <c r="AK16" s="27">
        <f t="shared" si="22"/>
        <v>1.25039123630673</v>
      </c>
      <c r="AL16" s="27">
        <f t="shared" si="22"/>
        <v>1.30130293159609</v>
      </c>
      <c r="AM16" s="27">
        <f t="shared" si="22"/>
        <v>1.32066115702479</v>
      </c>
      <c r="AN16" s="27">
        <f t="shared" si="22"/>
        <v>1.23112480739599</v>
      </c>
      <c r="AO16" s="27">
        <f t="shared" si="22"/>
        <v>1.28813559322034</v>
      </c>
      <c r="AP16" s="27">
        <f t="shared" si="22"/>
        <v>1.47964601769912</v>
      </c>
      <c r="AQ16" s="27">
        <f t="shared" si="22"/>
        <v>1.38632478632479</v>
      </c>
      <c r="AR16" s="27">
        <f t="shared" si="22"/>
        <v>1.27751937984496</v>
      </c>
      <c r="AS16" s="27">
        <f t="shared" si="22"/>
        <v>1.45079365079365</v>
      </c>
      <c r="AT16" s="27">
        <f t="shared" si="22"/>
        <v>1.51703703703704</v>
      </c>
      <c r="AU16" s="27">
        <f t="shared" si="22"/>
        <v>1.42222222222222</v>
      </c>
      <c r="AV16" s="27">
        <f t="shared" si="22"/>
        <v>1.44296296296296</v>
      </c>
      <c r="AW16" s="27">
        <f t="shared" si="22"/>
        <v>1.33900709219858</v>
      </c>
      <c r="AX16" s="27">
        <f t="shared" si="22"/>
        <v>1.28533333333333</v>
      </c>
      <c r="AY16" s="27">
        <f t="shared" si="22"/>
        <v>1.34794520547945</v>
      </c>
      <c r="AZ16" s="27">
        <f t="shared" si="22"/>
        <v>1.53990610328638</v>
      </c>
      <c r="BA16" s="27">
        <f t="shared" si="22"/>
        <v>1.67361111111111</v>
      </c>
      <c r="BB16" s="27">
        <f t="shared" si="22"/>
        <v>1.40832049306626</v>
      </c>
      <c r="BC16" s="27">
        <f t="shared" si="22"/>
        <v>1.32412790697674</v>
      </c>
      <c r="BD16" s="27">
        <f t="shared" si="22"/>
        <v>1.43690851735016</v>
      </c>
      <c r="BE16" s="27">
        <f t="shared" si="22"/>
        <v>1.45557350565428</v>
      </c>
      <c r="BF16" s="27">
        <f t="shared" si="22"/>
        <v>1.40659340659341</v>
      </c>
      <c r="BG16" s="27">
        <f t="shared" si="22"/>
        <v>1.47799696509863</v>
      </c>
      <c r="BH16" s="27">
        <f t="shared" si="22"/>
        <v>1.54603174603175</v>
      </c>
      <c r="BI16" s="27">
        <f t="shared" si="22"/>
        <v>1.59834710743802</v>
      </c>
      <c r="BJ16" s="27">
        <f t="shared" si="22"/>
        <v>1.54637436762226</v>
      </c>
      <c r="BK16" s="27">
        <f t="shared" si="22"/>
        <v>1.51320132013201</v>
      </c>
      <c r="BL16" s="27">
        <f t="shared" si="22"/>
        <v>1.445872</v>
      </c>
      <c r="BM16" s="27">
        <f t="shared" si="22"/>
        <v>1.42903225806452</v>
      </c>
      <c r="BN16" s="27">
        <f t="shared" si="22"/>
        <v>1.44554455445545</v>
      </c>
      <c r="BO16" s="27">
        <f t="shared" ref="BO16:CY16" si="23">BO5/BO6</f>
        <v>1.44333333333333</v>
      </c>
      <c r="BP16" s="27">
        <f t="shared" si="23"/>
        <v>1.41483979763912</v>
      </c>
      <c r="BQ16" s="27">
        <f t="shared" si="23"/>
        <v>1.37419520547945</v>
      </c>
      <c r="BR16" s="27">
        <f t="shared" si="23"/>
        <v>1.36950511945392</v>
      </c>
      <c r="BS16" s="27">
        <f t="shared" si="23"/>
        <v>1.40057591623037</v>
      </c>
      <c r="BT16" s="27">
        <f t="shared" si="23"/>
        <v>1.36327898550725</v>
      </c>
      <c r="BU16" s="27">
        <f t="shared" si="23"/>
        <v>1.35830324909747</v>
      </c>
      <c r="BV16" s="27">
        <f t="shared" si="23"/>
        <v>1.33884899464604</v>
      </c>
      <c r="BW16" s="27">
        <f t="shared" si="23"/>
        <v>1.31510395820636</v>
      </c>
      <c r="BX16" s="27">
        <f t="shared" si="23"/>
        <v>1.36736700938757</v>
      </c>
      <c r="BY16" s="27">
        <f t="shared" si="23"/>
        <v>1.43879094623656</v>
      </c>
      <c r="BZ16" s="27">
        <f t="shared" si="23"/>
        <v>1.38803962611276</v>
      </c>
      <c r="CA16" s="27">
        <f t="shared" si="23"/>
        <v>1.31498783473558</v>
      </c>
      <c r="CB16" s="27">
        <f t="shared" si="23"/>
        <v>1.27416865908307</v>
      </c>
      <c r="CC16" s="27">
        <f t="shared" si="23"/>
        <v>1.25585393577163</v>
      </c>
      <c r="CD16" s="27">
        <f t="shared" si="23"/>
        <v>1.19115734720416</v>
      </c>
      <c r="CE16" s="27">
        <f t="shared" si="23"/>
        <v>1.19964354969072</v>
      </c>
      <c r="CF16" s="27">
        <f t="shared" si="23"/>
        <v>1.26531372355087</v>
      </c>
      <c r="CG16" s="27">
        <f t="shared" si="23"/>
        <v>1.33080940801187</v>
      </c>
      <c r="CH16" s="27">
        <f t="shared" si="23"/>
        <v>1.11499060728291</v>
      </c>
      <c r="CI16" s="27">
        <f t="shared" si="23"/>
        <v>1.50793426326427</v>
      </c>
      <c r="CJ16" s="27">
        <f t="shared" si="23"/>
        <v>1.36579132935086</v>
      </c>
      <c r="CK16" s="27">
        <f t="shared" si="23"/>
        <v>1.13588960870726</v>
      </c>
      <c r="CL16" s="27">
        <f t="shared" si="23"/>
        <v>1.37742579188175</v>
      </c>
      <c r="CM16" s="27">
        <f t="shared" si="23"/>
        <v>1.1904103251127</v>
      </c>
      <c r="CN16" s="27">
        <f t="shared" si="23"/>
        <v>1.21602525026069</v>
      </c>
      <c r="CO16" s="27">
        <f t="shared" si="23"/>
        <v>1.49187403502825</v>
      </c>
      <c r="CP16" s="27">
        <f t="shared" si="23"/>
        <v>1.40484007877665</v>
      </c>
      <c r="CQ16" s="27">
        <f t="shared" si="23"/>
        <v>1.66251857903494</v>
      </c>
      <c r="CR16" s="27">
        <f t="shared" si="23"/>
        <v>2.40028232657201</v>
      </c>
      <c r="CS16" s="27">
        <f t="shared" si="23"/>
        <v>1.65192483213429</v>
      </c>
      <c r="CT16" s="27">
        <f t="shared" si="23"/>
        <v>1.72473030366492</v>
      </c>
      <c r="CU16" s="27">
        <f t="shared" si="23"/>
        <v>1.81633462234043</v>
      </c>
      <c r="CV16" s="27">
        <f t="shared" si="23"/>
        <v>1.70160728333333</v>
      </c>
      <c r="CW16" s="27">
        <f t="shared" si="23"/>
        <v>1.81325802777778</v>
      </c>
      <c r="CX16" s="27">
        <f t="shared" si="23"/>
        <v>1.74899732888889</v>
      </c>
      <c r="CY16" s="27">
        <f t="shared" si="23"/>
        <v>1.72709636444444</v>
      </c>
      <c r="DD16" s="37">
        <f t="shared" si="3"/>
        <v>1.40426650255791</v>
      </c>
      <c r="DE16" s="37">
        <f t="shared" si="4"/>
        <v>2.40028232657201</v>
      </c>
      <c r="DF16" s="37">
        <f t="shared" si="5"/>
        <v>1.04848484848485</v>
      </c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V407"/>
  <sheetViews>
    <sheetView workbookViewId="0">
      <selection activeCell="L100" sqref="L100"/>
    </sheetView>
  </sheetViews>
  <sheetFormatPr defaultColWidth="9" defaultRowHeight="14.25"/>
  <sheetData>
    <row r="1" spans="3:22"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180</v>
      </c>
      <c r="H1" s="1" t="s">
        <v>182</v>
      </c>
      <c r="I1" s="1" t="s">
        <v>180</v>
      </c>
      <c r="J1" s="8"/>
      <c r="K1" s="8"/>
      <c r="L1" s="8"/>
      <c r="M1" s="9" t="s">
        <v>178</v>
      </c>
      <c r="N1" s="9" t="s">
        <v>179</v>
      </c>
      <c r="O1" s="9" t="s">
        <v>180</v>
      </c>
      <c r="P1" s="9" t="s">
        <v>181</v>
      </c>
      <c r="Q1" s="9" t="s">
        <v>180</v>
      </c>
      <c r="R1" s="9" t="s">
        <v>182</v>
      </c>
      <c r="S1" s="9" t="s">
        <v>180</v>
      </c>
      <c r="T1" s="8"/>
      <c r="U1" s="8"/>
      <c r="V1" s="8"/>
    </row>
    <row r="2" ht="15" spans="3:22">
      <c r="C2" s="2">
        <v>44750</v>
      </c>
      <c r="D2" s="3">
        <v>786</v>
      </c>
      <c r="E2" s="3">
        <v>0</v>
      </c>
      <c r="F2" s="3">
        <v>715</v>
      </c>
      <c r="G2" s="3">
        <v>0</v>
      </c>
      <c r="H2" s="3">
        <v>635</v>
      </c>
      <c r="I2" s="3">
        <v>0</v>
      </c>
      <c r="J2" s="3"/>
      <c r="K2" s="3" t="s">
        <v>183</v>
      </c>
      <c r="L2" s="3">
        <f>AVERAGE(N2:N4)</f>
        <v>900</v>
      </c>
      <c r="M2" s="2">
        <v>44750</v>
      </c>
      <c r="N2" s="3">
        <v>900</v>
      </c>
      <c r="O2" s="3">
        <v>0</v>
      </c>
      <c r="P2" s="3">
        <v>818</v>
      </c>
      <c r="Q2" s="3">
        <v>0</v>
      </c>
      <c r="R2" s="3">
        <v>702</v>
      </c>
      <c r="S2" s="3">
        <v>0</v>
      </c>
      <c r="T2" s="3"/>
      <c r="U2" s="3"/>
      <c r="V2" s="3"/>
    </row>
    <row r="3" ht="15" spans="3:22">
      <c r="C3" s="4">
        <v>44743</v>
      </c>
      <c r="D3" s="5">
        <v>786</v>
      </c>
      <c r="E3" s="5">
        <v>0</v>
      </c>
      <c r="F3" s="5">
        <v>715</v>
      </c>
      <c r="G3" s="5">
        <v>0</v>
      </c>
      <c r="H3" s="5">
        <v>635</v>
      </c>
      <c r="I3" s="5">
        <v>0</v>
      </c>
      <c r="J3" s="5"/>
      <c r="K3" s="5"/>
      <c r="L3" s="5"/>
      <c r="M3" s="4">
        <v>44743</v>
      </c>
      <c r="N3" s="5">
        <v>900</v>
      </c>
      <c r="O3" s="5">
        <v>0</v>
      </c>
      <c r="P3" s="5">
        <v>818</v>
      </c>
      <c r="Q3" s="5">
        <v>0</v>
      </c>
      <c r="R3" s="5">
        <v>702</v>
      </c>
      <c r="S3" s="5">
        <v>0</v>
      </c>
      <c r="T3" s="5"/>
      <c r="U3" s="5"/>
      <c r="V3" s="5"/>
    </row>
    <row r="4" ht="15" spans="3:22">
      <c r="C4" s="2">
        <v>44736</v>
      </c>
      <c r="D4" s="3">
        <v>786</v>
      </c>
      <c r="E4" s="3">
        <v>0</v>
      </c>
      <c r="F4" s="3">
        <v>715</v>
      </c>
      <c r="G4" s="3">
        <v>0</v>
      </c>
      <c r="H4" s="3">
        <v>635</v>
      </c>
      <c r="I4" s="3">
        <v>0</v>
      </c>
      <c r="J4" s="3"/>
      <c r="K4" s="3"/>
      <c r="L4" s="3">
        <f>AVERAGE(N4:N6)</f>
        <v>900</v>
      </c>
      <c r="M4" s="2">
        <v>44736</v>
      </c>
      <c r="N4" s="3">
        <v>900</v>
      </c>
      <c r="O4" s="3">
        <v>0</v>
      </c>
      <c r="P4" s="3">
        <v>818</v>
      </c>
      <c r="Q4" s="3">
        <v>0</v>
      </c>
      <c r="R4" s="3">
        <v>702</v>
      </c>
      <c r="S4" s="3">
        <v>0</v>
      </c>
      <c r="T4" s="3"/>
      <c r="U4" s="3"/>
      <c r="V4" s="3"/>
    </row>
    <row r="5" ht="15" spans="3:22">
      <c r="C5" s="4">
        <v>44729</v>
      </c>
      <c r="D5" s="5">
        <v>786</v>
      </c>
      <c r="E5" s="5">
        <v>0</v>
      </c>
      <c r="F5" s="5">
        <v>715</v>
      </c>
      <c r="G5" s="5">
        <v>0</v>
      </c>
      <c r="H5" s="5">
        <v>635</v>
      </c>
      <c r="I5" s="5">
        <v>0</v>
      </c>
      <c r="J5" s="5"/>
      <c r="K5" s="5"/>
      <c r="L5" s="5"/>
      <c r="M5" s="4">
        <v>44729</v>
      </c>
      <c r="N5" s="5">
        <v>900</v>
      </c>
      <c r="O5" s="5">
        <v>0</v>
      </c>
      <c r="P5" s="5">
        <v>818</v>
      </c>
      <c r="Q5" s="5">
        <v>0</v>
      </c>
      <c r="R5" s="5">
        <v>702</v>
      </c>
      <c r="S5" s="5">
        <v>0</v>
      </c>
      <c r="T5" s="5"/>
      <c r="U5" s="5"/>
      <c r="V5" s="5"/>
    </row>
    <row r="6" ht="15" spans="3:22">
      <c r="C6" s="2">
        <v>44722</v>
      </c>
      <c r="D6" s="3">
        <v>786</v>
      </c>
      <c r="E6" s="3">
        <v>0</v>
      </c>
      <c r="F6" s="3">
        <v>715</v>
      </c>
      <c r="G6" s="3">
        <v>0</v>
      </c>
      <c r="H6" s="3">
        <v>635</v>
      </c>
      <c r="I6" s="3">
        <v>0</v>
      </c>
      <c r="J6" s="3"/>
      <c r="K6" s="3"/>
      <c r="L6" s="3"/>
      <c r="M6" s="2">
        <v>44722</v>
      </c>
      <c r="N6" s="3">
        <v>900</v>
      </c>
      <c r="O6" s="3">
        <v>0</v>
      </c>
      <c r="P6" s="3">
        <v>818</v>
      </c>
      <c r="Q6" s="3">
        <v>0</v>
      </c>
      <c r="R6" s="3">
        <v>702</v>
      </c>
      <c r="S6" s="3">
        <v>0</v>
      </c>
      <c r="T6" s="3"/>
      <c r="U6" s="3"/>
      <c r="V6" s="3"/>
    </row>
    <row r="7" ht="15" spans="3:22">
      <c r="C7" s="4">
        <v>44708</v>
      </c>
      <c r="D7" s="5">
        <v>786</v>
      </c>
      <c r="E7" s="5">
        <v>0</v>
      </c>
      <c r="F7" s="5">
        <v>715</v>
      </c>
      <c r="G7" s="5">
        <v>0</v>
      </c>
      <c r="H7" s="5">
        <v>635</v>
      </c>
      <c r="I7" s="5">
        <v>0</v>
      </c>
      <c r="J7" s="5"/>
      <c r="K7" s="5"/>
      <c r="L7" s="3">
        <f>AVERAGE(N7:N10)</f>
        <v>900</v>
      </c>
      <c r="M7" s="4">
        <v>44708</v>
      </c>
      <c r="N7" s="5">
        <v>900</v>
      </c>
      <c r="O7" s="5">
        <v>0</v>
      </c>
      <c r="P7" s="5">
        <v>818</v>
      </c>
      <c r="Q7" s="5">
        <v>0</v>
      </c>
      <c r="R7" s="5">
        <v>702</v>
      </c>
      <c r="S7" s="5">
        <v>0</v>
      </c>
      <c r="T7" s="5"/>
      <c r="U7" s="5"/>
      <c r="V7" s="5"/>
    </row>
    <row r="8" ht="15" spans="3:22">
      <c r="C8" s="2">
        <v>44701</v>
      </c>
      <c r="D8" s="3">
        <v>786</v>
      </c>
      <c r="E8" s="3">
        <v>0</v>
      </c>
      <c r="F8" s="3">
        <v>715</v>
      </c>
      <c r="G8" s="3">
        <v>0</v>
      </c>
      <c r="H8" s="3">
        <v>635</v>
      </c>
      <c r="I8" s="3">
        <v>0</v>
      </c>
      <c r="J8" s="3"/>
      <c r="K8" s="3"/>
      <c r="L8" s="3"/>
      <c r="M8" s="2">
        <v>44701</v>
      </c>
      <c r="N8" s="3">
        <v>900</v>
      </c>
      <c r="O8" s="3">
        <v>0</v>
      </c>
      <c r="P8" s="3">
        <v>818</v>
      </c>
      <c r="Q8" s="3">
        <v>0</v>
      </c>
      <c r="R8" s="3">
        <v>702</v>
      </c>
      <c r="S8" s="3">
        <v>0</v>
      </c>
      <c r="T8" s="3"/>
      <c r="U8" s="3"/>
      <c r="V8" s="3"/>
    </row>
    <row r="9" ht="15" spans="3:22">
      <c r="C9" s="4">
        <v>44694</v>
      </c>
      <c r="D9" s="5">
        <v>786</v>
      </c>
      <c r="E9" s="5">
        <v>0</v>
      </c>
      <c r="F9" s="5">
        <v>715</v>
      </c>
      <c r="G9" s="5">
        <v>0</v>
      </c>
      <c r="H9" s="5">
        <v>635</v>
      </c>
      <c r="I9" s="5">
        <v>0</v>
      </c>
      <c r="J9" s="5"/>
      <c r="K9" s="5"/>
      <c r="L9" s="5"/>
      <c r="M9" s="4">
        <v>44694</v>
      </c>
      <c r="N9" s="5">
        <v>900</v>
      </c>
      <c r="O9" s="5">
        <v>0</v>
      </c>
      <c r="P9" s="5">
        <v>818</v>
      </c>
      <c r="Q9" s="5">
        <v>0</v>
      </c>
      <c r="R9" s="5">
        <v>702</v>
      </c>
      <c r="S9" s="5">
        <v>0</v>
      </c>
      <c r="T9" s="5"/>
      <c r="U9" s="5"/>
      <c r="V9" s="5"/>
    </row>
    <row r="10" ht="15" spans="3:22">
      <c r="C10" s="2">
        <v>44687</v>
      </c>
      <c r="D10" s="3">
        <v>786</v>
      </c>
      <c r="E10" s="3">
        <v>0</v>
      </c>
      <c r="F10" s="3">
        <v>715</v>
      </c>
      <c r="G10" s="3">
        <v>0</v>
      </c>
      <c r="H10" s="3">
        <v>635</v>
      </c>
      <c r="I10" s="3">
        <v>0</v>
      </c>
      <c r="J10" s="3"/>
      <c r="K10" s="3"/>
      <c r="L10" s="3"/>
      <c r="M10" s="2">
        <v>44687</v>
      </c>
      <c r="N10" s="3">
        <v>900</v>
      </c>
      <c r="O10" s="3">
        <v>0</v>
      </c>
      <c r="P10" s="3">
        <v>818</v>
      </c>
      <c r="Q10" s="3">
        <v>0</v>
      </c>
      <c r="R10" s="3">
        <v>702</v>
      </c>
      <c r="S10" s="3">
        <v>0</v>
      </c>
      <c r="T10" s="3"/>
      <c r="U10" s="3"/>
      <c r="V10" s="3"/>
    </row>
    <row r="11" ht="15" spans="3:22">
      <c r="C11" s="4">
        <v>44680</v>
      </c>
      <c r="D11" s="5">
        <v>786</v>
      </c>
      <c r="E11" s="5">
        <v>0</v>
      </c>
      <c r="F11" s="5">
        <v>715</v>
      </c>
      <c r="G11" s="5">
        <v>0</v>
      </c>
      <c r="H11" s="5">
        <v>635</v>
      </c>
      <c r="I11" s="5">
        <v>0</v>
      </c>
      <c r="J11" s="5"/>
      <c r="K11" s="5"/>
      <c r="L11" s="3">
        <f>AVERAGE(N11:N14)</f>
        <v>900</v>
      </c>
      <c r="M11" s="4">
        <v>44680</v>
      </c>
      <c r="N11" s="5">
        <v>900</v>
      </c>
      <c r="O11" s="5">
        <v>0</v>
      </c>
      <c r="P11" s="5">
        <v>818</v>
      </c>
      <c r="Q11" s="5">
        <v>0</v>
      </c>
      <c r="R11" s="5">
        <v>702</v>
      </c>
      <c r="S11" s="5">
        <v>0</v>
      </c>
      <c r="T11" s="5"/>
      <c r="U11" s="5"/>
      <c r="V11" s="5"/>
    </row>
    <row r="12" ht="15" spans="3:22">
      <c r="C12" s="2">
        <v>44673</v>
      </c>
      <c r="D12" s="3">
        <v>786</v>
      </c>
      <c r="E12" s="3">
        <v>0</v>
      </c>
      <c r="F12" s="3">
        <v>715</v>
      </c>
      <c r="G12" s="3">
        <v>0</v>
      </c>
      <c r="H12" s="3">
        <v>635</v>
      </c>
      <c r="I12" s="3">
        <v>0</v>
      </c>
      <c r="J12" s="3"/>
      <c r="K12" s="3"/>
      <c r="L12" s="3"/>
      <c r="M12" s="2">
        <v>44673</v>
      </c>
      <c r="N12" s="3">
        <v>900</v>
      </c>
      <c r="O12" s="3">
        <v>0</v>
      </c>
      <c r="P12" s="3">
        <v>818</v>
      </c>
      <c r="Q12" s="3">
        <v>0</v>
      </c>
      <c r="R12" s="3">
        <v>702</v>
      </c>
      <c r="S12" s="3">
        <v>0</v>
      </c>
      <c r="T12" s="3"/>
      <c r="U12" s="3"/>
      <c r="V12" s="3"/>
    </row>
    <row r="13" ht="15" spans="3:22">
      <c r="C13" s="4">
        <v>44666</v>
      </c>
      <c r="D13" s="5">
        <v>786</v>
      </c>
      <c r="E13" s="5">
        <v>0</v>
      </c>
      <c r="F13" s="5">
        <v>715</v>
      </c>
      <c r="G13" s="5">
        <v>0</v>
      </c>
      <c r="H13" s="5">
        <v>635</v>
      </c>
      <c r="I13" s="5">
        <v>0</v>
      </c>
      <c r="J13" s="5"/>
      <c r="K13" s="5"/>
      <c r="L13" s="5"/>
      <c r="M13" s="4">
        <v>44666</v>
      </c>
      <c r="N13" s="5">
        <v>900</v>
      </c>
      <c r="O13" s="5">
        <v>0</v>
      </c>
      <c r="P13" s="5">
        <v>818</v>
      </c>
      <c r="Q13" s="5">
        <v>0</v>
      </c>
      <c r="R13" s="5">
        <v>702</v>
      </c>
      <c r="S13" s="5">
        <v>0</v>
      </c>
      <c r="T13" s="5"/>
      <c r="U13" s="5"/>
      <c r="V13" s="5"/>
    </row>
    <row r="14" ht="15" spans="3:22">
      <c r="C14" s="2">
        <v>44659</v>
      </c>
      <c r="D14" s="3">
        <v>786</v>
      </c>
      <c r="E14" s="3">
        <v>0</v>
      </c>
      <c r="F14" s="3">
        <v>715</v>
      </c>
      <c r="G14" s="3">
        <v>0</v>
      </c>
      <c r="H14" s="3">
        <v>635</v>
      </c>
      <c r="I14" s="3">
        <v>0</v>
      </c>
      <c r="J14" s="3"/>
      <c r="K14" s="3"/>
      <c r="L14" s="3"/>
      <c r="M14" s="2">
        <v>44659</v>
      </c>
      <c r="N14" s="3">
        <v>900</v>
      </c>
      <c r="O14" s="3">
        <v>0</v>
      </c>
      <c r="P14" s="3">
        <v>818</v>
      </c>
      <c r="Q14" s="3">
        <v>0</v>
      </c>
      <c r="R14" s="3">
        <v>702</v>
      </c>
      <c r="S14" s="3">
        <v>0</v>
      </c>
      <c r="T14" s="3"/>
      <c r="U14" s="3"/>
      <c r="V14" s="3"/>
    </row>
    <row r="15" ht="15" spans="3:22">
      <c r="C15" s="4">
        <v>44652</v>
      </c>
      <c r="D15" s="5">
        <v>786</v>
      </c>
      <c r="E15" s="5">
        <v>0</v>
      </c>
      <c r="F15" s="5">
        <v>715</v>
      </c>
      <c r="G15" s="5">
        <v>0</v>
      </c>
      <c r="H15" s="5">
        <v>635</v>
      </c>
      <c r="I15" s="5">
        <v>0</v>
      </c>
      <c r="J15" s="5"/>
      <c r="K15" s="5"/>
      <c r="L15" s="5"/>
      <c r="M15" s="4">
        <v>44652</v>
      </c>
      <c r="N15" s="5">
        <v>900</v>
      </c>
      <c r="O15" s="5">
        <v>0</v>
      </c>
      <c r="P15" s="5">
        <v>818</v>
      </c>
      <c r="Q15" s="5">
        <v>0</v>
      </c>
      <c r="R15" s="5">
        <v>702</v>
      </c>
      <c r="S15" s="5">
        <v>0</v>
      </c>
      <c r="T15" s="5"/>
      <c r="U15" s="5"/>
      <c r="V15" s="5"/>
    </row>
    <row r="16" ht="15" spans="3:22">
      <c r="C16" s="2">
        <v>44645</v>
      </c>
      <c r="D16" s="3">
        <v>786</v>
      </c>
      <c r="E16" s="3">
        <v>0</v>
      </c>
      <c r="F16" s="3">
        <v>715</v>
      </c>
      <c r="G16" s="3">
        <v>0</v>
      </c>
      <c r="H16" s="3">
        <v>635</v>
      </c>
      <c r="I16" s="3">
        <v>0</v>
      </c>
      <c r="J16" s="3"/>
      <c r="K16" s="3"/>
      <c r="L16" s="3">
        <f>AVERAGE(N16:N19)</f>
        <v>900</v>
      </c>
      <c r="M16" s="2">
        <v>44645</v>
      </c>
      <c r="N16" s="3">
        <v>900</v>
      </c>
      <c r="O16" s="3">
        <v>0</v>
      </c>
      <c r="P16" s="3">
        <v>818</v>
      </c>
      <c r="Q16" s="3">
        <v>0</v>
      </c>
      <c r="R16" s="3">
        <v>702</v>
      </c>
      <c r="S16" s="3">
        <v>0</v>
      </c>
      <c r="T16" s="3"/>
      <c r="U16" s="3"/>
      <c r="V16" s="3"/>
    </row>
    <row r="17" ht="15" spans="3:22">
      <c r="C17" s="4">
        <v>44638</v>
      </c>
      <c r="D17" s="5">
        <v>786</v>
      </c>
      <c r="E17" s="5">
        <v>0</v>
      </c>
      <c r="F17" s="5">
        <v>715</v>
      </c>
      <c r="G17" s="5">
        <v>0</v>
      </c>
      <c r="H17" s="5">
        <v>635</v>
      </c>
      <c r="I17" s="5">
        <v>0</v>
      </c>
      <c r="J17" s="5"/>
      <c r="K17" s="5"/>
      <c r="L17" s="5"/>
      <c r="M17" s="4">
        <v>44638</v>
      </c>
      <c r="N17" s="5">
        <v>900</v>
      </c>
      <c r="O17" s="5">
        <v>0</v>
      </c>
      <c r="P17" s="5">
        <v>818</v>
      </c>
      <c r="Q17" s="5">
        <v>0</v>
      </c>
      <c r="R17" s="5">
        <v>702</v>
      </c>
      <c r="S17" s="5">
        <v>0</v>
      </c>
      <c r="T17" s="5"/>
      <c r="U17" s="5"/>
      <c r="V17" s="5"/>
    </row>
    <row r="18" ht="15" spans="3:22">
      <c r="C18" s="2">
        <v>44631</v>
      </c>
      <c r="D18" s="3">
        <v>786</v>
      </c>
      <c r="E18" s="3">
        <v>0</v>
      </c>
      <c r="F18" s="3">
        <v>715</v>
      </c>
      <c r="G18" s="3">
        <v>0</v>
      </c>
      <c r="H18" s="3">
        <v>635</v>
      </c>
      <c r="I18" s="3">
        <v>0</v>
      </c>
      <c r="J18" s="3"/>
      <c r="K18" s="3"/>
      <c r="L18" s="3"/>
      <c r="M18" s="2">
        <v>44631</v>
      </c>
      <c r="N18" s="3">
        <v>900</v>
      </c>
      <c r="O18" s="3">
        <v>0</v>
      </c>
      <c r="P18" s="3">
        <v>818</v>
      </c>
      <c r="Q18" s="3">
        <v>0</v>
      </c>
      <c r="R18" s="3">
        <v>702</v>
      </c>
      <c r="S18" s="3">
        <v>0</v>
      </c>
      <c r="T18" s="3"/>
      <c r="U18" s="3"/>
      <c r="V18" s="3"/>
    </row>
    <row r="19" ht="15" spans="3:22">
      <c r="C19" s="4">
        <v>44624</v>
      </c>
      <c r="D19" s="5">
        <v>786</v>
      </c>
      <c r="E19" s="5">
        <v>0</v>
      </c>
      <c r="F19" s="5">
        <v>715</v>
      </c>
      <c r="G19" s="5">
        <v>0</v>
      </c>
      <c r="H19" s="5">
        <v>635</v>
      </c>
      <c r="I19" s="5">
        <v>0</v>
      </c>
      <c r="J19" s="5"/>
      <c r="K19" s="5"/>
      <c r="L19" s="5"/>
      <c r="M19" s="4">
        <v>44624</v>
      </c>
      <c r="N19" s="5">
        <v>900</v>
      </c>
      <c r="O19" s="5">
        <v>0</v>
      </c>
      <c r="P19" s="5">
        <v>818</v>
      </c>
      <c r="Q19" s="5">
        <v>0</v>
      </c>
      <c r="R19" s="5">
        <v>702</v>
      </c>
      <c r="S19" s="5">
        <v>0</v>
      </c>
      <c r="T19" s="5"/>
      <c r="U19" s="5"/>
      <c r="V19" s="5"/>
    </row>
    <row r="20" ht="15" spans="3:22">
      <c r="C20" s="2">
        <v>44617</v>
      </c>
      <c r="D20" s="3">
        <v>786</v>
      </c>
      <c r="E20" s="3">
        <v>0</v>
      </c>
      <c r="F20" s="3">
        <v>715</v>
      </c>
      <c r="G20" s="3">
        <v>0</v>
      </c>
      <c r="H20" s="3">
        <v>635</v>
      </c>
      <c r="I20" s="3">
        <v>0</v>
      </c>
      <c r="J20" s="3"/>
      <c r="K20" s="3"/>
      <c r="L20" s="3">
        <f>AVERAGE(N20:N22)</f>
        <v>940</v>
      </c>
      <c r="M20" s="2">
        <v>44617</v>
      </c>
      <c r="N20" s="3">
        <v>900</v>
      </c>
      <c r="O20" s="3">
        <v>0</v>
      </c>
      <c r="P20" s="3">
        <v>818</v>
      </c>
      <c r="Q20" s="3">
        <v>0</v>
      </c>
      <c r="R20" s="3">
        <v>702</v>
      </c>
      <c r="S20" s="3">
        <v>0</v>
      </c>
      <c r="T20" s="3"/>
      <c r="U20" s="3"/>
      <c r="V20" s="3"/>
    </row>
    <row r="21" ht="15" spans="3:22">
      <c r="C21" s="4">
        <v>44610</v>
      </c>
      <c r="D21" s="5">
        <v>786</v>
      </c>
      <c r="E21" s="5">
        <v>-13</v>
      </c>
      <c r="F21" s="5">
        <v>715</v>
      </c>
      <c r="G21" s="5">
        <v>-15</v>
      </c>
      <c r="H21" s="5">
        <v>635</v>
      </c>
      <c r="I21" s="5">
        <v>-13</v>
      </c>
      <c r="J21" s="5"/>
      <c r="K21" s="5"/>
      <c r="L21" s="5"/>
      <c r="M21" s="4">
        <v>44610</v>
      </c>
      <c r="N21" s="5">
        <v>900</v>
      </c>
      <c r="O21" s="5">
        <v>-120</v>
      </c>
      <c r="P21" s="5">
        <v>818</v>
      </c>
      <c r="Q21" s="5">
        <v>-149</v>
      </c>
      <c r="R21" s="5">
        <v>702</v>
      </c>
      <c r="S21" s="5">
        <v>-128</v>
      </c>
      <c r="T21" s="5"/>
      <c r="U21" s="5"/>
      <c r="V21" s="5"/>
    </row>
    <row r="22" ht="15" spans="3:22">
      <c r="C22" s="2">
        <v>44603</v>
      </c>
      <c r="D22" s="3">
        <v>799</v>
      </c>
      <c r="E22" s="3">
        <v>2</v>
      </c>
      <c r="F22" s="3">
        <v>730</v>
      </c>
      <c r="G22" s="3">
        <v>1</v>
      </c>
      <c r="H22" s="3">
        <v>648</v>
      </c>
      <c r="I22" s="3">
        <v>-1</v>
      </c>
      <c r="J22" s="3"/>
      <c r="K22" s="3"/>
      <c r="L22" s="3"/>
      <c r="M22" s="2">
        <v>44603</v>
      </c>
      <c r="N22" s="3">
        <v>1020</v>
      </c>
      <c r="O22" s="3">
        <v>19</v>
      </c>
      <c r="P22" s="3">
        <v>967</v>
      </c>
      <c r="Q22" s="3">
        <v>12</v>
      </c>
      <c r="R22" s="3">
        <v>830</v>
      </c>
      <c r="S22" s="3">
        <v>10</v>
      </c>
      <c r="T22" s="3"/>
      <c r="U22" s="3"/>
      <c r="V22" s="3"/>
    </row>
    <row r="23" ht="15" spans="3:22">
      <c r="C23" s="4">
        <v>44589</v>
      </c>
      <c r="D23" s="5">
        <v>797</v>
      </c>
      <c r="E23" s="5">
        <v>-5</v>
      </c>
      <c r="F23" s="5">
        <v>729</v>
      </c>
      <c r="G23" s="5">
        <v>-1</v>
      </c>
      <c r="H23" s="5">
        <v>649</v>
      </c>
      <c r="I23" s="5">
        <v>5</v>
      </c>
      <c r="J23" s="5"/>
      <c r="K23" s="5"/>
      <c r="L23" s="10">
        <f>AVERAGE(N23:N26)</f>
        <v>907.25</v>
      </c>
      <c r="M23" s="4">
        <v>44589</v>
      </c>
      <c r="N23" s="5">
        <v>1001</v>
      </c>
      <c r="O23" s="5">
        <v>70</v>
      </c>
      <c r="P23" s="5">
        <v>955</v>
      </c>
      <c r="Q23" s="5">
        <v>103</v>
      </c>
      <c r="R23" s="5">
        <v>820</v>
      </c>
      <c r="S23" s="5">
        <v>109</v>
      </c>
      <c r="T23" s="5"/>
      <c r="U23" s="5"/>
      <c r="V23" s="5"/>
    </row>
    <row r="24" ht="15" spans="3:22">
      <c r="C24" s="2">
        <v>44582</v>
      </c>
      <c r="D24" s="3">
        <v>802</v>
      </c>
      <c r="E24" s="3">
        <v>23</v>
      </c>
      <c r="F24" s="3">
        <v>730</v>
      </c>
      <c r="G24" s="3">
        <v>25</v>
      </c>
      <c r="H24" s="3">
        <v>644</v>
      </c>
      <c r="I24" s="3">
        <v>25</v>
      </c>
      <c r="J24" s="3"/>
      <c r="K24" s="3"/>
      <c r="L24" s="3">
        <f>N27</f>
        <v>834</v>
      </c>
      <c r="M24" s="2">
        <v>44582</v>
      </c>
      <c r="N24" s="3">
        <v>931</v>
      </c>
      <c r="O24" s="3">
        <v>39</v>
      </c>
      <c r="P24" s="3">
        <v>852</v>
      </c>
      <c r="Q24" s="3">
        <v>58</v>
      </c>
      <c r="R24" s="3">
        <v>711</v>
      </c>
      <c r="S24" s="3">
        <v>51</v>
      </c>
      <c r="T24" s="3"/>
      <c r="U24" s="3"/>
      <c r="V24" s="3"/>
    </row>
    <row r="25" ht="15" spans="3:22">
      <c r="C25" s="4">
        <v>44575</v>
      </c>
      <c r="D25" s="5">
        <v>779</v>
      </c>
      <c r="E25" s="5">
        <v>38</v>
      </c>
      <c r="F25" s="5">
        <v>705</v>
      </c>
      <c r="G25" s="5">
        <v>36</v>
      </c>
      <c r="H25" s="5">
        <v>619</v>
      </c>
      <c r="I25" s="5">
        <v>33</v>
      </c>
      <c r="J25" s="5"/>
      <c r="K25" s="5"/>
      <c r="L25" s="5">
        <f>D29</f>
        <v>986</v>
      </c>
      <c r="M25" s="4">
        <v>44575</v>
      </c>
      <c r="N25" s="5">
        <v>892</v>
      </c>
      <c r="O25" s="5">
        <v>87</v>
      </c>
      <c r="P25" s="5">
        <v>794</v>
      </c>
      <c r="Q25" s="5">
        <v>84</v>
      </c>
      <c r="R25" s="5">
        <v>660</v>
      </c>
      <c r="S25" s="5">
        <v>100</v>
      </c>
      <c r="T25" s="5"/>
      <c r="U25" s="5"/>
      <c r="V25" s="5"/>
    </row>
    <row r="26" ht="15" spans="3:22">
      <c r="C26" s="2">
        <v>44568</v>
      </c>
      <c r="D26" s="3">
        <v>741</v>
      </c>
      <c r="E26" s="3">
        <v>-32</v>
      </c>
      <c r="F26" s="3">
        <v>669</v>
      </c>
      <c r="G26" s="3">
        <v>-23</v>
      </c>
      <c r="H26" s="3">
        <v>586</v>
      </c>
      <c r="I26" s="3">
        <v>2</v>
      </c>
      <c r="J26" s="3"/>
      <c r="K26" s="3"/>
      <c r="L26" s="3">
        <f>D30</f>
        <v>1202</v>
      </c>
      <c r="M26" s="2">
        <v>44568</v>
      </c>
      <c r="N26" s="3">
        <v>805</v>
      </c>
      <c r="O26" s="3">
        <v>-29</v>
      </c>
      <c r="P26" s="3">
        <v>710</v>
      </c>
      <c r="Q26" s="3">
        <v>-18</v>
      </c>
      <c r="R26" s="3">
        <v>560</v>
      </c>
      <c r="S26" s="3">
        <v>3</v>
      </c>
      <c r="T26" s="3"/>
      <c r="U26" s="3"/>
      <c r="V26" s="3"/>
    </row>
    <row r="27" ht="15" spans="3:22">
      <c r="C27" s="4">
        <v>44561</v>
      </c>
      <c r="D27" s="5">
        <v>773</v>
      </c>
      <c r="E27" s="5">
        <v>-59</v>
      </c>
      <c r="F27" s="5">
        <v>692</v>
      </c>
      <c r="G27" s="5">
        <v>-51</v>
      </c>
      <c r="H27" s="5">
        <v>584</v>
      </c>
      <c r="I27" s="5">
        <v>-63</v>
      </c>
      <c r="J27" s="5"/>
      <c r="K27" s="5"/>
      <c r="L27" s="5">
        <f>D31</f>
        <v>1079</v>
      </c>
      <c r="M27" s="4">
        <v>44561</v>
      </c>
      <c r="N27" s="5">
        <v>834</v>
      </c>
      <c r="O27" s="5" t="s">
        <v>184</v>
      </c>
      <c r="P27" s="5">
        <v>728</v>
      </c>
      <c r="Q27" s="5" t="s">
        <v>184</v>
      </c>
      <c r="R27" s="5">
        <v>557</v>
      </c>
      <c r="S27" s="5" t="s">
        <v>184</v>
      </c>
      <c r="T27" s="5"/>
      <c r="U27" s="5"/>
      <c r="V27" s="5"/>
    </row>
    <row r="28" ht="15" spans="3:22">
      <c r="C28" s="2">
        <v>44554</v>
      </c>
      <c r="D28" s="3">
        <v>832</v>
      </c>
      <c r="E28" s="3" t="s">
        <v>184</v>
      </c>
      <c r="F28" s="3">
        <v>743</v>
      </c>
      <c r="G28" s="3" t="s">
        <v>184</v>
      </c>
      <c r="H28" s="3">
        <v>647</v>
      </c>
      <c r="I28" s="3" t="s">
        <v>184</v>
      </c>
      <c r="J28" s="3"/>
      <c r="K28" s="3"/>
      <c r="L28" s="3">
        <f>D32</f>
        <v>885</v>
      </c>
      <c r="M28" s="2">
        <v>44435</v>
      </c>
      <c r="N28" s="3" t="s">
        <v>184</v>
      </c>
      <c r="O28" s="3" t="s">
        <v>184</v>
      </c>
      <c r="P28" s="3" t="s">
        <v>184</v>
      </c>
      <c r="Q28" s="3" t="s">
        <v>184</v>
      </c>
      <c r="R28" s="3" t="s">
        <v>184</v>
      </c>
      <c r="S28" s="3" t="s">
        <v>184</v>
      </c>
      <c r="T28" s="3"/>
      <c r="U28" s="3"/>
      <c r="V28" s="3"/>
    </row>
    <row r="29" ht="15" spans="3:22">
      <c r="C29" s="4">
        <v>44526</v>
      </c>
      <c r="D29" s="5">
        <v>986</v>
      </c>
      <c r="E29" s="5" t="s">
        <v>184</v>
      </c>
      <c r="F29" s="5">
        <v>891</v>
      </c>
      <c r="G29" s="5" t="s">
        <v>184</v>
      </c>
      <c r="H29" s="5">
        <v>792</v>
      </c>
      <c r="I29" s="5" t="s">
        <v>184</v>
      </c>
      <c r="J29" s="5"/>
      <c r="K29" s="5"/>
      <c r="L29" s="3">
        <f>AVERAGE(N29:N31)</f>
        <v>959</v>
      </c>
      <c r="M29" s="4">
        <v>44400</v>
      </c>
      <c r="N29" s="5">
        <v>947</v>
      </c>
      <c r="O29" s="5">
        <v>0</v>
      </c>
      <c r="P29" s="5">
        <v>875</v>
      </c>
      <c r="Q29" s="5">
        <v>0</v>
      </c>
      <c r="R29" s="5">
        <v>770</v>
      </c>
      <c r="S29" s="5">
        <v>0</v>
      </c>
      <c r="T29" s="5"/>
      <c r="U29" s="5"/>
      <c r="V29" s="5"/>
    </row>
    <row r="30" ht="15" spans="3:22">
      <c r="C30" s="2">
        <v>44498</v>
      </c>
      <c r="D30" s="3">
        <v>1202</v>
      </c>
      <c r="E30" s="3" t="s">
        <v>184</v>
      </c>
      <c r="F30" s="3">
        <v>1096</v>
      </c>
      <c r="G30" s="3" t="s">
        <v>184</v>
      </c>
      <c r="H30" s="3">
        <v>961</v>
      </c>
      <c r="I30" s="3" t="s">
        <v>184</v>
      </c>
      <c r="J30" s="3"/>
      <c r="K30" s="3"/>
      <c r="L30" s="3"/>
      <c r="M30" s="2">
        <v>44393</v>
      </c>
      <c r="N30" s="3">
        <v>947</v>
      </c>
      <c r="O30" s="3">
        <v>-36</v>
      </c>
      <c r="P30" s="3">
        <v>875</v>
      </c>
      <c r="Q30" s="3">
        <v>-10</v>
      </c>
      <c r="R30" s="3">
        <v>770</v>
      </c>
      <c r="S30" s="3">
        <v>-7</v>
      </c>
      <c r="T30" s="3"/>
      <c r="U30" s="3"/>
      <c r="V30" s="3"/>
    </row>
    <row r="31" ht="15" spans="3:22">
      <c r="C31" s="6">
        <v>44463</v>
      </c>
      <c r="D31" s="7">
        <v>1079</v>
      </c>
      <c r="E31" s="7" t="s">
        <v>184</v>
      </c>
      <c r="F31" s="7">
        <v>980</v>
      </c>
      <c r="G31" s="7" t="s">
        <v>184</v>
      </c>
      <c r="H31" s="7">
        <v>857</v>
      </c>
      <c r="I31" s="7" t="s">
        <v>184</v>
      </c>
      <c r="J31" s="11"/>
      <c r="K31" s="11"/>
      <c r="L31" s="11"/>
      <c r="M31" s="6">
        <v>44379</v>
      </c>
      <c r="N31" s="7">
        <v>983</v>
      </c>
      <c r="O31" s="7">
        <v>-12</v>
      </c>
      <c r="P31" s="7">
        <v>885</v>
      </c>
      <c r="Q31" s="7">
        <v>-14</v>
      </c>
      <c r="R31" s="7">
        <v>777</v>
      </c>
      <c r="S31" s="7">
        <v>-14</v>
      </c>
      <c r="T31" s="11"/>
      <c r="U31" s="11"/>
      <c r="V31" s="11"/>
    </row>
    <row r="32" ht="15" spans="3:22">
      <c r="C32" s="2">
        <v>44435</v>
      </c>
      <c r="D32" s="3">
        <v>885</v>
      </c>
      <c r="E32" s="3">
        <v>40</v>
      </c>
      <c r="F32" s="3">
        <v>798</v>
      </c>
      <c r="G32" s="3">
        <v>25</v>
      </c>
      <c r="H32" s="3">
        <v>706</v>
      </c>
      <c r="I32" s="3">
        <v>20</v>
      </c>
      <c r="J32" s="3"/>
      <c r="K32" s="3"/>
      <c r="L32" s="3">
        <f>AVERAGE(N32:N35)</f>
        <v>942.75</v>
      </c>
      <c r="M32" s="2">
        <v>44372</v>
      </c>
      <c r="N32" s="3">
        <v>995</v>
      </c>
      <c r="O32" s="3">
        <v>45</v>
      </c>
      <c r="P32" s="3">
        <v>899</v>
      </c>
      <c r="Q32" s="3">
        <v>48</v>
      </c>
      <c r="R32" s="3">
        <v>791</v>
      </c>
      <c r="S32" s="3">
        <v>40</v>
      </c>
      <c r="T32" s="3"/>
      <c r="U32" s="3"/>
      <c r="V32" s="3"/>
    </row>
    <row r="33" ht="15" spans="3:22">
      <c r="C33" s="4">
        <v>44407</v>
      </c>
      <c r="D33" s="5">
        <v>845</v>
      </c>
      <c r="E33" s="5">
        <v>35</v>
      </c>
      <c r="F33" s="5">
        <v>773</v>
      </c>
      <c r="G33" s="5">
        <v>29</v>
      </c>
      <c r="H33" s="5">
        <v>686</v>
      </c>
      <c r="I33" s="5">
        <v>26</v>
      </c>
      <c r="J33" s="5"/>
      <c r="K33" s="5"/>
      <c r="L33" s="5"/>
      <c r="M33" s="4">
        <v>44365</v>
      </c>
      <c r="N33" s="5">
        <v>950</v>
      </c>
      <c r="O33" s="5">
        <v>28</v>
      </c>
      <c r="P33" s="5">
        <v>851</v>
      </c>
      <c r="Q33" s="5">
        <v>28</v>
      </c>
      <c r="R33" s="5">
        <v>751</v>
      </c>
      <c r="S33" s="5">
        <v>26</v>
      </c>
      <c r="T33" s="5"/>
      <c r="U33" s="5"/>
      <c r="V33" s="5"/>
    </row>
    <row r="34" ht="15" spans="3:22">
      <c r="C34" s="2">
        <v>44400</v>
      </c>
      <c r="D34" s="3">
        <v>810</v>
      </c>
      <c r="E34" s="3">
        <v>0</v>
      </c>
      <c r="F34" s="3">
        <v>744</v>
      </c>
      <c r="G34" s="3">
        <v>0</v>
      </c>
      <c r="H34" s="3">
        <v>660</v>
      </c>
      <c r="I34" s="3">
        <v>0</v>
      </c>
      <c r="J34" s="3"/>
      <c r="K34" s="3"/>
      <c r="L34" s="3"/>
      <c r="M34" s="2">
        <v>44358</v>
      </c>
      <c r="N34" s="3">
        <v>922</v>
      </c>
      <c r="O34" s="3">
        <v>18</v>
      </c>
      <c r="P34" s="3">
        <v>823</v>
      </c>
      <c r="Q34" s="3">
        <v>15</v>
      </c>
      <c r="R34" s="3">
        <v>725</v>
      </c>
      <c r="S34" s="3">
        <v>17</v>
      </c>
      <c r="T34" s="3"/>
      <c r="U34" s="3"/>
      <c r="V34" s="3"/>
    </row>
    <row r="35" ht="15" spans="3:22">
      <c r="C35" s="4">
        <v>44393</v>
      </c>
      <c r="D35" s="5">
        <v>810</v>
      </c>
      <c r="E35" s="5">
        <v>-9</v>
      </c>
      <c r="F35" s="5">
        <v>744</v>
      </c>
      <c r="G35" s="5">
        <v>5</v>
      </c>
      <c r="H35" s="5">
        <v>660</v>
      </c>
      <c r="I35" s="5">
        <v>12</v>
      </c>
      <c r="J35" s="5"/>
      <c r="K35" s="5"/>
      <c r="L35" s="5"/>
      <c r="M35" s="4">
        <v>44351</v>
      </c>
      <c r="N35" s="5">
        <v>904</v>
      </c>
      <c r="O35" s="5">
        <v>52</v>
      </c>
      <c r="P35" s="5">
        <v>808</v>
      </c>
      <c r="Q35" s="5">
        <v>43</v>
      </c>
      <c r="R35" s="5">
        <v>708</v>
      </c>
      <c r="S35" s="5">
        <v>40</v>
      </c>
      <c r="T35" s="5"/>
      <c r="U35" s="5"/>
      <c r="V35" s="5"/>
    </row>
    <row r="36" ht="15" spans="3:22">
      <c r="C36" s="2">
        <v>44372</v>
      </c>
      <c r="D36" s="3">
        <v>819</v>
      </c>
      <c r="E36" s="3">
        <v>24</v>
      </c>
      <c r="F36" s="3">
        <v>739</v>
      </c>
      <c r="G36" s="3">
        <v>25</v>
      </c>
      <c r="H36" s="3">
        <v>648</v>
      </c>
      <c r="I36" s="3">
        <v>19</v>
      </c>
      <c r="J36" s="3"/>
      <c r="K36" s="3"/>
      <c r="L36" s="3">
        <f>AVERAGE(N36:N39)</f>
        <v>872.75</v>
      </c>
      <c r="M36" s="2">
        <v>44344</v>
      </c>
      <c r="N36" s="3">
        <v>852</v>
      </c>
      <c r="O36" s="3">
        <v>-58</v>
      </c>
      <c r="P36" s="3">
        <v>765</v>
      </c>
      <c r="Q36" s="3">
        <v>-57</v>
      </c>
      <c r="R36" s="3">
        <v>668</v>
      </c>
      <c r="S36" s="3">
        <v>-65</v>
      </c>
      <c r="T36" s="3"/>
      <c r="U36" s="3"/>
      <c r="V36" s="3"/>
    </row>
    <row r="37" ht="15" spans="3:22">
      <c r="C37" s="4">
        <v>44365</v>
      </c>
      <c r="D37" s="5">
        <v>795</v>
      </c>
      <c r="E37" s="5">
        <v>19</v>
      </c>
      <c r="F37" s="5">
        <v>714</v>
      </c>
      <c r="G37" s="5">
        <v>17</v>
      </c>
      <c r="H37" s="5">
        <v>629</v>
      </c>
      <c r="I37" s="5">
        <v>13</v>
      </c>
      <c r="J37" s="5"/>
      <c r="K37" s="5"/>
      <c r="L37" s="5"/>
      <c r="M37" s="4">
        <v>44337</v>
      </c>
      <c r="N37" s="5">
        <v>910</v>
      </c>
      <c r="O37" s="5">
        <v>-1</v>
      </c>
      <c r="P37" s="5">
        <v>822</v>
      </c>
      <c r="Q37" s="5">
        <v>0</v>
      </c>
      <c r="R37" s="5">
        <v>733</v>
      </c>
      <c r="S37" s="5">
        <v>1</v>
      </c>
      <c r="T37" s="5"/>
      <c r="U37" s="5"/>
      <c r="V37" s="5"/>
    </row>
    <row r="38" ht="15" spans="3:22">
      <c r="C38" s="2">
        <v>44358</v>
      </c>
      <c r="D38" s="3">
        <v>776</v>
      </c>
      <c r="E38" s="3">
        <v>8</v>
      </c>
      <c r="F38" s="3">
        <v>697</v>
      </c>
      <c r="G38" s="3">
        <v>7</v>
      </c>
      <c r="H38" s="3">
        <v>616</v>
      </c>
      <c r="I38" s="3">
        <v>5</v>
      </c>
      <c r="J38" s="3"/>
      <c r="K38" s="3"/>
      <c r="L38" s="3"/>
      <c r="M38" s="2">
        <v>44330</v>
      </c>
      <c r="N38" s="3">
        <v>911</v>
      </c>
      <c r="O38" s="3">
        <v>93</v>
      </c>
      <c r="P38" s="3">
        <v>822</v>
      </c>
      <c r="Q38" s="3">
        <v>88</v>
      </c>
      <c r="R38" s="3">
        <v>732</v>
      </c>
      <c r="S38" s="3">
        <v>84</v>
      </c>
      <c r="T38" s="3"/>
      <c r="U38" s="3"/>
      <c r="V38" s="3"/>
    </row>
    <row r="39" ht="15" spans="3:22">
      <c r="C39" s="4">
        <v>44351</v>
      </c>
      <c r="D39" s="5">
        <v>768</v>
      </c>
      <c r="E39" s="5">
        <v>24</v>
      </c>
      <c r="F39" s="5">
        <v>690</v>
      </c>
      <c r="G39" s="5">
        <v>21</v>
      </c>
      <c r="H39" s="5">
        <v>611</v>
      </c>
      <c r="I39" s="5">
        <v>18</v>
      </c>
      <c r="J39" s="5"/>
      <c r="K39" s="5"/>
      <c r="L39" s="5"/>
      <c r="M39" s="4">
        <v>44323</v>
      </c>
      <c r="N39" s="5">
        <v>818</v>
      </c>
      <c r="O39" s="5">
        <v>27</v>
      </c>
      <c r="P39" s="5">
        <v>734</v>
      </c>
      <c r="Q39" s="5">
        <v>30</v>
      </c>
      <c r="R39" s="5">
        <v>648</v>
      </c>
      <c r="S39" s="5">
        <v>28</v>
      </c>
      <c r="T39" s="5"/>
      <c r="U39" s="5"/>
      <c r="V39" s="5"/>
    </row>
    <row r="40" ht="15" spans="3:22">
      <c r="C40" s="2">
        <v>44344</v>
      </c>
      <c r="D40" s="3">
        <v>744</v>
      </c>
      <c r="E40" s="3">
        <v>-17</v>
      </c>
      <c r="F40" s="3">
        <v>669</v>
      </c>
      <c r="G40" s="3">
        <v>-17</v>
      </c>
      <c r="H40" s="3">
        <v>593</v>
      </c>
      <c r="I40" s="3">
        <v>-20</v>
      </c>
      <c r="J40" s="3"/>
      <c r="K40" s="3"/>
      <c r="L40" s="3">
        <f>AVERAGE(N40:N44)</f>
        <v>748.8</v>
      </c>
      <c r="M40" s="2">
        <v>44316</v>
      </c>
      <c r="N40" s="3">
        <v>791</v>
      </c>
      <c r="O40" s="3">
        <v>18</v>
      </c>
      <c r="P40" s="3">
        <v>704</v>
      </c>
      <c r="Q40" s="3">
        <v>16</v>
      </c>
      <c r="R40" s="3">
        <v>620</v>
      </c>
      <c r="S40" s="3">
        <v>13</v>
      </c>
      <c r="T40" s="3"/>
      <c r="U40" s="3"/>
      <c r="V40" s="3"/>
    </row>
    <row r="41" ht="15" spans="3:22">
      <c r="C41" s="6">
        <v>44337</v>
      </c>
      <c r="D41" s="7">
        <v>761</v>
      </c>
      <c r="E41" s="7">
        <v>10</v>
      </c>
      <c r="F41" s="7">
        <v>686</v>
      </c>
      <c r="G41" s="7">
        <v>8</v>
      </c>
      <c r="H41" s="7">
        <v>613</v>
      </c>
      <c r="I41" s="7">
        <v>8</v>
      </c>
      <c r="J41" s="11"/>
      <c r="K41" s="11"/>
      <c r="L41" s="11"/>
      <c r="M41" s="6">
        <v>44309</v>
      </c>
      <c r="N41" s="7">
        <v>773</v>
      </c>
      <c r="O41" s="7">
        <v>42</v>
      </c>
      <c r="P41" s="7">
        <v>688</v>
      </c>
      <c r="Q41" s="7">
        <v>44</v>
      </c>
      <c r="R41" s="7">
        <v>607</v>
      </c>
      <c r="S41" s="7">
        <v>40</v>
      </c>
      <c r="T41" s="11"/>
      <c r="U41" s="11"/>
      <c r="V41" s="11"/>
    </row>
    <row r="42" ht="15" spans="3:22">
      <c r="C42" s="2">
        <v>44330</v>
      </c>
      <c r="D42" s="3">
        <v>751</v>
      </c>
      <c r="E42" s="3">
        <v>35</v>
      </c>
      <c r="F42" s="3">
        <v>678</v>
      </c>
      <c r="G42" s="3">
        <v>35</v>
      </c>
      <c r="H42" s="3">
        <v>605</v>
      </c>
      <c r="I42" s="3">
        <v>34</v>
      </c>
      <c r="J42" s="3"/>
      <c r="K42" s="3"/>
      <c r="L42" s="3"/>
      <c r="M42" s="2">
        <v>44302</v>
      </c>
      <c r="N42" s="3">
        <v>731</v>
      </c>
      <c r="O42" s="3">
        <v>-2</v>
      </c>
      <c r="P42" s="3">
        <v>644</v>
      </c>
      <c r="Q42" s="3">
        <v>-4</v>
      </c>
      <c r="R42" s="3">
        <v>567</v>
      </c>
      <c r="S42" s="3">
        <v>-2</v>
      </c>
      <c r="T42" s="3"/>
      <c r="U42" s="3"/>
      <c r="V42" s="3"/>
    </row>
    <row r="43" ht="15" spans="3:22">
      <c r="C43" s="4">
        <v>44323</v>
      </c>
      <c r="D43" s="5">
        <v>716</v>
      </c>
      <c r="E43" s="5">
        <v>26</v>
      </c>
      <c r="F43" s="5">
        <v>643</v>
      </c>
      <c r="G43" s="5">
        <v>25</v>
      </c>
      <c r="H43" s="5">
        <v>571</v>
      </c>
      <c r="I43" s="5">
        <v>22</v>
      </c>
      <c r="J43" s="5"/>
      <c r="K43" s="5"/>
      <c r="L43" s="5"/>
      <c r="M43" s="4">
        <v>44295</v>
      </c>
      <c r="N43" s="5">
        <v>733</v>
      </c>
      <c r="O43" s="5">
        <v>17</v>
      </c>
      <c r="P43" s="5">
        <v>648</v>
      </c>
      <c r="Q43" s="5">
        <v>13</v>
      </c>
      <c r="R43" s="5">
        <v>569</v>
      </c>
      <c r="S43" s="5">
        <v>14</v>
      </c>
      <c r="T43" s="5"/>
      <c r="U43" s="5"/>
      <c r="V43" s="5"/>
    </row>
    <row r="44" ht="15" spans="3:22">
      <c r="C44" s="2">
        <v>44316</v>
      </c>
      <c r="D44" s="3">
        <v>690</v>
      </c>
      <c r="E44" s="3">
        <v>11</v>
      </c>
      <c r="F44" s="3">
        <v>618</v>
      </c>
      <c r="G44" s="3">
        <v>10</v>
      </c>
      <c r="H44" s="3">
        <v>549</v>
      </c>
      <c r="I44" s="3">
        <v>9</v>
      </c>
      <c r="J44" s="3"/>
      <c r="K44" s="3"/>
      <c r="L44" s="3"/>
      <c r="M44" s="2">
        <v>44288</v>
      </c>
      <c r="N44" s="3">
        <v>716</v>
      </c>
      <c r="O44" s="3">
        <v>56</v>
      </c>
      <c r="P44" s="3">
        <v>635</v>
      </c>
      <c r="Q44" s="3">
        <v>53</v>
      </c>
      <c r="R44" s="3">
        <v>555</v>
      </c>
      <c r="S44" s="3">
        <v>48</v>
      </c>
      <c r="T44" s="3"/>
      <c r="U44" s="3"/>
      <c r="V44" s="3"/>
    </row>
    <row r="45" ht="15" spans="3:22">
      <c r="C45" s="4">
        <v>44309</v>
      </c>
      <c r="D45" s="5">
        <v>679</v>
      </c>
      <c r="E45" s="5">
        <v>28</v>
      </c>
      <c r="F45" s="5">
        <v>608</v>
      </c>
      <c r="G45" s="5">
        <v>27</v>
      </c>
      <c r="H45" s="5">
        <v>540</v>
      </c>
      <c r="I45" s="5">
        <v>23</v>
      </c>
      <c r="J45" s="5"/>
      <c r="K45" s="5"/>
      <c r="L45" s="3">
        <f>AVERAGE(N45:N48)</f>
        <v>627.75</v>
      </c>
      <c r="M45" s="4">
        <v>44281</v>
      </c>
      <c r="N45" s="5">
        <v>660</v>
      </c>
      <c r="O45" s="5">
        <v>26</v>
      </c>
      <c r="P45" s="5">
        <v>582</v>
      </c>
      <c r="Q45" s="5">
        <v>27</v>
      </c>
      <c r="R45" s="5">
        <v>507</v>
      </c>
      <c r="S45" s="5">
        <v>23</v>
      </c>
      <c r="T45" s="5"/>
      <c r="U45" s="5"/>
      <c r="V45" s="5"/>
    </row>
    <row r="46" ht="15" spans="3:22">
      <c r="C46" s="2">
        <v>44302</v>
      </c>
      <c r="D46" s="3">
        <v>651</v>
      </c>
      <c r="E46" s="3">
        <v>1</v>
      </c>
      <c r="F46" s="3">
        <v>581</v>
      </c>
      <c r="G46" s="3">
        <v>0</v>
      </c>
      <c r="H46" s="3">
        <v>517</v>
      </c>
      <c r="I46" s="3">
        <v>1</v>
      </c>
      <c r="J46" s="3"/>
      <c r="K46" s="3"/>
      <c r="L46" s="3"/>
      <c r="M46" s="2">
        <v>44274</v>
      </c>
      <c r="N46" s="3">
        <v>634</v>
      </c>
      <c r="O46" s="3">
        <v>3</v>
      </c>
      <c r="P46" s="3">
        <v>555</v>
      </c>
      <c r="Q46" s="3">
        <v>3</v>
      </c>
      <c r="R46" s="3">
        <v>484</v>
      </c>
      <c r="S46" s="3">
        <v>7</v>
      </c>
      <c r="T46" s="3"/>
      <c r="U46" s="3"/>
      <c r="V46" s="3"/>
    </row>
    <row r="47" ht="15" spans="3:22">
      <c r="C47" s="4">
        <v>44295</v>
      </c>
      <c r="D47" s="5">
        <v>650</v>
      </c>
      <c r="E47" s="5">
        <v>16</v>
      </c>
      <c r="F47" s="5">
        <v>581</v>
      </c>
      <c r="G47" s="5">
        <v>14</v>
      </c>
      <c r="H47" s="5">
        <v>516</v>
      </c>
      <c r="I47" s="5">
        <v>14</v>
      </c>
      <c r="J47" s="5"/>
      <c r="K47" s="5"/>
      <c r="L47" s="5"/>
      <c r="M47" s="4">
        <v>44267</v>
      </c>
      <c r="N47" s="5">
        <v>631</v>
      </c>
      <c r="O47" s="5">
        <v>45</v>
      </c>
      <c r="P47" s="5">
        <v>552</v>
      </c>
      <c r="Q47" s="5">
        <v>39</v>
      </c>
      <c r="R47" s="5">
        <v>477</v>
      </c>
      <c r="S47" s="5">
        <v>30</v>
      </c>
      <c r="T47" s="5"/>
      <c r="U47" s="5"/>
      <c r="V47" s="5"/>
    </row>
    <row r="48" ht="15" spans="3:22">
      <c r="C48" s="2">
        <v>44288</v>
      </c>
      <c r="D48" s="3">
        <v>634</v>
      </c>
      <c r="E48" s="3">
        <v>23</v>
      </c>
      <c r="F48" s="3">
        <v>567</v>
      </c>
      <c r="G48" s="3">
        <v>22</v>
      </c>
      <c r="H48" s="3">
        <v>502</v>
      </c>
      <c r="I48" s="3">
        <v>19</v>
      </c>
      <c r="J48" s="3"/>
      <c r="K48" s="3"/>
      <c r="L48" s="3"/>
      <c r="M48" s="2">
        <v>44260</v>
      </c>
      <c r="N48" s="3">
        <v>586</v>
      </c>
      <c r="O48" s="3">
        <v>2</v>
      </c>
      <c r="P48" s="3">
        <v>513</v>
      </c>
      <c r="Q48" s="3">
        <v>0</v>
      </c>
      <c r="R48" s="3">
        <v>447</v>
      </c>
      <c r="S48" s="3">
        <v>-13</v>
      </c>
      <c r="T48" s="3"/>
      <c r="U48" s="3"/>
      <c r="V48" s="3"/>
    </row>
    <row r="49" ht="15" spans="3:22">
      <c r="C49" s="4">
        <v>44281</v>
      </c>
      <c r="D49" s="5">
        <v>611</v>
      </c>
      <c r="E49" s="5">
        <v>8</v>
      </c>
      <c r="F49" s="5">
        <v>545</v>
      </c>
      <c r="G49" s="5">
        <v>7</v>
      </c>
      <c r="H49" s="5">
        <v>483</v>
      </c>
      <c r="I49" s="5">
        <v>6</v>
      </c>
      <c r="J49" s="5"/>
      <c r="K49" s="5"/>
      <c r="L49" s="3">
        <f>AVERAGE(N49:N51)</f>
        <v>659.666666666667</v>
      </c>
      <c r="M49" s="4">
        <v>44253</v>
      </c>
      <c r="N49" s="5">
        <v>584</v>
      </c>
      <c r="O49" s="5">
        <v>-59</v>
      </c>
      <c r="P49" s="5">
        <v>513</v>
      </c>
      <c r="Q49" s="5">
        <v>-66</v>
      </c>
      <c r="R49" s="5">
        <v>460</v>
      </c>
      <c r="S49" s="5">
        <v>-52</v>
      </c>
      <c r="T49" s="5"/>
      <c r="U49" s="5"/>
      <c r="V49" s="5"/>
    </row>
    <row r="50" ht="15" spans="3:22">
      <c r="C50" s="2">
        <v>44274</v>
      </c>
      <c r="D50" s="3">
        <v>603</v>
      </c>
      <c r="E50" s="3">
        <v>11</v>
      </c>
      <c r="F50" s="3">
        <v>538</v>
      </c>
      <c r="G50" s="3">
        <v>9</v>
      </c>
      <c r="H50" s="3">
        <v>477</v>
      </c>
      <c r="I50" s="3">
        <v>9</v>
      </c>
      <c r="J50" s="3"/>
      <c r="K50" s="3"/>
      <c r="L50" s="3"/>
      <c r="M50" s="2">
        <v>44246</v>
      </c>
      <c r="N50" s="3">
        <v>643</v>
      </c>
      <c r="O50" s="3">
        <v>-109</v>
      </c>
      <c r="P50" s="3">
        <v>579</v>
      </c>
      <c r="Q50" s="3">
        <v>-78</v>
      </c>
      <c r="R50" s="3">
        <v>512</v>
      </c>
      <c r="S50" s="3">
        <v>-73</v>
      </c>
      <c r="T50" s="3"/>
      <c r="U50" s="3"/>
      <c r="V50" s="3"/>
    </row>
    <row r="51" ht="15" spans="3:22">
      <c r="C51" s="6">
        <v>44267</v>
      </c>
      <c r="D51" s="7">
        <v>592</v>
      </c>
      <c r="E51" s="7">
        <v>12</v>
      </c>
      <c r="F51" s="7">
        <v>529</v>
      </c>
      <c r="G51" s="7">
        <v>11</v>
      </c>
      <c r="H51" s="7">
        <v>468</v>
      </c>
      <c r="I51" s="7">
        <v>5</v>
      </c>
      <c r="J51" s="11"/>
      <c r="K51" s="11"/>
      <c r="L51" s="11"/>
      <c r="M51" s="6">
        <v>44232</v>
      </c>
      <c r="N51" s="7">
        <v>752</v>
      </c>
      <c r="O51" s="7">
        <v>-93</v>
      </c>
      <c r="P51" s="7">
        <v>657</v>
      </c>
      <c r="Q51" s="7">
        <v>-93</v>
      </c>
      <c r="R51" s="7">
        <v>585</v>
      </c>
      <c r="S51" s="7">
        <v>-60</v>
      </c>
      <c r="T51" s="11"/>
      <c r="U51" s="11"/>
      <c r="V51" s="11"/>
    </row>
    <row r="52" ht="15" spans="3:22">
      <c r="C52" s="2">
        <v>44260</v>
      </c>
      <c r="D52" s="3">
        <v>580</v>
      </c>
      <c r="E52" s="3">
        <v>-33</v>
      </c>
      <c r="F52" s="3">
        <v>518</v>
      </c>
      <c r="G52" s="3">
        <v>-32</v>
      </c>
      <c r="H52" s="3">
        <v>463</v>
      </c>
      <c r="I52" s="3">
        <v>-31</v>
      </c>
      <c r="J52" s="3"/>
      <c r="K52" s="3"/>
      <c r="L52" s="3">
        <f>AVERAGE(N52:N55)</f>
        <v>892.5</v>
      </c>
      <c r="M52" s="2">
        <v>44225</v>
      </c>
      <c r="N52" s="3">
        <v>845</v>
      </c>
      <c r="O52" s="3">
        <v>-97</v>
      </c>
      <c r="P52" s="3">
        <v>750</v>
      </c>
      <c r="Q52" s="3">
        <v>-87</v>
      </c>
      <c r="R52" s="3">
        <v>645</v>
      </c>
      <c r="S52" s="3">
        <v>-85</v>
      </c>
      <c r="T52" s="3"/>
      <c r="U52" s="3"/>
      <c r="V52" s="3"/>
    </row>
    <row r="53" ht="15" spans="3:22">
      <c r="C53" s="4">
        <v>44253</v>
      </c>
      <c r="D53" s="5">
        <v>613</v>
      </c>
      <c r="E53" s="5">
        <v>-21</v>
      </c>
      <c r="F53" s="5">
        <v>550</v>
      </c>
      <c r="G53" s="5">
        <v>-21</v>
      </c>
      <c r="H53" s="5">
        <v>494</v>
      </c>
      <c r="I53" s="5">
        <v>-17</v>
      </c>
      <c r="J53" s="5"/>
      <c r="K53" s="5"/>
      <c r="L53" s="5"/>
      <c r="M53" s="4">
        <v>44218</v>
      </c>
      <c r="N53" s="5">
        <v>942</v>
      </c>
      <c r="O53" s="5">
        <v>13</v>
      </c>
      <c r="P53" s="5">
        <v>837</v>
      </c>
      <c r="Q53" s="5">
        <v>9</v>
      </c>
      <c r="R53" s="5">
        <v>730</v>
      </c>
      <c r="S53" s="5">
        <v>2</v>
      </c>
      <c r="T53" s="5"/>
      <c r="U53" s="5"/>
      <c r="V53" s="5"/>
    </row>
    <row r="54" ht="15" spans="3:22">
      <c r="C54" s="2">
        <v>44246</v>
      </c>
      <c r="D54" s="3">
        <v>634</v>
      </c>
      <c r="E54" s="3">
        <v>-69</v>
      </c>
      <c r="F54" s="3">
        <v>571</v>
      </c>
      <c r="G54" s="3">
        <v>-62</v>
      </c>
      <c r="H54" s="3">
        <v>511</v>
      </c>
      <c r="I54" s="3">
        <v>-53</v>
      </c>
      <c r="J54" s="3"/>
      <c r="K54" s="3"/>
      <c r="L54" s="3"/>
      <c r="M54" s="2">
        <v>44211</v>
      </c>
      <c r="N54" s="3">
        <v>929</v>
      </c>
      <c r="O54" s="3">
        <v>75</v>
      </c>
      <c r="P54" s="3">
        <v>828</v>
      </c>
      <c r="Q54" s="3">
        <v>53</v>
      </c>
      <c r="R54" s="3">
        <v>728</v>
      </c>
      <c r="S54" s="3">
        <v>43</v>
      </c>
      <c r="T54" s="3"/>
      <c r="U54" s="3"/>
      <c r="V54" s="3"/>
    </row>
    <row r="55" ht="15" spans="3:22">
      <c r="C55" s="4">
        <v>44232</v>
      </c>
      <c r="D55" s="5">
        <v>703</v>
      </c>
      <c r="E55" s="5">
        <v>-22</v>
      </c>
      <c r="F55" s="5">
        <v>633</v>
      </c>
      <c r="G55" s="5">
        <v>-21</v>
      </c>
      <c r="H55" s="5">
        <v>564</v>
      </c>
      <c r="I55" s="5">
        <v>-14</v>
      </c>
      <c r="J55" s="5"/>
      <c r="K55" s="5"/>
      <c r="L55" s="5"/>
      <c r="M55" s="4">
        <v>44204</v>
      </c>
      <c r="N55" s="5">
        <v>854</v>
      </c>
      <c r="O55" s="5">
        <v>105</v>
      </c>
      <c r="P55" s="5">
        <v>775</v>
      </c>
      <c r="Q55" s="5">
        <v>94</v>
      </c>
      <c r="R55" s="5">
        <v>685</v>
      </c>
      <c r="S55" s="5">
        <v>80</v>
      </c>
      <c r="T55" s="5"/>
      <c r="U55" s="5"/>
      <c r="V55" s="5"/>
    </row>
    <row r="56" ht="15" spans="3:22">
      <c r="C56" s="2">
        <v>44225</v>
      </c>
      <c r="D56" s="3">
        <v>725</v>
      </c>
      <c r="E56" s="3">
        <v>-20</v>
      </c>
      <c r="F56" s="3">
        <v>654</v>
      </c>
      <c r="G56" s="3">
        <v>-20</v>
      </c>
      <c r="H56" s="3">
        <v>578</v>
      </c>
      <c r="I56" s="3">
        <v>-5</v>
      </c>
      <c r="J56" s="3"/>
      <c r="K56" s="3"/>
      <c r="L56" s="3">
        <f>AVERAGE(N56:N59)</f>
        <v>674</v>
      </c>
      <c r="M56" s="2">
        <v>44190</v>
      </c>
      <c r="N56" s="3">
        <v>749</v>
      </c>
      <c r="O56" s="3">
        <v>86</v>
      </c>
      <c r="P56" s="3">
        <v>681</v>
      </c>
      <c r="Q56" s="3">
        <v>67</v>
      </c>
      <c r="R56" s="3">
        <v>605</v>
      </c>
      <c r="S56" s="3">
        <v>63</v>
      </c>
      <c r="T56" s="3"/>
      <c r="U56" s="3"/>
      <c r="V56" s="3"/>
    </row>
    <row r="57" ht="15" spans="3:22">
      <c r="C57" s="4">
        <v>44218</v>
      </c>
      <c r="D57" s="5">
        <v>745</v>
      </c>
      <c r="E57" s="5">
        <v>23</v>
      </c>
      <c r="F57" s="5">
        <v>674</v>
      </c>
      <c r="G57" s="5">
        <v>19</v>
      </c>
      <c r="H57" s="5">
        <v>583</v>
      </c>
      <c r="I57" s="5">
        <v>1</v>
      </c>
      <c r="J57" s="5"/>
      <c r="K57" s="5"/>
      <c r="L57" s="5"/>
      <c r="M57" s="4">
        <v>44183</v>
      </c>
      <c r="N57" s="5">
        <v>663</v>
      </c>
      <c r="O57" s="5">
        <v>15</v>
      </c>
      <c r="P57" s="5">
        <v>614</v>
      </c>
      <c r="Q57" s="5">
        <v>20</v>
      </c>
      <c r="R57" s="5">
        <v>542</v>
      </c>
      <c r="S57" s="5">
        <v>19</v>
      </c>
      <c r="T57" s="5"/>
      <c r="U57" s="5"/>
      <c r="V57" s="5"/>
    </row>
    <row r="58" ht="15" spans="3:22">
      <c r="C58" s="2">
        <v>44211</v>
      </c>
      <c r="D58" s="3">
        <v>722</v>
      </c>
      <c r="E58" s="3">
        <v>31</v>
      </c>
      <c r="F58" s="3">
        <v>655</v>
      </c>
      <c r="G58" s="3">
        <v>20</v>
      </c>
      <c r="H58" s="3">
        <v>582</v>
      </c>
      <c r="I58" s="3">
        <v>17</v>
      </c>
      <c r="J58" s="3"/>
      <c r="K58" s="3"/>
      <c r="L58" s="3"/>
      <c r="M58" s="2">
        <v>44176</v>
      </c>
      <c r="N58" s="3">
        <v>648</v>
      </c>
      <c r="O58" s="3">
        <v>12</v>
      </c>
      <c r="P58" s="3">
        <v>594</v>
      </c>
      <c r="Q58" s="3">
        <v>17</v>
      </c>
      <c r="R58" s="3">
        <v>523</v>
      </c>
      <c r="S58" s="3">
        <v>16</v>
      </c>
      <c r="T58" s="3"/>
      <c r="U58" s="3"/>
      <c r="V58" s="3"/>
    </row>
    <row r="59" ht="15" spans="3:22">
      <c r="C59" s="4">
        <v>44204</v>
      </c>
      <c r="D59" s="5">
        <v>691</v>
      </c>
      <c r="E59" s="5">
        <v>49</v>
      </c>
      <c r="F59" s="5">
        <v>635</v>
      </c>
      <c r="G59" s="5">
        <v>52</v>
      </c>
      <c r="H59" s="5">
        <v>565</v>
      </c>
      <c r="I59" s="5">
        <v>46</v>
      </c>
      <c r="J59" s="5"/>
      <c r="K59" s="5"/>
      <c r="L59" s="5"/>
      <c r="M59" s="4">
        <v>44169</v>
      </c>
      <c r="N59" s="5">
        <v>636</v>
      </c>
      <c r="O59" s="5">
        <v>14</v>
      </c>
      <c r="P59" s="5">
        <v>577</v>
      </c>
      <c r="Q59" s="5">
        <v>13</v>
      </c>
      <c r="R59" s="5">
        <v>507</v>
      </c>
      <c r="S59" s="5">
        <v>12</v>
      </c>
      <c r="T59" s="5"/>
      <c r="U59" s="5"/>
      <c r="V59" s="5"/>
    </row>
    <row r="60" ht="15" spans="3:22">
      <c r="C60" s="2">
        <v>44190</v>
      </c>
      <c r="D60" s="3">
        <v>642</v>
      </c>
      <c r="E60" s="3">
        <v>36</v>
      </c>
      <c r="F60" s="3">
        <v>583</v>
      </c>
      <c r="G60" s="3">
        <v>24</v>
      </c>
      <c r="H60" s="3">
        <v>519</v>
      </c>
      <c r="I60" s="3">
        <v>22</v>
      </c>
      <c r="J60" s="3"/>
      <c r="K60" s="3"/>
      <c r="L60" s="3">
        <f>AVERAGE(N60:N63)</f>
        <v>616.75</v>
      </c>
      <c r="M60" s="2">
        <v>44162</v>
      </c>
      <c r="N60" s="3">
        <v>622</v>
      </c>
      <c r="O60" s="3">
        <v>6</v>
      </c>
      <c r="P60" s="3">
        <v>564</v>
      </c>
      <c r="Q60" s="3">
        <v>1</v>
      </c>
      <c r="R60" s="3">
        <v>495</v>
      </c>
      <c r="S60" s="3">
        <v>1</v>
      </c>
      <c r="T60" s="3"/>
      <c r="U60" s="3"/>
      <c r="V60" s="3"/>
    </row>
    <row r="61" ht="15" spans="3:22">
      <c r="C61" s="6">
        <v>44183</v>
      </c>
      <c r="D61" s="7">
        <v>606</v>
      </c>
      <c r="E61" s="7">
        <v>5</v>
      </c>
      <c r="F61" s="7">
        <v>559</v>
      </c>
      <c r="G61" s="7">
        <v>9</v>
      </c>
      <c r="H61" s="7">
        <v>497</v>
      </c>
      <c r="I61" s="7">
        <v>8</v>
      </c>
      <c r="J61" s="11"/>
      <c r="K61" s="11"/>
      <c r="L61" s="11"/>
      <c r="M61" s="6">
        <v>44155</v>
      </c>
      <c r="N61" s="7">
        <v>616</v>
      </c>
      <c r="O61" s="7">
        <v>1</v>
      </c>
      <c r="P61" s="7">
        <v>563</v>
      </c>
      <c r="Q61" s="7">
        <v>0</v>
      </c>
      <c r="R61" s="7">
        <v>494</v>
      </c>
      <c r="S61" s="7">
        <v>-1</v>
      </c>
      <c r="T61" s="11"/>
      <c r="U61" s="11"/>
      <c r="V61" s="11"/>
    </row>
    <row r="62" ht="15" spans="3:22">
      <c r="C62" s="2">
        <v>44176</v>
      </c>
      <c r="D62" s="3">
        <v>601</v>
      </c>
      <c r="E62" s="3">
        <v>6</v>
      </c>
      <c r="F62" s="3">
        <v>550</v>
      </c>
      <c r="G62" s="3">
        <v>8</v>
      </c>
      <c r="H62" s="3">
        <v>489</v>
      </c>
      <c r="I62" s="3">
        <v>8</v>
      </c>
      <c r="J62" s="3"/>
      <c r="K62" s="3"/>
      <c r="L62" s="3"/>
      <c r="M62" s="2">
        <v>44148</v>
      </c>
      <c r="N62" s="3">
        <v>615</v>
      </c>
      <c r="O62" s="3">
        <v>1</v>
      </c>
      <c r="P62" s="3">
        <v>563</v>
      </c>
      <c r="Q62" s="3">
        <v>1</v>
      </c>
      <c r="R62" s="3">
        <v>495</v>
      </c>
      <c r="S62" s="3">
        <v>2</v>
      </c>
      <c r="T62" s="3"/>
      <c r="U62" s="3"/>
      <c r="V62" s="3"/>
    </row>
    <row r="63" ht="15" spans="3:22">
      <c r="C63" s="4">
        <v>44169</v>
      </c>
      <c r="D63" s="5">
        <v>595</v>
      </c>
      <c r="E63" s="5">
        <v>9</v>
      </c>
      <c r="F63" s="5">
        <v>542</v>
      </c>
      <c r="G63" s="5">
        <v>9</v>
      </c>
      <c r="H63" s="5">
        <v>481</v>
      </c>
      <c r="I63" s="5">
        <v>7</v>
      </c>
      <c r="J63" s="5"/>
      <c r="K63" s="5"/>
      <c r="L63" s="5"/>
      <c r="M63" s="4">
        <v>44141</v>
      </c>
      <c r="N63" s="5">
        <v>614</v>
      </c>
      <c r="O63" s="5">
        <v>13</v>
      </c>
      <c r="P63" s="5">
        <v>562</v>
      </c>
      <c r="Q63" s="5">
        <v>13</v>
      </c>
      <c r="R63" s="5">
        <v>493</v>
      </c>
      <c r="S63" s="5">
        <v>15</v>
      </c>
      <c r="T63" s="5"/>
      <c r="U63" s="5"/>
      <c r="V63" s="5"/>
    </row>
    <row r="64" ht="15" spans="3:22">
      <c r="C64" s="2">
        <v>44162</v>
      </c>
      <c r="D64" s="3">
        <v>586</v>
      </c>
      <c r="E64" s="3">
        <v>2</v>
      </c>
      <c r="F64" s="3">
        <v>533</v>
      </c>
      <c r="G64" s="3">
        <v>1</v>
      </c>
      <c r="H64" s="3">
        <v>474</v>
      </c>
      <c r="I64" s="3">
        <v>1</v>
      </c>
      <c r="J64" s="3"/>
      <c r="K64" s="3"/>
      <c r="L64" s="3">
        <f>AVERAGE(N64:N67)</f>
        <v>606.25</v>
      </c>
      <c r="M64" s="2">
        <v>44134</v>
      </c>
      <c r="N64" s="3">
        <v>601</v>
      </c>
      <c r="O64" s="3">
        <v>-3</v>
      </c>
      <c r="P64" s="3">
        <v>549</v>
      </c>
      <c r="Q64" s="3">
        <v>0</v>
      </c>
      <c r="R64" s="3">
        <v>478</v>
      </c>
      <c r="S64" s="3">
        <v>-2</v>
      </c>
      <c r="T64" s="3"/>
      <c r="U64" s="3"/>
      <c r="V64" s="3"/>
    </row>
    <row r="65" ht="15" spans="3:22">
      <c r="C65" s="4">
        <v>44155</v>
      </c>
      <c r="D65" s="5">
        <v>584</v>
      </c>
      <c r="E65" s="5">
        <v>1</v>
      </c>
      <c r="F65" s="5">
        <v>532</v>
      </c>
      <c r="G65" s="5">
        <v>0</v>
      </c>
      <c r="H65" s="5">
        <v>473</v>
      </c>
      <c r="I65" s="5">
        <v>-1</v>
      </c>
      <c r="J65" s="5"/>
      <c r="K65" s="5"/>
      <c r="L65" s="5"/>
      <c r="M65" s="4">
        <v>44127</v>
      </c>
      <c r="N65" s="5">
        <v>604</v>
      </c>
      <c r="O65" s="5">
        <v>-8</v>
      </c>
      <c r="P65" s="5">
        <v>549</v>
      </c>
      <c r="Q65" s="5">
        <v>-6</v>
      </c>
      <c r="R65" s="5">
        <v>480</v>
      </c>
      <c r="S65" s="5">
        <v>-7</v>
      </c>
      <c r="T65" s="5"/>
      <c r="U65" s="5"/>
      <c r="V65" s="5"/>
    </row>
    <row r="66" ht="15" spans="3:22">
      <c r="C66" s="2">
        <v>44148</v>
      </c>
      <c r="D66" s="3">
        <v>583</v>
      </c>
      <c r="E66" s="3">
        <v>0</v>
      </c>
      <c r="F66" s="3">
        <v>532</v>
      </c>
      <c r="G66" s="3">
        <v>0</v>
      </c>
      <c r="H66" s="3">
        <v>474</v>
      </c>
      <c r="I66" s="3">
        <v>2</v>
      </c>
      <c r="J66" s="3"/>
      <c r="K66" s="3"/>
      <c r="L66" s="3"/>
      <c r="M66" s="2">
        <v>44120</v>
      </c>
      <c r="N66" s="3">
        <v>612</v>
      </c>
      <c r="O66" s="3">
        <v>4</v>
      </c>
      <c r="P66" s="3">
        <v>555</v>
      </c>
      <c r="Q66" s="3">
        <v>6</v>
      </c>
      <c r="R66" s="3">
        <v>487</v>
      </c>
      <c r="S66" s="3">
        <v>3</v>
      </c>
      <c r="T66" s="3"/>
      <c r="U66" s="3"/>
      <c r="V66" s="3"/>
    </row>
    <row r="67" ht="15" spans="3:22">
      <c r="C67" s="4">
        <v>44141</v>
      </c>
      <c r="D67" s="5">
        <v>583</v>
      </c>
      <c r="E67" s="5">
        <v>8</v>
      </c>
      <c r="F67" s="5">
        <v>532</v>
      </c>
      <c r="G67" s="5">
        <v>9</v>
      </c>
      <c r="H67" s="5">
        <v>472</v>
      </c>
      <c r="I67" s="5">
        <v>8</v>
      </c>
      <c r="J67" s="5"/>
      <c r="K67" s="5"/>
      <c r="L67" s="5"/>
      <c r="M67" s="4">
        <v>44113</v>
      </c>
      <c r="N67" s="5">
        <v>608</v>
      </c>
      <c r="O67" s="5">
        <v>15</v>
      </c>
      <c r="P67" s="5">
        <v>549</v>
      </c>
      <c r="Q67" s="5">
        <v>15</v>
      </c>
      <c r="R67" s="5">
        <v>484</v>
      </c>
      <c r="S67" s="5">
        <v>15</v>
      </c>
      <c r="T67" s="5"/>
      <c r="U67" s="5"/>
      <c r="V67" s="5"/>
    </row>
    <row r="68" ht="15" spans="3:22">
      <c r="C68" s="2">
        <v>44134</v>
      </c>
      <c r="D68" s="3">
        <v>575</v>
      </c>
      <c r="E68" s="3">
        <v>-2</v>
      </c>
      <c r="F68" s="3">
        <v>523</v>
      </c>
      <c r="G68" s="3">
        <v>-1</v>
      </c>
      <c r="H68" s="3">
        <v>464</v>
      </c>
      <c r="I68" s="3">
        <v>-2</v>
      </c>
      <c r="J68" s="3"/>
      <c r="K68" s="3"/>
      <c r="L68" s="3">
        <f>AVERAGE(N68:N71)</f>
        <v>576.75</v>
      </c>
      <c r="M68" s="2">
        <v>44099</v>
      </c>
      <c r="N68" s="3">
        <v>593</v>
      </c>
      <c r="O68" s="3">
        <v>6</v>
      </c>
      <c r="P68" s="3">
        <v>534</v>
      </c>
      <c r="Q68" s="3">
        <v>9</v>
      </c>
      <c r="R68" s="3">
        <v>469</v>
      </c>
      <c r="S68" s="3">
        <v>7</v>
      </c>
      <c r="T68" s="3"/>
      <c r="U68" s="3"/>
      <c r="V68" s="3"/>
    </row>
    <row r="69" ht="15" spans="3:22">
      <c r="C69" s="4">
        <v>44127</v>
      </c>
      <c r="D69" s="5">
        <v>577</v>
      </c>
      <c r="E69" s="5">
        <v>-3</v>
      </c>
      <c r="F69" s="5">
        <v>524</v>
      </c>
      <c r="G69" s="5">
        <v>-2</v>
      </c>
      <c r="H69" s="5">
        <v>466</v>
      </c>
      <c r="I69" s="5">
        <v>-2</v>
      </c>
      <c r="J69" s="5"/>
      <c r="K69" s="5"/>
      <c r="L69" s="5"/>
      <c r="M69" s="4">
        <v>44092</v>
      </c>
      <c r="N69" s="5">
        <v>587</v>
      </c>
      <c r="O69" s="5">
        <v>18</v>
      </c>
      <c r="P69" s="5">
        <v>525</v>
      </c>
      <c r="Q69" s="5">
        <v>16</v>
      </c>
      <c r="R69" s="5">
        <v>462</v>
      </c>
      <c r="S69" s="5">
        <v>15</v>
      </c>
      <c r="T69" s="5"/>
      <c r="U69" s="5"/>
      <c r="V69" s="5"/>
    </row>
    <row r="70" ht="15" spans="3:22">
      <c r="C70" s="2">
        <v>44120</v>
      </c>
      <c r="D70" s="3">
        <v>580</v>
      </c>
      <c r="E70" s="3">
        <v>2</v>
      </c>
      <c r="F70" s="3">
        <v>526</v>
      </c>
      <c r="G70" s="3">
        <v>2</v>
      </c>
      <c r="H70" s="3">
        <v>468</v>
      </c>
      <c r="I70" s="3">
        <v>2</v>
      </c>
      <c r="J70" s="3"/>
      <c r="K70" s="3"/>
      <c r="L70" s="3"/>
      <c r="M70" s="2">
        <v>44085</v>
      </c>
      <c r="N70" s="3">
        <v>569</v>
      </c>
      <c r="O70" s="3">
        <v>11</v>
      </c>
      <c r="P70" s="3">
        <v>509</v>
      </c>
      <c r="Q70" s="3">
        <v>10</v>
      </c>
      <c r="R70" s="3">
        <v>447</v>
      </c>
      <c r="S70" s="3">
        <v>11</v>
      </c>
      <c r="T70" s="3"/>
      <c r="U70" s="3"/>
      <c r="V70" s="3"/>
    </row>
    <row r="71" ht="15" spans="3:22">
      <c r="C71" s="6">
        <v>44113</v>
      </c>
      <c r="D71" s="7">
        <v>578</v>
      </c>
      <c r="E71" s="7">
        <v>15</v>
      </c>
      <c r="F71" s="7">
        <v>524</v>
      </c>
      <c r="G71" s="7">
        <v>15</v>
      </c>
      <c r="H71" s="7">
        <v>466</v>
      </c>
      <c r="I71" s="7">
        <v>13</v>
      </c>
      <c r="J71" s="11"/>
      <c r="K71" s="11"/>
      <c r="L71" s="11"/>
      <c r="M71" s="4">
        <v>44078</v>
      </c>
      <c r="N71" s="5">
        <v>558</v>
      </c>
      <c r="O71" s="5">
        <v>3</v>
      </c>
      <c r="P71" s="5">
        <v>499</v>
      </c>
      <c r="Q71" s="5">
        <v>3</v>
      </c>
      <c r="R71" s="5">
        <v>436</v>
      </c>
      <c r="S71" s="5">
        <v>2</v>
      </c>
      <c r="T71" s="5"/>
      <c r="U71" s="5"/>
      <c r="V71" s="5"/>
    </row>
    <row r="72" ht="15" spans="3:22">
      <c r="C72" s="2">
        <v>44099</v>
      </c>
      <c r="D72" s="3">
        <v>563</v>
      </c>
      <c r="E72" s="3">
        <v>3</v>
      </c>
      <c r="F72" s="3">
        <v>509</v>
      </c>
      <c r="G72" s="3">
        <v>3</v>
      </c>
      <c r="H72" s="3">
        <v>453</v>
      </c>
      <c r="I72" s="3">
        <v>2</v>
      </c>
      <c r="J72" s="3"/>
      <c r="K72" s="3"/>
      <c r="L72" s="3">
        <f>AVERAGE(N72:N75)</f>
        <v>560.5</v>
      </c>
      <c r="M72" s="2">
        <v>44071</v>
      </c>
      <c r="N72" s="3">
        <v>555</v>
      </c>
      <c r="O72" s="3">
        <v>-6</v>
      </c>
      <c r="P72" s="3">
        <v>496</v>
      </c>
      <c r="Q72" s="3">
        <v>-6</v>
      </c>
      <c r="R72" s="3">
        <v>434</v>
      </c>
      <c r="S72" s="3">
        <v>-6</v>
      </c>
      <c r="T72" s="3"/>
      <c r="U72" s="3"/>
      <c r="V72" s="3"/>
    </row>
    <row r="73" ht="15" spans="3:22">
      <c r="C73" s="4">
        <v>44092</v>
      </c>
      <c r="D73" s="5">
        <v>560</v>
      </c>
      <c r="E73" s="5">
        <v>6</v>
      </c>
      <c r="F73" s="5">
        <v>506</v>
      </c>
      <c r="G73" s="5">
        <v>7</v>
      </c>
      <c r="H73" s="5">
        <v>451</v>
      </c>
      <c r="I73" s="5">
        <v>8</v>
      </c>
      <c r="J73" s="5"/>
      <c r="K73" s="5"/>
      <c r="L73" s="5"/>
      <c r="M73" s="4">
        <v>44064</v>
      </c>
      <c r="N73" s="5">
        <v>561</v>
      </c>
      <c r="O73" s="5">
        <v>1</v>
      </c>
      <c r="P73" s="5">
        <v>502</v>
      </c>
      <c r="Q73" s="5">
        <v>1</v>
      </c>
      <c r="R73" s="5">
        <v>440</v>
      </c>
      <c r="S73" s="5">
        <v>-1</v>
      </c>
      <c r="T73" s="5"/>
      <c r="U73" s="5"/>
      <c r="V73" s="5"/>
    </row>
    <row r="74" ht="15" spans="3:22">
      <c r="C74" s="2">
        <v>44085</v>
      </c>
      <c r="D74" s="3">
        <v>554</v>
      </c>
      <c r="E74" s="3">
        <v>5</v>
      </c>
      <c r="F74" s="3">
        <v>499</v>
      </c>
      <c r="G74" s="3">
        <v>4</v>
      </c>
      <c r="H74" s="3">
        <v>443</v>
      </c>
      <c r="I74" s="3">
        <v>4</v>
      </c>
      <c r="J74" s="3"/>
      <c r="K74" s="3"/>
      <c r="L74" s="3"/>
      <c r="M74" s="2">
        <v>44057</v>
      </c>
      <c r="N74" s="3">
        <v>560</v>
      </c>
      <c r="O74" s="3">
        <v>-6</v>
      </c>
      <c r="P74" s="3">
        <v>501</v>
      </c>
      <c r="Q74" s="3">
        <v>-8</v>
      </c>
      <c r="R74" s="3">
        <v>441</v>
      </c>
      <c r="S74" s="3">
        <v>-8</v>
      </c>
      <c r="T74" s="3"/>
      <c r="U74" s="3"/>
      <c r="V74" s="3"/>
    </row>
    <row r="75" ht="15" spans="3:22">
      <c r="C75" s="4">
        <v>44078</v>
      </c>
      <c r="D75" s="5">
        <v>549</v>
      </c>
      <c r="E75" s="5">
        <v>-2</v>
      </c>
      <c r="F75" s="5">
        <v>495</v>
      </c>
      <c r="G75" s="5">
        <v>-2</v>
      </c>
      <c r="H75" s="5">
        <v>439</v>
      </c>
      <c r="I75" s="5">
        <v>-3</v>
      </c>
      <c r="J75" s="5"/>
      <c r="K75" s="5"/>
      <c r="L75" s="5"/>
      <c r="M75" s="4">
        <v>44050</v>
      </c>
      <c r="N75" s="5">
        <v>566</v>
      </c>
      <c r="O75" s="5">
        <v>-6</v>
      </c>
      <c r="P75" s="5">
        <v>509</v>
      </c>
      <c r="Q75" s="5">
        <v>-5</v>
      </c>
      <c r="R75" s="5">
        <v>449</v>
      </c>
      <c r="S75" s="5">
        <v>-6</v>
      </c>
      <c r="T75" s="5"/>
      <c r="U75" s="5"/>
      <c r="V75" s="5"/>
    </row>
    <row r="76" ht="15" spans="3:22">
      <c r="C76" s="2">
        <v>44071</v>
      </c>
      <c r="D76" s="3">
        <v>551</v>
      </c>
      <c r="E76" s="3">
        <v>-2</v>
      </c>
      <c r="F76" s="3">
        <v>497</v>
      </c>
      <c r="G76" s="3">
        <v>-2</v>
      </c>
      <c r="H76" s="3">
        <v>442</v>
      </c>
      <c r="I76" s="3">
        <v>-2</v>
      </c>
      <c r="J76" s="3"/>
      <c r="K76" s="3"/>
      <c r="L76" s="3">
        <f>AVERAGE(N76:N80)</f>
        <v>580.2</v>
      </c>
      <c r="M76" s="2">
        <v>44043</v>
      </c>
      <c r="N76" s="3">
        <v>572</v>
      </c>
      <c r="O76" s="3">
        <v>-4</v>
      </c>
      <c r="P76" s="3">
        <v>514</v>
      </c>
      <c r="Q76" s="3">
        <v>-6</v>
      </c>
      <c r="R76" s="3">
        <v>455</v>
      </c>
      <c r="S76" s="3">
        <v>-4</v>
      </c>
      <c r="T76" s="3"/>
      <c r="U76" s="3"/>
      <c r="V76" s="3"/>
    </row>
    <row r="77" ht="15" spans="3:22">
      <c r="C77" s="4">
        <v>44064</v>
      </c>
      <c r="D77" s="5">
        <v>553</v>
      </c>
      <c r="E77" s="5">
        <v>0</v>
      </c>
      <c r="F77" s="5">
        <v>499</v>
      </c>
      <c r="G77" s="5">
        <v>0</v>
      </c>
      <c r="H77" s="5">
        <v>444</v>
      </c>
      <c r="I77" s="5">
        <v>0</v>
      </c>
      <c r="J77" s="5"/>
      <c r="K77" s="5"/>
      <c r="L77" s="5"/>
      <c r="M77" s="4">
        <v>44036</v>
      </c>
      <c r="N77" s="5">
        <v>576</v>
      </c>
      <c r="O77" s="5">
        <v>-13</v>
      </c>
      <c r="P77" s="5">
        <v>520</v>
      </c>
      <c r="Q77" s="5">
        <v>-16</v>
      </c>
      <c r="R77" s="5">
        <v>459</v>
      </c>
      <c r="S77" s="5">
        <v>-15</v>
      </c>
      <c r="T77" s="5"/>
      <c r="U77" s="5"/>
      <c r="V77" s="5"/>
    </row>
    <row r="78" ht="15" spans="3:22">
      <c r="C78" s="2">
        <v>44057</v>
      </c>
      <c r="D78" s="3">
        <v>553</v>
      </c>
      <c r="E78" s="3">
        <v>-3</v>
      </c>
      <c r="F78" s="3">
        <v>499</v>
      </c>
      <c r="G78" s="3">
        <v>-4</v>
      </c>
      <c r="H78" s="3">
        <v>444</v>
      </c>
      <c r="I78" s="3">
        <v>-3</v>
      </c>
      <c r="J78" s="3"/>
      <c r="K78" s="3"/>
      <c r="L78" s="3"/>
      <c r="M78" s="2">
        <v>44029</v>
      </c>
      <c r="N78" s="3">
        <v>589</v>
      </c>
      <c r="O78" s="3">
        <v>-2</v>
      </c>
      <c r="P78" s="3">
        <v>536</v>
      </c>
      <c r="Q78" s="3">
        <v>-3</v>
      </c>
      <c r="R78" s="3">
        <v>474</v>
      </c>
      <c r="S78" s="3">
        <v>-3</v>
      </c>
      <c r="T78" s="3"/>
      <c r="U78" s="3"/>
      <c r="V78" s="3"/>
    </row>
    <row r="79" ht="15" spans="3:22">
      <c r="C79" s="4">
        <v>44050</v>
      </c>
      <c r="D79" s="5">
        <v>556</v>
      </c>
      <c r="E79" s="5">
        <v>1</v>
      </c>
      <c r="F79" s="5">
        <v>503</v>
      </c>
      <c r="G79" s="5">
        <v>0</v>
      </c>
      <c r="H79" s="5">
        <v>447</v>
      </c>
      <c r="I79" s="5">
        <v>-1</v>
      </c>
      <c r="J79" s="5"/>
      <c r="K79" s="5"/>
      <c r="L79" s="5"/>
      <c r="M79" s="4">
        <v>44022</v>
      </c>
      <c r="N79" s="5">
        <v>591</v>
      </c>
      <c r="O79" s="5">
        <v>18</v>
      </c>
      <c r="P79" s="5">
        <v>539</v>
      </c>
      <c r="Q79" s="5">
        <v>17</v>
      </c>
      <c r="R79" s="5">
        <v>477</v>
      </c>
      <c r="S79" s="5">
        <v>16</v>
      </c>
      <c r="T79" s="5"/>
      <c r="U79" s="5"/>
      <c r="V79" s="5"/>
    </row>
    <row r="80" ht="15" spans="3:22">
      <c r="C80" s="2">
        <v>44043</v>
      </c>
      <c r="D80" s="3">
        <v>555</v>
      </c>
      <c r="E80" s="3">
        <v>-2</v>
      </c>
      <c r="F80" s="3">
        <v>503</v>
      </c>
      <c r="G80" s="3">
        <v>-2</v>
      </c>
      <c r="H80" s="3">
        <v>448</v>
      </c>
      <c r="I80" s="3">
        <v>-2</v>
      </c>
      <c r="J80" s="3"/>
      <c r="K80" s="3"/>
      <c r="L80" s="3"/>
      <c r="M80" s="2">
        <v>44015</v>
      </c>
      <c r="N80" s="3">
        <v>573</v>
      </c>
      <c r="O80" s="3">
        <v>7</v>
      </c>
      <c r="P80" s="3">
        <v>522</v>
      </c>
      <c r="Q80" s="3">
        <v>6</v>
      </c>
      <c r="R80" s="3">
        <v>461</v>
      </c>
      <c r="S80" s="3">
        <v>8</v>
      </c>
      <c r="T80" s="3"/>
      <c r="U80" s="3"/>
      <c r="V80" s="3"/>
    </row>
    <row r="81" ht="15" spans="3:22">
      <c r="C81" s="6">
        <v>44036</v>
      </c>
      <c r="D81" s="7">
        <v>557</v>
      </c>
      <c r="E81" s="7">
        <v>-5</v>
      </c>
      <c r="F81" s="7">
        <v>505</v>
      </c>
      <c r="G81" s="7">
        <v>-6</v>
      </c>
      <c r="H81" s="7">
        <v>450</v>
      </c>
      <c r="I81" s="7">
        <v>-5</v>
      </c>
      <c r="J81" s="11"/>
      <c r="K81" s="11"/>
      <c r="L81" s="3">
        <f>AVERAGE(N81:N83)</f>
        <v>554.666666666667</v>
      </c>
      <c r="M81" s="6">
        <v>44001</v>
      </c>
      <c r="N81" s="7">
        <v>566</v>
      </c>
      <c r="O81" s="7">
        <v>11</v>
      </c>
      <c r="P81" s="7">
        <v>516</v>
      </c>
      <c r="Q81" s="7">
        <v>15</v>
      </c>
      <c r="R81" s="7">
        <v>453</v>
      </c>
      <c r="S81" s="7">
        <v>14</v>
      </c>
      <c r="T81" s="11"/>
      <c r="U81" s="11"/>
      <c r="V81" s="11"/>
    </row>
    <row r="82" ht="15" spans="13:22">
      <c r="M82" s="2">
        <v>43994</v>
      </c>
      <c r="N82" s="3">
        <v>555</v>
      </c>
      <c r="O82" s="3">
        <v>12</v>
      </c>
      <c r="P82" s="3">
        <v>501</v>
      </c>
      <c r="Q82" s="3">
        <v>14</v>
      </c>
      <c r="R82" s="3">
        <v>439</v>
      </c>
      <c r="S82" s="3">
        <v>12</v>
      </c>
      <c r="T82" s="3"/>
      <c r="U82" s="3"/>
      <c r="V82" s="3"/>
    </row>
    <row r="83" ht="15" spans="13:22">
      <c r="M83" s="4">
        <v>43987</v>
      </c>
      <c r="N83" s="5">
        <v>543</v>
      </c>
      <c r="O83" s="5">
        <v>-2</v>
      </c>
      <c r="P83" s="5">
        <v>487</v>
      </c>
      <c r="Q83" s="5">
        <v>0</v>
      </c>
      <c r="R83" s="5">
        <v>427</v>
      </c>
      <c r="S83" s="5">
        <v>0</v>
      </c>
      <c r="T83" s="5"/>
      <c r="U83" s="5"/>
      <c r="V83" s="5"/>
    </row>
    <row r="84" ht="15" spans="12:22">
      <c r="L84" s="3">
        <f>AVERAGE(N84:N87)</f>
        <v>505.5</v>
      </c>
      <c r="M84" s="2">
        <v>43980</v>
      </c>
      <c r="N84" s="3">
        <v>545</v>
      </c>
      <c r="O84" s="3">
        <v>26</v>
      </c>
      <c r="P84" s="3">
        <v>487</v>
      </c>
      <c r="Q84" s="3">
        <v>31</v>
      </c>
      <c r="R84" s="3">
        <v>427</v>
      </c>
      <c r="S84" s="3">
        <v>26</v>
      </c>
      <c r="T84" s="3"/>
      <c r="U84" s="3"/>
      <c r="V84" s="3"/>
    </row>
    <row r="85" ht="15" spans="13:22">
      <c r="M85" s="4">
        <v>43973</v>
      </c>
      <c r="N85" s="5">
        <v>519</v>
      </c>
      <c r="O85" s="5">
        <v>36</v>
      </c>
      <c r="P85" s="5">
        <v>456</v>
      </c>
      <c r="Q85" s="5">
        <v>40</v>
      </c>
      <c r="R85" s="5">
        <v>401</v>
      </c>
      <c r="S85" s="5">
        <v>34</v>
      </c>
      <c r="T85" s="5"/>
      <c r="U85" s="5"/>
      <c r="V85" s="5"/>
    </row>
    <row r="86" ht="15" spans="13:22">
      <c r="M86" s="2">
        <v>43966</v>
      </c>
      <c r="N86" s="3">
        <v>483</v>
      </c>
      <c r="O86" s="3">
        <v>8</v>
      </c>
      <c r="P86" s="3">
        <v>416</v>
      </c>
      <c r="Q86" s="3">
        <v>10</v>
      </c>
      <c r="R86" s="3">
        <v>367</v>
      </c>
      <c r="S86" s="3">
        <v>8</v>
      </c>
      <c r="T86" s="3"/>
      <c r="U86" s="3"/>
      <c r="V86" s="3"/>
    </row>
    <row r="87" ht="15" spans="13:22">
      <c r="M87" s="4">
        <v>43959</v>
      </c>
      <c r="N87" s="5">
        <v>475</v>
      </c>
      <c r="O87" s="5">
        <v>-17</v>
      </c>
      <c r="P87" s="5">
        <v>406</v>
      </c>
      <c r="Q87" s="5">
        <v>-10</v>
      </c>
      <c r="R87" s="5">
        <v>359</v>
      </c>
      <c r="S87" s="5">
        <v>-10</v>
      </c>
      <c r="T87" s="5"/>
      <c r="U87" s="5"/>
      <c r="V87" s="5"/>
    </row>
    <row r="88" ht="15" spans="12:22">
      <c r="L88" s="3">
        <f>AVERAGE(N88:N91)</f>
        <v>511.5</v>
      </c>
      <c r="M88" s="2">
        <v>43945</v>
      </c>
      <c r="N88" s="3">
        <v>492</v>
      </c>
      <c r="O88" s="3">
        <v>-8</v>
      </c>
      <c r="P88" s="3">
        <v>416</v>
      </c>
      <c r="Q88" s="3">
        <v>-11</v>
      </c>
      <c r="R88" s="3">
        <v>369</v>
      </c>
      <c r="S88" s="3">
        <v>-13</v>
      </c>
      <c r="T88" s="3"/>
      <c r="U88" s="3"/>
      <c r="V88" s="3"/>
    </row>
    <row r="89" ht="15" spans="13:22">
      <c r="M89" s="4">
        <v>43938</v>
      </c>
      <c r="N89" s="5">
        <v>500</v>
      </c>
      <c r="O89" s="5">
        <v>-18</v>
      </c>
      <c r="P89" s="5">
        <v>427</v>
      </c>
      <c r="Q89" s="5">
        <v>-22</v>
      </c>
      <c r="R89" s="5">
        <v>382</v>
      </c>
      <c r="S89" s="5">
        <v>-22</v>
      </c>
      <c r="T89" s="5"/>
      <c r="U89" s="5"/>
      <c r="V89" s="5"/>
    </row>
    <row r="90" ht="15" spans="13:22">
      <c r="M90" s="2">
        <v>43931</v>
      </c>
      <c r="N90" s="3">
        <v>518</v>
      </c>
      <c r="O90" s="3">
        <v>-18</v>
      </c>
      <c r="P90" s="3">
        <v>449</v>
      </c>
      <c r="Q90" s="3">
        <v>-23</v>
      </c>
      <c r="R90" s="3">
        <v>404</v>
      </c>
      <c r="S90" s="3">
        <v>-15</v>
      </c>
      <c r="T90" s="3"/>
      <c r="U90" s="3"/>
      <c r="V90" s="3"/>
    </row>
    <row r="91" ht="15" spans="13:22">
      <c r="M91" s="6">
        <v>43924</v>
      </c>
      <c r="N91" s="7">
        <v>536</v>
      </c>
      <c r="O91" s="7">
        <v>-11</v>
      </c>
      <c r="P91" s="7">
        <v>472</v>
      </c>
      <c r="Q91" s="7">
        <v>-11</v>
      </c>
      <c r="R91" s="7">
        <v>419</v>
      </c>
      <c r="S91" s="7">
        <v>-12</v>
      </c>
      <c r="T91" s="11"/>
      <c r="U91" s="11"/>
      <c r="V91" s="11"/>
    </row>
    <row r="92" ht="15" spans="12:22">
      <c r="L92" s="3">
        <f>AVERAGE(N92:N95)</f>
        <v>559.25</v>
      </c>
      <c r="M92" s="2">
        <v>43917</v>
      </c>
      <c r="N92" s="3">
        <v>547</v>
      </c>
      <c r="O92" s="3">
        <v>-7</v>
      </c>
      <c r="P92" s="3">
        <v>483</v>
      </c>
      <c r="Q92" s="3">
        <v>-11</v>
      </c>
      <c r="R92" s="3">
        <v>431</v>
      </c>
      <c r="S92" s="3">
        <v>-12</v>
      </c>
      <c r="T92" s="3"/>
      <c r="U92" s="3"/>
      <c r="V92" s="3"/>
    </row>
    <row r="93" ht="15" spans="13:22">
      <c r="M93" s="4">
        <v>43910</v>
      </c>
      <c r="N93" s="5">
        <v>554</v>
      </c>
      <c r="O93" s="5">
        <v>-10</v>
      </c>
      <c r="P93" s="5">
        <v>494</v>
      </c>
      <c r="Q93" s="5">
        <v>-14</v>
      </c>
      <c r="R93" s="5">
        <v>443</v>
      </c>
      <c r="S93" s="5">
        <v>-12</v>
      </c>
      <c r="T93" s="5"/>
      <c r="U93" s="5"/>
      <c r="V93" s="5"/>
    </row>
    <row r="94" ht="15" spans="13:22">
      <c r="M94" s="2">
        <v>43903</v>
      </c>
      <c r="N94" s="3">
        <v>564</v>
      </c>
      <c r="O94" s="3">
        <v>-8</v>
      </c>
      <c r="P94" s="3">
        <v>508</v>
      </c>
      <c r="Q94" s="3">
        <v>-7</v>
      </c>
      <c r="R94" s="3">
        <v>455</v>
      </c>
      <c r="S94" s="3">
        <v>-8</v>
      </c>
      <c r="T94" s="3"/>
      <c r="U94" s="3"/>
      <c r="V94" s="3"/>
    </row>
    <row r="95" ht="15" spans="13:22">
      <c r="M95" s="4">
        <v>43896</v>
      </c>
      <c r="N95" s="5">
        <v>572</v>
      </c>
      <c r="O95" s="5">
        <v>-3</v>
      </c>
      <c r="P95" s="5">
        <v>515</v>
      </c>
      <c r="Q95" s="5">
        <v>-2</v>
      </c>
      <c r="R95" s="5">
        <v>463</v>
      </c>
      <c r="S95" s="5">
        <v>-3</v>
      </c>
      <c r="T95" s="5"/>
      <c r="U95" s="5"/>
      <c r="V95" s="5"/>
    </row>
    <row r="96" ht="15" spans="12:22">
      <c r="L96" s="3">
        <f>AVERAGE(N96:N99)</f>
        <v>574.25</v>
      </c>
      <c r="M96" s="2">
        <v>43889</v>
      </c>
      <c r="N96" s="3">
        <v>575</v>
      </c>
      <c r="O96" s="3">
        <v>-1</v>
      </c>
      <c r="P96" s="3">
        <v>517</v>
      </c>
      <c r="Q96" s="3">
        <v>-1</v>
      </c>
      <c r="R96" s="3">
        <v>466</v>
      </c>
      <c r="S96" s="3">
        <v>0</v>
      </c>
      <c r="T96" s="3"/>
      <c r="U96" s="3"/>
      <c r="V96" s="3"/>
    </row>
    <row r="97" ht="15" spans="13:22">
      <c r="M97" s="4">
        <v>43882</v>
      </c>
      <c r="N97" s="5">
        <v>576</v>
      </c>
      <c r="O97" s="5">
        <v>0</v>
      </c>
      <c r="P97" s="5">
        <v>518</v>
      </c>
      <c r="Q97" s="5">
        <v>1</v>
      </c>
      <c r="R97" s="5">
        <v>466</v>
      </c>
      <c r="S97" s="5">
        <v>1</v>
      </c>
      <c r="T97" s="5"/>
      <c r="U97" s="5"/>
      <c r="V97" s="5"/>
    </row>
    <row r="98" ht="15" spans="13:22">
      <c r="M98" s="2">
        <v>43875</v>
      </c>
      <c r="N98" s="3">
        <v>576</v>
      </c>
      <c r="O98" s="3">
        <v>6</v>
      </c>
      <c r="P98" s="3">
        <v>517</v>
      </c>
      <c r="Q98" s="3">
        <v>5</v>
      </c>
      <c r="R98" s="3">
        <v>465</v>
      </c>
      <c r="S98" s="3">
        <v>5</v>
      </c>
      <c r="T98" s="3"/>
      <c r="U98" s="3"/>
      <c r="V98" s="3"/>
    </row>
    <row r="99" ht="15" spans="13:22">
      <c r="M99" s="4">
        <v>43868</v>
      </c>
      <c r="N99" s="5">
        <v>570</v>
      </c>
      <c r="O99" s="5">
        <v>7</v>
      </c>
      <c r="P99" s="5">
        <v>512</v>
      </c>
      <c r="Q99" s="5">
        <v>7</v>
      </c>
      <c r="R99" s="5">
        <v>460</v>
      </c>
      <c r="S99" s="5">
        <v>7</v>
      </c>
      <c r="T99" s="5"/>
      <c r="U99" s="5"/>
      <c r="V99" s="5"/>
    </row>
    <row r="100" ht="15" spans="12:22">
      <c r="L100" s="3">
        <f>AVERAGE(N100:N102)</f>
        <v>560.333333333333</v>
      </c>
      <c r="M100" s="2">
        <v>43847</v>
      </c>
      <c r="N100" s="3">
        <v>563</v>
      </c>
      <c r="O100" s="3">
        <v>3</v>
      </c>
      <c r="P100" s="3">
        <v>505</v>
      </c>
      <c r="Q100" s="3">
        <v>4</v>
      </c>
      <c r="R100" s="3">
        <v>453</v>
      </c>
      <c r="S100" s="3">
        <v>4</v>
      </c>
      <c r="T100" s="3"/>
      <c r="U100" s="3"/>
      <c r="V100" s="3"/>
    </row>
    <row r="101" ht="15" spans="13:22">
      <c r="M101" s="4">
        <v>43840</v>
      </c>
      <c r="N101" s="5">
        <v>560</v>
      </c>
      <c r="O101" s="5">
        <v>2</v>
      </c>
      <c r="P101" s="5">
        <v>501</v>
      </c>
      <c r="Q101" s="5">
        <v>4</v>
      </c>
      <c r="R101" s="5">
        <v>449</v>
      </c>
      <c r="S101" s="5">
        <v>3</v>
      </c>
      <c r="T101" s="5"/>
      <c r="U101" s="5"/>
      <c r="V101" s="5"/>
    </row>
    <row r="102" ht="15" spans="13:22">
      <c r="M102" s="2">
        <v>43833</v>
      </c>
      <c r="N102" s="3">
        <v>558</v>
      </c>
      <c r="O102" s="3">
        <v>4</v>
      </c>
      <c r="P102" s="3">
        <v>497</v>
      </c>
      <c r="Q102" s="3">
        <v>5</v>
      </c>
      <c r="R102" s="3">
        <v>446</v>
      </c>
      <c r="S102" s="3">
        <v>6</v>
      </c>
      <c r="T102" s="3"/>
      <c r="U102" s="3"/>
      <c r="V102" s="3"/>
    </row>
    <row r="103" ht="15" spans="12:22">
      <c r="L103" s="3">
        <f>AVERAGE(N103:N106)</f>
        <v>551.5</v>
      </c>
      <c r="M103" s="4">
        <v>43826</v>
      </c>
      <c r="N103" s="5">
        <v>554</v>
      </c>
      <c r="O103" s="5">
        <v>4</v>
      </c>
      <c r="P103" s="5">
        <v>492</v>
      </c>
      <c r="Q103" s="5">
        <v>4</v>
      </c>
      <c r="R103" s="5">
        <v>440</v>
      </c>
      <c r="S103" s="5">
        <v>3</v>
      </c>
      <c r="T103" s="5"/>
      <c r="U103" s="5"/>
      <c r="V103" s="5"/>
    </row>
    <row r="104" ht="15" spans="13:22">
      <c r="M104" s="2">
        <v>43819</v>
      </c>
      <c r="N104" s="3">
        <v>550</v>
      </c>
      <c r="O104" s="3">
        <v>0</v>
      </c>
      <c r="P104" s="3">
        <v>488</v>
      </c>
      <c r="Q104" s="3">
        <v>-1</v>
      </c>
      <c r="R104" s="3">
        <v>437</v>
      </c>
      <c r="S104" s="3">
        <v>0</v>
      </c>
      <c r="T104" s="3"/>
      <c r="U104" s="3"/>
      <c r="V104" s="3"/>
    </row>
    <row r="105" ht="15" spans="13:22">
      <c r="M105" s="4">
        <v>43812</v>
      </c>
      <c r="N105" s="5">
        <v>550</v>
      </c>
      <c r="O105" s="5">
        <v>-2</v>
      </c>
      <c r="P105" s="5">
        <v>489</v>
      </c>
      <c r="Q105" s="5">
        <v>-3</v>
      </c>
      <c r="R105" s="5">
        <v>437</v>
      </c>
      <c r="S105" s="5">
        <v>-2</v>
      </c>
      <c r="T105" s="5"/>
      <c r="U105" s="5"/>
      <c r="V105" s="5"/>
    </row>
    <row r="106" ht="15" spans="13:22">
      <c r="M106" s="2">
        <v>43805</v>
      </c>
      <c r="N106" s="3">
        <v>552</v>
      </c>
      <c r="O106" s="3">
        <v>0</v>
      </c>
      <c r="P106" s="3">
        <v>492</v>
      </c>
      <c r="Q106" s="3">
        <v>1</v>
      </c>
      <c r="R106" s="3">
        <v>439</v>
      </c>
      <c r="S106" s="3">
        <v>2</v>
      </c>
      <c r="T106" s="3"/>
      <c r="U106" s="3"/>
      <c r="V106" s="3"/>
    </row>
    <row r="107" ht="15" spans="12:22">
      <c r="L107" s="3">
        <f>AVERAGE(N107:N111)</f>
        <v>555</v>
      </c>
      <c r="M107" s="4">
        <v>43798</v>
      </c>
      <c r="N107" s="5">
        <v>552</v>
      </c>
      <c r="O107" s="5">
        <v>0</v>
      </c>
      <c r="P107" s="5">
        <v>491</v>
      </c>
      <c r="Q107" s="5">
        <v>3</v>
      </c>
      <c r="R107" s="5">
        <v>437</v>
      </c>
      <c r="S107" s="5">
        <v>3</v>
      </c>
      <c r="T107" s="5"/>
      <c r="U107" s="5"/>
      <c r="V107" s="5"/>
    </row>
    <row r="108" ht="15" spans="13:22">
      <c r="M108" s="2">
        <v>43791</v>
      </c>
      <c r="N108" s="3">
        <v>552</v>
      </c>
      <c r="O108" s="3">
        <v>0</v>
      </c>
      <c r="P108" s="3">
        <v>488</v>
      </c>
      <c r="Q108" s="3">
        <v>4</v>
      </c>
      <c r="R108" s="3">
        <v>434</v>
      </c>
      <c r="S108" s="3">
        <v>2</v>
      </c>
      <c r="T108" s="3"/>
      <c r="U108" s="3"/>
      <c r="V108" s="3"/>
    </row>
    <row r="109" ht="15" spans="13:22">
      <c r="M109" s="4">
        <v>43784</v>
      </c>
      <c r="N109" s="5">
        <v>552</v>
      </c>
      <c r="O109" s="5">
        <v>-1</v>
      </c>
      <c r="P109" s="5">
        <v>484</v>
      </c>
      <c r="Q109" s="5">
        <v>0</v>
      </c>
      <c r="R109" s="5">
        <v>432</v>
      </c>
      <c r="S109" s="5">
        <v>0</v>
      </c>
      <c r="T109" s="5"/>
      <c r="U109" s="5"/>
      <c r="V109" s="5"/>
    </row>
    <row r="110" ht="15" spans="13:22">
      <c r="M110" s="2">
        <v>43777</v>
      </c>
      <c r="N110" s="3">
        <v>553</v>
      </c>
      <c r="O110" s="3">
        <v>-13</v>
      </c>
      <c r="P110" s="3">
        <v>484</v>
      </c>
      <c r="Q110" s="3">
        <v>-11</v>
      </c>
      <c r="R110" s="3">
        <v>432</v>
      </c>
      <c r="S110" s="3">
        <v>-10</v>
      </c>
      <c r="T110" s="3"/>
      <c r="U110" s="3"/>
      <c r="V110" s="3"/>
    </row>
    <row r="111" ht="15" spans="13:22">
      <c r="M111" s="4">
        <v>43770</v>
      </c>
      <c r="N111" s="5">
        <v>566</v>
      </c>
      <c r="O111" s="5">
        <v>-7</v>
      </c>
      <c r="P111" s="5">
        <v>495</v>
      </c>
      <c r="Q111" s="5">
        <v>-7</v>
      </c>
      <c r="R111" s="5">
        <v>442</v>
      </c>
      <c r="S111" s="5">
        <v>-4</v>
      </c>
      <c r="T111" s="5"/>
      <c r="U111" s="5"/>
      <c r="V111" s="5"/>
    </row>
    <row r="112" ht="15" spans="12:22">
      <c r="L112" s="3">
        <f>AVERAGE(N112:N114)</f>
        <v>579.333333333333</v>
      </c>
      <c r="M112" s="2">
        <v>43763</v>
      </c>
      <c r="N112" s="3">
        <v>573</v>
      </c>
      <c r="O112" s="3">
        <v>-7</v>
      </c>
      <c r="P112" s="3">
        <v>502</v>
      </c>
      <c r="Q112" s="3">
        <v>-9</v>
      </c>
      <c r="R112" s="3">
        <v>446</v>
      </c>
      <c r="S112" s="3">
        <v>-10</v>
      </c>
      <c r="T112" s="3"/>
      <c r="U112" s="3"/>
      <c r="V112" s="3"/>
    </row>
    <row r="113" ht="15" spans="13:22">
      <c r="M113" s="4">
        <v>43756</v>
      </c>
      <c r="N113" s="5">
        <v>580</v>
      </c>
      <c r="O113" s="5">
        <v>-5</v>
      </c>
      <c r="P113" s="5">
        <v>511</v>
      </c>
      <c r="Q113" s="5">
        <v>-5</v>
      </c>
      <c r="R113" s="5">
        <v>456</v>
      </c>
      <c r="S113" s="5">
        <v>0</v>
      </c>
      <c r="T113" s="5"/>
      <c r="U113" s="5"/>
      <c r="V113" s="5"/>
    </row>
    <row r="114" ht="15" spans="13:22">
      <c r="M114" s="2">
        <v>43749</v>
      </c>
      <c r="N114" s="3">
        <v>585</v>
      </c>
      <c r="O114" s="3">
        <v>-1</v>
      </c>
      <c r="P114" s="3">
        <v>516</v>
      </c>
      <c r="Q114" s="3">
        <v>-1</v>
      </c>
      <c r="R114" s="3">
        <v>456</v>
      </c>
      <c r="S114" s="3">
        <v>0</v>
      </c>
      <c r="T114" s="3"/>
      <c r="U114" s="3"/>
      <c r="V114" s="3"/>
    </row>
    <row r="115" ht="15" spans="12:22">
      <c r="L115" s="3">
        <f>AVERAGE(N115:N117)</f>
        <v>584.333333333333</v>
      </c>
      <c r="M115" s="4">
        <v>43735</v>
      </c>
      <c r="N115" s="5">
        <v>586</v>
      </c>
      <c r="O115" s="5">
        <v>0</v>
      </c>
      <c r="P115" s="5">
        <v>517</v>
      </c>
      <c r="Q115" s="5">
        <v>0</v>
      </c>
      <c r="R115" s="5">
        <v>456</v>
      </c>
      <c r="S115" s="5">
        <v>1</v>
      </c>
      <c r="T115" s="5"/>
      <c r="U115" s="5"/>
      <c r="V115" s="5"/>
    </row>
    <row r="116" ht="15" spans="13:22">
      <c r="M116" s="2">
        <v>43728</v>
      </c>
      <c r="N116" s="3">
        <v>586</v>
      </c>
      <c r="O116" s="3">
        <v>5</v>
      </c>
      <c r="P116" s="3">
        <v>517</v>
      </c>
      <c r="Q116" s="3">
        <v>7</v>
      </c>
      <c r="R116" s="3">
        <v>455</v>
      </c>
      <c r="S116" s="3">
        <v>8</v>
      </c>
      <c r="T116" s="3"/>
      <c r="U116" s="3"/>
      <c r="V116" s="3"/>
    </row>
    <row r="117" ht="15" spans="13:22">
      <c r="M117" s="4">
        <v>43714</v>
      </c>
      <c r="N117" s="5">
        <v>581</v>
      </c>
      <c r="O117" s="5">
        <v>-3</v>
      </c>
      <c r="P117" s="5">
        <v>510</v>
      </c>
      <c r="Q117" s="5">
        <v>-2</v>
      </c>
      <c r="R117" s="5">
        <v>447</v>
      </c>
      <c r="S117" s="5">
        <v>1</v>
      </c>
      <c r="T117" s="5"/>
      <c r="U117" s="5"/>
      <c r="V117" s="5"/>
    </row>
    <row r="118" ht="15" spans="12:22">
      <c r="L118" s="3">
        <f>AVERAGE(N118:N122)</f>
        <v>586.2</v>
      </c>
      <c r="M118" s="2">
        <v>43707</v>
      </c>
      <c r="N118" s="3">
        <v>584</v>
      </c>
      <c r="O118" s="3">
        <v>0</v>
      </c>
      <c r="P118" s="3">
        <v>512</v>
      </c>
      <c r="Q118" s="3">
        <v>2</v>
      </c>
      <c r="R118" s="3">
        <v>446</v>
      </c>
      <c r="S118" s="3">
        <v>2</v>
      </c>
      <c r="T118" s="3"/>
      <c r="U118" s="3"/>
      <c r="V118" s="3"/>
    </row>
    <row r="119" ht="15" spans="13:22">
      <c r="M119" s="4">
        <v>43700</v>
      </c>
      <c r="N119" s="5">
        <v>584</v>
      </c>
      <c r="O119" s="5">
        <v>3</v>
      </c>
      <c r="P119" s="5">
        <v>510</v>
      </c>
      <c r="Q119" s="5">
        <v>3</v>
      </c>
      <c r="R119" s="5">
        <v>444</v>
      </c>
      <c r="S119" s="5">
        <v>4</v>
      </c>
      <c r="T119" s="5"/>
      <c r="U119" s="5"/>
      <c r="V119" s="5"/>
    </row>
    <row r="120" ht="15" spans="13:22">
      <c r="M120" s="2">
        <v>43693</v>
      </c>
      <c r="N120" s="3">
        <v>581</v>
      </c>
      <c r="O120" s="3">
        <v>-7</v>
      </c>
      <c r="P120" s="3">
        <v>507</v>
      </c>
      <c r="Q120" s="3">
        <v>-5</v>
      </c>
      <c r="R120" s="3">
        <v>440</v>
      </c>
      <c r="S120" s="3">
        <v>-3</v>
      </c>
      <c r="T120" s="3"/>
      <c r="U120" s="3"/>
      <c r="V120" s="3"/>
    </row>
    <row r="121" ht="15" spans="13:22">
      <c r="M121" s="6">
        <v>43686</v>
      </c>
      <c r="N121" s="7">
        <v>588</v>
      </c>
      <c r="O121" s="7">
        <v>-6</v>
      </c>
      <c r="P121" s="7">
        <v>512</v>
      </c>
      <c r="Q121" s="7">
        <v>-5</v>
      </c>
      <c r="R121" s="7">
        <v>443</v>
      </c>
      <c r="S121" s="7">
        <v>1</v>
      </c>
      <c r="T121" s="11"/>
      <c r="U121" s="11"/>
      <c r="V121" s="11"/>
    </row>
    <row r="122" ht="15" spans="13:22">
      <c r="M122" s="2">
        <v>43679</v>
      </c>
      <c r="N122" s="3">
        <v>594</v>
      </c>
      <c r="O122" s="3">
        <v>1</v>
      </c>
      <c r="P122" s="3">
        <v>517</v>
      </c>
      <c r="Q122" s="3">
        <v>3</v>
      </c>
      <c r="R122" s="3">
        <v>442</v>
      </c>
      <c r="S122" s="3">
        <v>4</v>
      </c>
      <c r="T122" s="3"/>
      <c r="U122" s="3"/>
      <c r="V122" s="3"/>
    </row>
    <row r="123" ht="15" spans="12:22">
      <c r="L123" s="3">
        <f>AVERAGE(N123:N126)</f>
        <v>600.5</v>
      </c>
      <c r="M123" s="4">
        <v>43672</v>
      </c>
      <c r="N123" s="5">
        <v>593</v>
      </c>
      <c r="O123" s="5">
        <v>-4</v>
      </c>
      <c r="P123" s="5">
        <v>514</v>
      </c>
      <c r="Q123" s="5">
        <v>-5</v>
      </c>
      <c r="R123" s="5">
        <v>438</v>
      </c>
      <c r="S123" s="5">
        <v>-4</v>
      </c>
      <c r="T123" s="5"/>
      <c r="U123" s="5"/>
      <c r="V123" s="5"/>
    </row>
    <row r="124" ht="15" spans="13:22">
      <c r="M124" s="2">
        <v>43665</v>
      </c>
      <c r="N124" s="3">
        <v>597</v>
      </c>
      <c r="O124" s="3">
        <v>-8</v>
      </c>
      <c r="P124" s="3">
        <v>519</v>
      </c>
      <c r="Q124" s="3">
        <v>-10</v>
      </c>
      <c r="R124" s="3">
        <v>442</v>
      </c>
      <c r="S124" s="3">
        <v>-8</v>
      </c>
      <c r="T124" s="3"/>
      <c r="U124" s="3"/>
      <c r="V124" s="3"/>
    </row>
    <row r="125" ht="15" spans="13:22">
      <c r="M125" s="4">
        <v>43658</v>
      </c>
      <c r="N125" s="5">
        <v>605</v>
      </c>
      <c r="O125" s="5">
        <v>-2</v>
      </c>
      <c r="P125" s="5">
        <v>529</v>
      </c>
      <c r="Q125" s="5">
        <v>-4</v>
      </c>
      <c r="R125" s="5">
        <v>450</v>
      </c>
      <c r="S125" s="5">
        <v>-3</v>
      </c>
      <c r="T125" s="5"/>
      <c r="U125" s="5"/>
      <c r="V125" s="5"/>
    </row>
    <row r="126" ht="15" spans="13:22">
      <c r="M126" s="2">
        <v>43651</v>
      </c>
      <c r="N126" s="3">
        <v>607</v>
      </c>
      <c r="O126" s="3">
        <v>7</v>
      </c>
      <c r="P126" s="3">
        <v>533</v>
      </c>
      <c r="Q126" s="3">
        <v>9</v>
      </c>
      <c r="R126" s="3">
        <v>453</v>
      </c>
      <c r="S126" s="3">
        <v>6</v>
      </c>
      <c r="T126" s="3"/>
      <c r="U126" s="3"/>
      <c r="V126" s="3"/>
    </row>
    <row r="127" ht="15" spans="12:22">
      <c r="L127" s="3">
        <f>AVERAGE(N127:N129)</f>
        <v>597</v>
      </c>
      <c r="M127" s="4">
        <v>43644</v>
      </c>
      <c r="N127" s="5">
        <v>600</v>
      </c>
      <c r="O127" s="5">
        <v>5</v>
      </c>
      <c r="P127" s="5">
        <v>524</v>
      </c>
      <c r="Q127" s="5">
        <v>11</v>
      </c>
      <c r="R127" s="5">
        <v>447</v>
      </c>
      <c r="S127" s="5">
        <v>3</v>
      </c>
      <c r="T127" s="5"/>
      <c r="U127" s="5"/>
      <c r="V127" s="5"/>
    </row>
    <row r="128" ht="15" spans="13:22">
      <c r="M128" s="2">
        <v>43637</v>
      </c>
      <c r="N128" s="3">
        <v>595</v>
      </c>
      <c r="O128" s="3">
        <v>-1</v>
      </c>
      <c r="P128" s="3">
        <v>513</v>
      </c>
      <c r="Q128" s="3">
        <v>2</v>
      </c>
      <c r="R128" s="3">
        <v>444</v>
      </c>
      <c r="S128" s="3">
        <v>1</v>
      </c>
      <c r="T128" s="3"/>
      <c r="U128" s="3"/>
      <c r="V128" s="3"/>
    </row>
    <row r="129" ht="15" spans="13:22">
      <c r="M129" s="4">
        <v>43630</v>
      </c>
      <c r="N129" s="5">
        <v>596</v>
      </c>
      <c r="O129" s="5">
        <v>-10</v>
      </c>
      <c r="P129" s="5">
        <v>511</v>
      </c>
      <c r="Q129" s="5">
        <v>-6</v>
      </c>
      <c r="R129" s="5">
        <v>443</v>
      </c>
      <c r="S129" s="5">
        <v>-2</v>
      </c>
      <c r="T129" s="5"/>
      <c r="U129" s="5"/>
      <c r="V129" s="5"/>
    </row>
    <row r="130" ht="15" spans="12:22">
      <c r="L130" s="3">
        <f>AVERAGE(N130:N134)</f>
        <v>616</v>
      </c>
      <c r="M130" s="2">
        <v>43616</v>
      </c>
      <c r="N130" s="3">
        <v>606</v>
      </c>
      <c r="O130" s="3">
        <v>-11</v>
      </c>
      <c r="P130" s="3">
        <v>517</v>
      </c>
      <c r="Q130" s="3">
        <v>-8</v>
      </c>
      <c r="R130" s="3">
        <v>445</v>
      </c>
      <c r="S130" s="3">
        <v>-7</v>
      </c>
      <c r="T130" s="3"/>
      <c r="U130" s="3"/>
      <c r="V130" s="3"/>
    </row>
    <row r="131" ht="15" spans="13:22">
      <c r="M131" s="4">
        <v>43609</v>
      </c>
      <c r="N131" s="5">
        <v>617</v>
      </c>
      <c r="O131" s="5">
        <v>-2</v>
      </c>
      <c r="P131" s="5">
        <v>525</v>
      </c>
      <c r="Q131" s="5">
        <v>-1</v>
      </c>
      <c r="R131" s="5">
        <v>452</v>
      </c>
      <c r="S131" s="5">
        <v>-5</v>
      </c>
      <c r="T131" s="5"/>
      <c r="U131" s="5"/>
      <c r="V131" s="5"/>
    </row>
    <row r="132" ht="15" spans="13:22">
      <c r="M132" s="2">
        <v>43602</v>
      </c>
      <c r="N132" s="3">
        <v>619</v>
      </c>
      <c r="O132" s="3">
        <v>0</v>
      </c>
      <c r="P132" s="3">
        <v>526</v>
      </c>
      <c r="Q132" s="3">
        <v>3</v>
      </c>
      <c r="R132" s="3">
        <v>457</v>
      </c>
      <c r="S132" s="3">
        <v>3</v>
      </c>
      <c r="T132" s="3"/>
      <c r="U132" s="3"/>
      <c r="V132" s="3"/>
    </row>
    <row r="133" ht="15" spans="13:22">
      <c r="M133" s="4">
        <v>43595</v>
      </c>
      <c r="N133" s="5">
        <v>619</v>
      </c>
      <c r="O133" s="5">
        <v>0</v>
      </c>
      <c r="P133" s="5">
        <v>523</v>
      </c>
      <c r="Q133" s="5">
        <v>1</v>
      </c>
      <c r="R133" s="5">
        <v>454</v>
      </c>
      <c r="S133" s="5">
        <v>0</v>
      </c>
      <c r="T133" s="5"/>
      <c r="U133" s="5"/>
      <c r="V133" s="5"/>
    </row>
    <row r="134" ht="15" spans="13:22">
      <c r="M134" s="2">
        <v>43591</v>
      </c>
      <c r="N134" s="3">
        <v>619</v>
      </c>
      <c r="O134" s="3">
        <v>-1</v>
      </c>
      <c r="P134" s="3">
        <v>522</v>
      </c>
      <c r="Q134" s="3">
        <v>-1</v>
      </c>
      <c r="R134" s="3">
        <v>454</v>
      </c>
      <c r="S134" s="3">
        <v>-1</v>
      </c>
      <c r="T134" s="3"/>
      <c r="U134" s="3"/>
      <c r="V134" s="3"/>
    </row>
    <row r="135" ht="15" spans="12:22">
      <c r="L135" s="3">
        <f>AVERAGE(N135:N139)</f>
        <v>625.2</v>
      </c>
      <c r="M135" s="4">
        <v>43584</v>
      </c>
      <c r="N135" s="5">
        <v>620</v>
      </c>
      <c r="O135" s="5">
        <v>-8</v>
      </c>
      <c r="P135" s="5">
        <v>523</v>
      </c>
      <c r="Q135" s="5">
        <v>-9</v>
      </c>
      <c r="R135" s="5">
        <v>455</v>
      </c>
      <c r="S135" s="5">
        <v>-9</v>
      </c>
      <c r="T135" s="5"/>
      <c r="U135" s="5"/>
      <c r="V135" s="5"/>
    </row>
    <row r="136" ht="15" spans="13:22">
      <c r="M136" s="2">
        <v>43577</v>
      </c>
      <c r="N136" s="3">
        <v>628</v>
      </c>
      <c r="O136" s="3">
        <v>-3</v>
      </c>
      <c r="P136" s="3">
        <v>532</v>
      </c>
      <c r="Q136" s="3">
        <v>-1</v>
      </c>
      <c r="R136" s="3">
        <v>464</v>
      </c>
      <c r="S136" s="3">
        <v>-2</v>
      </c>
      <c r="T136" s="3"/>
      <c r="U136" s="3"/>
      <c r="V136" s="3"/>
    </row>
    <row r="137" ht="15" spans="13:22">
      <c r="M137" s="4">
        <v>43570</v>
      </c>
      <c r="N137" s="5">
        <v>631</v>
      </c>
      <c r="O137" s="5">
        <v>8</v>
      </c>
      <c r="P137" s="5">
        <v>533</v>
      </c>
      <c r="Q137" s="5">
        <v>12</v>
      </c>
      <c r="R137" s="5">
        <v>466</v>
      </c>
      <c r="S137" s="5">
        <v>11</v>
      </c>
      <c r="T137" s="5"/>
      <c r="U137" s="5"/>
      <c r="V137" s="5"/>
    </row>
    <row r="138" ht="15" spans="13:22">
      <c r="M138" s="2">
        <v>43563</v>
      </c>
      <c r="N138" s="3">
        <v>623</v>
      </c>
      <c r="O138" s="3">
        <v>-1</v>
      </c>
      <c r="P138" s="3">
        <v>521</v>
      </c>
      <c r="Q138" s="3">
        <v>-3</v>
      </c>
      <c r="R138" s="3">
        <v>455</v>
      </c>
      <c r="S138" s="3">
        <v>-3</v>
      </c>
      <c r="T138" s="3"/>
      <c r="U138" s="3"/>
      <c r="V138" s="3"/>
    </row>
    <row r="139" ht="15" spans="13:22">
      <c r="M139" s="4">
        <v>43556</v>
      </c>
      <c r="N139" s="5">
        <v>624</v>
      </c>
      <c r="O139" s="5">
        <v>-1</v>
      </c>
      <c r="P139" s="5">
        <v>524</v>
      </c>
      <c r="Q139" s="5">
        <v>-4</v>
      </c>
      <c r="R139" s="5">
        <v>458</v>
      </c>
      <c r="S139" s="5">
        <v>-3</v>
      </c>
      <c r="T139" s="5"/>
      <c r="U139" s="5"/>
      <c r="V139" s="5"/>
    </row>
    <row r="140" ht="15" spans="12:22">
      <c r="L140" s="3">
        <f>AVERAGE(N140:N143)</f>
        <v>626.25</v>
      </c>
      <c r="M140" s="2">
        <v>43549</v>
      </c>
      <c r="N140" s="3">
        <v>625</v>
      </c>
      <c r="O140" s="3">
        <v>-7</v>
      </c>
      <c r="P140" s="3">
        <v>528</v>
      </c>
      <c r="Q140" s="3">
        <v>-25</v>
      </c>
      <c r="R140" s="3">
        <v>461</v>
      </c>
      <c r="S140" s="3">
        <v>-23</v>
      </c>
      <c r="T140" s="3"/>
      <c r="U140" s="3"/>
      <c r="V140" s="3"/>
    </row>
    <row r="141" ht="15" spans="13:22">
      <c r="M141" s="6">
        <v>43542</v>
      </c>
      <c r="N141" s="7">
        <v>632</v>
      </c>
      <c r="O141" s="7">
        <v>-4</v>
      </c>
      <c r="P141" s="7">
        <v>553</v>
      </c>
      <c r="Q141" s="7">
        <v>-9</v>
      </c>
      <c r="R141" s="7">
        <v>484</v>
      </c>
      <c r="S141" s="7">
        <v>-10</v>
      </c>
      <c r="T141" s="11"/>
      <c r="U141" s="11"/>
      <c r="V141" s="11"/>
    </row>
    <row r="142" ht="15" spans="13:22">
      <c r="M142" s="2">
        <v>43535</v>
      </c>
      <c r="N142" s="3">
        <v>636</v>
      </c>
      <c r="O142" s="3">
        <v>24</v>
      </c>
      <c r="P142" s="3">
        <v>562</v>
      </c>
      <c r="Q142" s="3">
        <v>23</v>
      </c>
      <c r="R142" s="3">
        <v>494</v>
      </c>
      <c r="S142" s="3">
        <v>25</v>
      </c>
      <c r="T142" s="3"/>
      <c r="U142" s="3"/>
      <c r="V142" s="3"/>
    </row>
    <row r="143" ht="15" spans="13:22">
      <c r="M143" s="4">
        <v>43528</v>
      </c>
      <c r="N143" s="5">
        <v>612</v>
      </c>
      <c r="O143" s="5">
        <v>6</v>
      </c>
      <c r="P143" s="5">
        <v>539</v>
      </c>
      <c r="Q143" s="5">
        <v>8</v>
      </c>
      <c r="R143" s="5">
        <v>469</v>
      </c>
      <c r="S143" s="5">
        <v>11</v>
      </c>
      <c r="T143" s="5"/>
      <c r="U143" s="5"/>
      <c r="V143" s="5"/>
    </row>
    <row r="144" ht="15" spans="12:22">
      <c r="L144" s="3">
        <f>AVERAGE(N144:N146)</f>
        <v>595.666666666667</v>
      </c>
      <c r="M144" s="2">
        <v>43521</v>
      </c>
      <c r="N144" s="3">
        <v>606</v>
      </c>
      <c r="O144" s="3">
        <v>12</v>
      </c>
      <c r="P144" s="3">
        <v>531</v>
      </c>
      <c r="Q144" s="3">
        <v>13</v>
      </c>
      <c r="R144" s="3">
        <v>458</v>
      </c>
      <c r="S144" s="3">
        <v>13</v>
      </c>
      <c r="T144" s="3"/>
      <c r="U144" s="3"/>
      <c r="V144" s="3"/>
    </row>
    <row r="145" ht="15" spans="13:22">
      <c r="M145" s="4">
        <v>43514</v>
      </c>
      <c r="N145" s="5">
        <v>594</v>
      </c>
      <c r="O145" s="5">
        <v>7</v>
      </c>
      <c r="P145" s="5">
        <v>518</v>
      </c>
      <c r="Q145" s="5">
        <v>7</v>
      </c>
      <c r="R145" s="5">
        <v>445</v>
      </c>
      <c r="S145" s="5">
        <v>7</v>
      </c>
      <c r="T145" s="5"/>
      <c r="U145" s="5"/>
      <c r="V145" s="5"/>
    </row>
    <row r="146" ht="15" spans="13:22">
      <c r="M146" s="2">
        <v>43507</v>
      </c>
      <c r="N146" s="3">
        <v>587</v>
      </c>
      <c r="O146" s="3">
        <v>-6</v>
      </c>
      <c r="P146" s="3">
        <v>511</v>
      </c>
      <c r="Q146" s="3">
        <v>-5</v>
      </c>
      <c r="R146" s="3">
        <v>438</v>
      </c>
      <c r="S146" s="3">
        <v>-4</v>
      </c>
      <c r="T146" s="3"/>
      <c r="U146" s="3"/>
      <c r="V146" s="3"/>
    </row>
    <row r="147" ht="15" spans="12:22">
      <c r="L147" s="3">
        <f>AVERAGE(N147:N150)</f>
        <v>589.75</v>
      </c>
      <c r="M147" s="4">
        <v>43493</v>
      </c>
      <c r="N147" s="5">
        <v>593</v>
      </c>
      <c r="O147" s="5">
        <v>6</v>
      </c>
      <c r="P147" s="5">
        <v>516</v>
      </c>
      <c r="Q147" s="5">
        <v>6</v>
      </c>
      <c r="R147" s="5">
        <v>442</v>
      </c>
      <c r="S147" s="5">
        <v>5</v>
      </c>
      <c r="T147" s="5"/>
      <c r="U147" s="5"/>
      <c r="V147" s="5"/>
    </row>
    <row r="148" ht="15" spans="13:22">
      <c r="M148" s="2">
        <v>43486</v>
      </c>
      <c r="N148" s="3">
        <v>587</v>
      </c>
      <c r="O148" s="3">
        <v>-5</v>
      </c>
      <c r="P148" s="3">
        <v>510</v>
      </c>
      <c r="Q148" s="3">
        <v>-5</v>
      </c>
      <c r="R148" s="3">
        <v>437</v>
      </c>
      <c r="S148" s="3">
        <v>-4</v>
      </c>
      <c r="T148" s="3"/>
      <c r="U148" s="3"/>
      <c r="V148" s="3"/>
    </row>
    <row r="149" ht="15" spans="13:22">
      <c r="M149" s="4">
        <v>43479</v>
      </c>
      <c r="N149" s="5">
        <v>592</v>
      </c>
      <c r="O149" s="5">
        <v>5</v>
      </c>
      <c r="P149" s="5">
        <v>515</v>
      </c>
      <c r="Q149" s="5">
        <v>4</v>
      </c>
      <c r="R149" s="5">
        <v>441</v>
      </c>
      <c r="S149" s="5">
        <v>5</v>
      </c>
      <c r="T149" s="5"/>
      <c r="U149" s="5"/>
      <c r="V149" s="5"/>
    </row>
    <row r="150" ht="15" spans="13:22">
      <c r="M150" s="2">
        <v>43472</v>
      </c>
      <c r="N150" s="3">
        <v>587</v>
      </c>
      <c r="O150" s="3">
        <v>-18</v>
      </c>
      <c r="P150" s="3">
        <v>511</v>
      </c>
      <c r="Q150" s="3">
        <v>-19</v>
      </c>
      <c r="R150" s="3">
        <v>436</v>
      </c>
      <c r="S150" s="3">
        <v>-18</v>
      </c>
      <c r="T150" s="3"/>
      <c r="U150" s="3"/>
      <c r="V150" s="3"/>
    </row>
    <row r="151" ht="15" spans="12:22">
      <c r="L151" s="3">
        <f>AVERAGE(N151:N154)</f>
        <v>621.5</v>
      </c>
      <c r="M151" s="6">
        <v>43458</v>
      </c>
      <c r="N151" s="7">
        <v>605</v>
      </c>
      <c r="O151" s="7">
        <v>-15</v>
      </c>
      <c r="P151" s="7">
        <v>530</v>
      </c>
      <c r="Q151" s="7">
        <v>-17</v>
      </c>
      <c r="R151" s="7">
        <v>454</v>
      </c>
      <c r="S151" s="7">
        <v>-18</v>
      </c>
      <c r="T151" s="11"/>
      <c r="U151" s="11"/>
      <c r="V151" s="11"/>
    </row>
    <row r="152" ht="15" spans="13:22">
      <c r="M152" s="2">
        <v>43451</v>
      </c>
      <c r="N152" s="3">
        <v>620</v>
      </c>
      <c r="O152" s="3">
        <v>-6</v>
      </c>
      <c r="P152" s="3">
        <v>547</v>
      </c>
      <c r="Q152" s="3">
        <v>-6</v>
      </c>
      <c r="R152" s="3">
        <v>472</v>
      </c>
      <c r="S152" s="3">
        <v>-7</v>
      </c>
      <c r="T152" s="3"/>
      <c r="U152" s="3"/>
      <c r="V152" s="3"/>
    </row>
    <row r="153" ht="15" spans="13:22">
      <c r="M153" s="4">
        <v>43444</v>
      </c>
      <c r="N153" s="5">
        <v>626</v>
      </c>
      <c r="O153" s="5">
        <v>-9</v>
      </c>
      <c r="P153" s="5">
        <v>553</v>
      </c>
      <c r="Q153" s="5">
        <v>-11</v>
      </c>
      <c r="R153" s="5">
        <v>479</v>
      </c>
      <c r="S153" s="5">
        <v>-12</v>
      </c>
      <c r="T153" s="5"/>
      <c r="U153" s="5"/>
      <c r="V153" s="5"/>
    </row>
    <row r="154" ht="15" spans="13:22">
      <c r="M154" s="2">
        <v>43437</v>
      </c>
      <c r="N154" s="3">
        <v>635</v>
      </c>
      <c r="O154" s="3">
        <v>5</v>
      </c>
      <c r="P154" s="3">
        <v>564</v>
      </c>
      <c r="Q154" s="3">
        <v>3</v>
      </c>
      <c r="R154" s="3">
        <v>491</v>
      </c>
      <c r="S154" s="3">
        <v>3</v>
      </c>
      <c r="T154" s="3"/>
      <c r="U154" s="3"/>
      <c r="V154" s="3"/>
    </row>
    <row r="155" ht="15" spans="12:22">
      <c r="L155" s="3">
        <f>AVERAGE(N155:N158)</f>
        <v>641</v>
      </c>
      <c r="M155" s="4">
        <v>43430</v>
      </c>
      <c r="N155" s="5">
        <v>630</v>
      </c>
      <c r="O155" s="5">
        <v>-6</v>
      </c>
      <c r="P155" s="5">
        <v>561</v>
      </c>
      <c r="Q155" s="5">
        <v>-11</v>
      </c>
      <c r="R155" s="5">
        <v>488</v>
      </c>
      <c r="S155" s="5">
        <v>-7</v>
      </c>
      <c r="T155" s="5"/>
      <c r="U155" s="5"/>
      <c r="V155" s="5"/>
    </row>
    <row r="156" ht="15" spans="13:22">
      <c r="M156" s="2">
        <v>43423</v>
      </c>
      <c r="N156" s="3">
        <v>636</v>
      </c>
      <c r="O156" s="3">
        <v>-16</v>
      </c>
      <c r="P156" s="3">
        <v>572</v>
      </c>
      <c r="Q156" s="3">
        <v>-18</v>
      </c>
      <c r="R156" s="3">
        <v>495</v>
      </c>
      <c r="S156" s="3">
        <v>-18</v>
      </c>
      <c r="T156" s="3"/>
      <c r="U156" s="3"/>
      <c r="V156" s="3"/>
    </row>
    <row r="157" ht="15" spans="13:22">
      <c r="M157" s="4">
        <v>43416</v>
      </c>
      <c r="N157" s="5">
        <v>652</v>
      </c>
      <c r="O157" s="5">
        <v>6</v>
      </c>
      <c r="P157" s="5">
        <v>590</v>
      </c>
      <c r="Q157" s="5">
        <v>4</v>
      </c>
      <c r="R157" s="5">
        <v>513</v>
      </c>
      <c r="S157" s="5">
        <v>4</v>
      </c>
      <c r="T157" s="5"/>
      <c r="U157" s="5"/>
      <c r="V157" s="5"/>
    </row>
    <row r="158" ht="15" spans="13:22">
      <c r="M158" s="2">
        <v>43409</v>
      </c>
      <c r="N158" s="3">
        <v>646</v>
      </c>
      <c r="O158" s="3">
        <v>-13</v>
      </c>
      <c r="P158" s="3">
        <v>586</v>
      </c>
      <c r="Q158" s="3">
        <v>-10</v>
      </c>
      <c r="R158" s="3">
        <v>509</v>
      </c>
      <c r="S158" s="3">
        <v>-11</v>
      </c>
      <c r="T158" s="3"/>
      <c r="U158" s="3"/>
      <c r="V158" s="3"/>
    </row>
    <row r="159" ht="15" spans="12:22">
      <c r="L159" s="3">
        <f>AVERAGE(N159:N162)</f>
        <v>660</v>
      </c>
      <c r="M159" s="4">
        <v>43402</v>
      </c>
      <c r="N159" s="5">
        <v>659</v>
      </c>
      <c r="O159" s="5">
        <v>-14</v>
      </c>
      <c r="P159" s="5">
        <v>596</v>
      </c>
      <c r="Q159" s="5">
        <v>-11</v>
      </c>
      <c r="R159" s="5">
        <v>520</v>
      </c>
      <c r="S159" s="5">
        <v>-14</v>
      </c>
      <c r="T159" s="5"/>
      <c r="U159" s="5"/>
      <c r="V159" s="5"/>
    </row>
    <row r="160" ht="15" spans="13:22">
      <c r="M160" s="2">
        <v>43395</v>
      </c>
      <c r="N160" s="3">
        <v>673</v>
      </c>
      <c r="O160" s="3">
        <v>9</v>
      </c>
      <c r="P160" s="3">
        <v>607</v>
      </c>
      <c r="Q160" s="3">
        <v>11</v>
      </c>
      <c r="R160" s="3">
        <v>534</v>
      </c>
      <c r="S160" s="3">
        <v>11</v>
      </c>
      <c r="T160" s="3"/>
      <c r="U160" s="3"/>
      <c r="V160" s="3"/>
    </row>
    <row r="161" ht="15" spans="13:22">
      <c r="M161" s="6">
        <v>43388</v>
      </c>
      <c r="N161" s="7">
        <v>664</v>
      </c>
      <c r="O161" s="7">
        <v>20</v>
      </c>
      <c r="P161" s="7">
        <v>596</v>
      </c>
      <c r="Q161" s="7">
        <v>28</v>
      </c>
      <c r="R161" s="7">
        <v>523</v>
      </c>
      <c r="S161" s="7">
        <v>29</v>
      </c>
      <c r="T161" s="11"/>
      <c r="U161" s="11"/>
      <c r="V161" s="11"/>
    </row>
    <row r="162" ht="15" spans="13:22">
      <c r="M162" s="2">
        <v>43381</v>
      </c>
      <c r="N162" s="3">
        <v>644</v>
      </c>
      <c r="O162" s="3">
        <v>7</v>
      </c>
      <c r="P162" s="3">
        <v>568</v>
      </c>
      <c r="Q162" s="3">
        <v>13</v>
      </c>
      <c r="R162" s="3">
        <v>494</v>
      </c>
      <c r="S162" s="3">
        <v>13</v>
      </c>
      <c r="T162" s="3"/>
      <c r="U162" s="3"/>
      <c r="V162" s="3"/>
    </row>
    <row r="163" ht="15" spans="12:22">
      <c r="L163" s="3">
        <f>AVERAGE(N163:N165)</f>
        <v>630.666666666667</v>
      </c>
      <c r="M163" s="4">
        <v>43360</v>
      </c>
      <c r="N163" s="5">
        <v>637</v>
      </c>
      <c r="O163" s="5">
        <v>8</v>
      </c>
      <c r="P163" s="5">
        <v>555</v>
      </c>
      <c r="Q163" s="5">
        <v>14</v>
      </c>
      <c r="R163" s="5">
        <v>481</v>
      </c>
      <c r="S163" s="5">
        <v>9</v>
      </c>
      <c r="T163" s="5"/>
      <c r="U163" s="5"/>
      <c r="V163" s="5"/>
    </row>
    <row r="164" ht="15" spans="13:22">
      <c r="M164" s="2">
        <v>43353</v>
      </c>
      <c r="N164" s="3">
        <v>629</v>
      </c>
      <c r="O164" s="3">
        <v>3</v>
      </c>
      <c r="P164" s="3">
        <v>541</v>
      </c>
      <c r="Q164" s="3">
        <v>3</v>
      </c>
      <c r="R164" s="3">
        <v>472</v>
      </c>
      <c r="S164" s="3">
        <v>4</v>
      </c>
      <c r="T164" s="3"/>
      <c r="U164" s="3"/>
      <c r="V164" s="3"/>
    </row>
    <row r="165" ht="15" spans="13:22">
      <c r="M165" s="4">
        <v>43346</v>
      </c>
      <c r="N165" s="5">
        <v>626</v>
      </c>
      <c r="O165" s="5">
        <v>7</v>
      </c>
      <c r="P165" s="5">
        <v>538</v>
      </c>
      <c r="Q165" s="5">
        <v>5</v>
      </c>
      <c r="R165" s="5">
        <v>468</v>
      </c>
      <c r="S165" s="5">
        <v>3</v>
      </c>
      <c r="T165" s="5"/>
      <c r="U165" s="5"/>
      <c r="V165" s="5"/>
    </row>
    <row r="166" ht="15" spans="12:22">
      <c r="L166" s="3">
        <f>AVERAGE(N166:N169)</f>
        <v>617.5</v>
      </c>
      <c r="M166" s="2">
        <v>43339</v>
      </c>
      <c r="N166" s="3">
        <v>619</v>
      </c>
      <c r="O166" s="3">
        <v>-6</v>
      </c>
      <c r="P166" s="3">
        <v>533</v>
      </c>
      <c r="Q166" s="3">
        <v>-5</v>
      </c>
      <c r="R166" s="3">
        <v>465</v>
      </c>
      <c r="S166" s="3">
        <v>-3</v>
      </c>
      <c r="T166" s="3"/>
      <c r="U166" s="3"/>
      <c r="V166" s="3"/>
    </row>
    <row r="167" ht="15" spans="13:22">
      <c r="M167" s="4">
        <v>43332</v>
      </c>
      <c r="N167" s="5">
        <v>625</v>
      </c>
      <c r="O167" s="5">
        <v>0</v>
      </c>
      <c r="P167" s="5">
        <v>538</v>
      </c>
      <c r="Q167" s="5">
        <v>4</v>
      </c>
      <c r="R167" s="5">
        <v>468</v>
      </c>
      <c r="S167" s="5">
        <v>3</v>
      </c>
      <c r="T167" s="5"/>
      <c r="U167" s="5"/>
      <c r="V167" s="5"/>
    </row>
    <row r="168" ht="15" spans="13:22">
      <c r="M168" s="2">
        <v>43325</v>
      </c>
      <c r="N168" s="3">
        <v>625</v>
      </c>
      <c r="O168" s="3">
        <v>24</v>
      </c>
      <c r="P168" s="3">
        <v>534</v>
      </c>
      <c r="Q168" s="3">
        <v>23</v>
      </c>
      <c r="R168" s="3">
        <v>465</v>
      </c>
      <c r="S168" s="3">
        <v>27</v>
      </c>
      <c r="T168" s="3"/>
      <c r="U168" s="3"/>
      <c r="V168" s="3"/>
    </row>
    <row r="169" ht="15" spans="13:22">
      <c r="M169" s="4">
        <v>43318</v>
      </c>
      <c r="N169" s="5">
        <v>601</v>
      </c>
      <c r="O169" s="5">
        <v>-33</v>
      </c>
      <c r="P169" s="5">
        <v>511</v>
      </c>
      <c r="Q169" s="5">
        <v>-38</v>
      </c>
      <c r="R169" s="5">
        <v>438</v>
      </c>
      <c r="S169" s="5">
        <v>-9</v>
      </c>
      <c r="T169" s="5"/>
      <c r="U169" s="5"/>
      <c r="V169" s="5"/>
    </row>
    <row r="170" ht="15" spans="12:22">
      <c r="L170" s="3">
        <f>AVERAGE(N170:N174)</f>
        <v>667.4</v>
      </c>
      <c r="M170" s="2">
        <v>43311</v>
      </c>
      <c r="N170" s="3">
        <v>634</v>
      </c>
      <c r="O170" s="3">
        <v>-24</v>
      </c>
      <c r="P170" s="3">
        <v>549</v>
      </c>
      <c r="Q170" s="3">
        <v>-30</v>
      </c>
      <c r="R170" s="3">
        <v>447</v>
      </c>
      <c r="S170" s="3">
        <v>-31</v>
      </c>
      <c r="T170" s="3"/>
      <c r="U170" s="3"/>
      <c r="V170" s="3"/>
    </row>
    <row r="171" ht="15" spans="13:22">
      <c r="M171" s="6">
        <v>43304</v>
      </c>
      <c r="N171" s="7">
        <v>658</v>
      </c>
      <c r="O171" s="7">
        <v>-19</v>
      </c>
      <c r="P171" s="7">
        <v>579</v>
      </c>
      <c r="Q171" s="7">
        <v>-20</v>
      </c>
      <c r="R171" s="7">
        <v>478</v>
      </c>
      <c r="S171" s="7">
        <v>-23</v>
      </c>
      <c r="T171" s="11"/>
      <c r="U171" s="11"/>
      <c r="V171" s="11"/>
    </row>
    <row r="172" ht="15" spans="13:19">
      <c r="M172" s="12">
        <v>43297</v>
      </c>
      <c r="N172" s="13">
        <v>677</v>
      </c>
      <c r="O172" s="13">
        <v>-8</v>
      </c>
      <c r="P172" s="13">
        <v>599</v>
      </c>
      <c r="Q172" s="13">
        <v>-4</v>
      </c>
      <c r="R172" s="13">
        <v>501</v>
      </c>
      <c r="S172" s="13">
        <v>-3</v>
      </c>
    </row>
    <row r="173" ht="15" spans="13:22">
      <c r="M173" s="4">
        <v>43290</v>
      </c>
      <c r="N173" s="5">
        <v>685</v>
      </c>
      <c r="O173" s="5">
        <v>2</v>
      </c>
      <c r="P173" s="5">
        <v>603</v>
      </c>
      <c r="Q173" s="5">
        <v>3</v>
      </c>
      <c r="R173" s="5">
        <v>504</v>
      </c>
      <c r="S173" s="5">
        <v>3</v>
      </c>
      <c r="T173" s="5"/>
      <c r="U173" s="5"/>
      <c r="V173" s="5"/>
    </row>
    <row r="174" ht="15" spans="13:22">
      <c r="M174" s="2">
        <v>43283</v>
      </c>
      <c r="N174" s="3">
        <v>683</v>
      </c>
      <c r="O174" s="3">
        <v>-5</v>
      </c>
      <c r="P174" s="3">
        <v>600</v>
      </c>
      <c r="Q174" s="3">
        <v>-5</v>
      </c>
      <c r="R174" s="3">
        <v>501</v>
      </c>
      <c r="S174" s="3">
        <v>-6</v>
      </c>
      <c r="T174" s="3"/>
      <c r="U174" s="3"/>
      <c r="V174" s="3"/>
    </row>
    <row r="175" ht="15" spans="12:22">
      <c r="L175" s="3">
        <f>AVERAGE(N175:N177)</f>
        <v>684.333333333333</v>
      </c>
      <c r="M175" s="4">
        <v>43276</v>
      </c>
      <c r="N175" s="5">
        <v>688</v>
      </c>
      <c r="O175" s="5">
        <v>-9</v>
      </c>
      <c r="P175" s="5">
        <v>605</v>
      </c>
      <c r="Q175" s="5">
        <v>-10</v>
      </c>
      <c r="R175" s="5">
        <v>507</v>
      </c>
      <c r="S175" s="5">
        <v>-12</v>
      </c>
      <c r="T175" s="5"/>
      <c r="U175" s="5"/>
      <c r="V175" s="5"/>
    </row>
    <row r="176" ht="15" spans="13:22">
      <c r="M176" s="2">
        <v>43262</v>
      </c>
      <c r="N176" s="3">
        <v>697</v>
      </c>
      <c r="O176" s="3">
        <v>29</v>
      </c>
      <c r="P176" s="3">
        <v>615</v>
      </c>
      <c r="Q176" s="3">
        <v>37</v>
      </c>
      <c r="R176" s="3">
        <v>519</v>
      </c>
      <c r="S176" s="3">
        <v>32</v>
      </c>
      <c r="T176" s="3"/>
      <c r="U176" s="3"/>
      <c r="V176" s="3"/>
    </row>
    <row r="177" ht="15" spans="13:22">
      <c r="M177" s="4">
        <v>43255</v>
      </c>
      <c r="N177" s="5">
        <v>668</v>
      </c>
      <c r="O177" s="5">
        <v>19</v>
      </c>
      <c r="P177" s="5">
        <v>578</v>
      </c>
      <c r="Q177" s="5">
        <v>14</v>
      </c>
      <c r="R177" s="5">
        <v>487</v>
      </c>
      <c r="S177" s="5">
        <v>12</v>
      </c>
      <c r="T177" s="5"/>
      <c r="U177" s="5"/>
      <c r="V177" s="5"/>
    </row>
    <row r="178" ht="15" spans="12:22">
      <c r="L178" s="3">
        <f>AVERAGE(N178:N181)</f>
        <v>629.25</v>
      </c>
      <c r="M178" s="2">
        <v>43248</v>
      </c>
      <c r="N178" s="3">
        <v>649</v>
      </c>
      <c r="O178" s="3">
        <v>-8</v>
      </c>
      <c r="P178" s="3">
        <v>564</v>
      </c>
      <c r="Q178" s="3">
        <v>-8</v>
      </c>
      <c r="R178" s="3">
        <v>475</v>
      </c>
      <c r="S178" s="3">
        <v>-8</v>
      </c>
      <c r="T178" s="3"/>
      <c r="U178" s="3"/>
      <c r="V178" s="3"/>
    </row>
    <row r="179" ht="15" spans="13:22">
      <c r="M179" s="4">
        <v>43241</v>
      </c>
      <c r="N179" s="5">
        <v>657</v>
      </c>
      <c r="O179" s="5">
        <v>36</v>
      </c>
      <c r="P179" s="5">
        <v>572</v>
      </c>
      <c r="Q179" s="5">
        <v>41</v>
      </c>
      <c r="R179" s="5">
        <v>483</v>
      </c>
      <c r="S179" s="5">
        <v>32</v>
      </c>
      <c r="T179" s="5"/>
      <c r="U179" s="5"/>
      <c r="V179" s="5"/>
    </row>
    <row r="180" ht="15" spans="13:22">
      <c r="M180" s="2">
        <v>43234</v>
      </c>
      <c r="N180" s="3">
        <v>621</v>
      </c>
      <c r="O180" s="3">
        <v>31</v>
      </c>
      <c r="P180" s="3">
        <v>531</v>
      </c>
      <c r="Q180" s="3">
        <v>19</v>
      </c>
      <c r="R180" s="3">
        <v>451</v>
      </c>
      <c r="S180" s="3">
        <v>8</v>
      </c>
      <c r="T180" s="3"/>
      <c r="U180" s="3"/>
      <c r="V180" s="3"/>
    </row>
    <row r="181" ht="15" spans="13:22">
      <c r="M181" s="6">
        <v>43227</v>
      </c>
      <c r="N181" s="7">
        <v>590</v>
      </c>
      <c r="O181" s="7">
        <v>14</v>
      </c>
      <c r="P181" s="7">
        <v>512</v>
      </c>
      <c r="Q181" s="7">
        <v>22</v>
      </c>
      <c r="R181" s="7">
        <v>443</v>
      </c>
      <c r="S181" s="7">
        <v>18</v>
      </c>
      <c r="T181" s="11"/>
      <c r="U181" s="11"/>
      <c r="V181" s="11"/>
    </row>
    <row r="182" ht="15" spans="12:22">
      <c r="L182" s="3">
        <f>AVERAGE(N182:N185)</f>
        <v>587.75</v>
      </c>
      <c r="M182" s="2">
        <v>43213</v>
      </c>
      <c r="N182" s="3">
        <v>576</v>
      </c>
      <c r="O182" s="3">
        <v>3</v>
      </c>
      <c r="P182" s="3">
        <v>490</v>
      </c>
      <c r="Q182" s="3">
        <v>3</v>
      </c>
      <c r="R182" s="3">
        <v>425</v>
      </c>
      <c r="S182" s="3">
        <v>2</v>
      </c>
      <c r="T182" s="3"/>
      <c r="U182" s="3"/>
      <c r="V182" s="3"/>
    </row>
    <row r="183" ht="15" spans="13:22">
      <c r="M183" s="4">
        <v>43206</v>
      </c>
      <c r="N183" s="5">
        <v>573</v>
      </c>
      <c r="O183" s="5">
        <v>-20</v>
      </c>
      <c r="P183" s="5">
        <v>487</v>
      </c>
      <c r="Q183" s="5">
        <v>-26</v>
      </c>
      <c r="R183" s="5">
        <v>423</v>
      </c>
      <c r="S183" s="5">
        <v>-24</v>
      </c>
      <c r="T183" s="5"/>
      <c r="U183" s="5"/>
      <c r="V183" s="5"/>
    </row>
    <row r="184" ht="15" spans="13:22">
      <c r="M184" s="2">
        <v>43199</v>
      </c>
      <c r="N184" s="3">
        <v>593</v>
      </c>
      <c r="O184" s="3">
        <v>-16</v>
      </c>
      <c r="P184" s="3">
        <v>513</v>
      </c>
      <c r="Q184" s="3">
        <v>-33</v>
      </c>
      <c r="R184" s="3">
        <v>447</v>
      </c>
      <c r="S184" s="3">
        <v>-28</v>
      </c>
      <c r="T184" s="3"/>
      <c r="U184" s="3"/>
      <c r="V184" s="3"/>
    </row>
    <row r="185" ht="15" spans="13:22">
      <c r="M185" s="4">
        <v>43192</v>
      </c>
      <c r="N185" s="5">
        <v>609</v>
      </c>
      <c r="O185" s="5">
        <v>-30</v>
      </c>
      <c r="P185" s="5">
        <v>546</v>
      </c>
      <c r="Q185" s="5">
        <v>-23</v>
      </c>
      <c r="R185" s="5">
        <v>475</v>
      </c>
      <c r="S185" s="5">
        <v>-20</v>
      </c>
      <c r="T185" s="5"/>
      <c r="U185" s="5"/>
      <c r="V185" s="5"/>
    </row>
    <row r="186" ht="15" spans="11:22">
      <c r="K186" s="14" t="s">
        <v>185</v>
      </c>
      <c r="M186" s="2">
        <v>43185</v>
      </c>
      <c r="N186" s="3">
        <v>607</v>
      </c>
      <c r="O186" s="3">
        <v>-2</v>
      </c>
      <c r="P186" s="3">
        <v>564</v>
      </c>
      <c r="Q186" s="3">
        <v>-13</v>
      </c>
      <c r="R186" s="3">
        <v>491</v>
      </c>
      <c r="S186" s="3">
        <v>-18</v>
      </c>
      <c r="T186" s="3"/>
      <c r="U186" s="3"/>
      <c r="V186" s="3"/>
    </row>
    <row r="187" ht="15" spans="13:22">
      <c r="M187" s="6">
        <v>43178</v>
      </c>
      <c r="N187" s="7">
        <v>609</v>
      </c>
      <c r="O187" s="7">
        <v>-2</v>
      </c>
      <c r="P187" s="7">
        <v>577</v>
      </c>
      <c r="Q187" s="7">
        <v>-7</v>
      </c>
      <c r="R187" s="7">
        <v>509</v>
      </c>
      <c r="S187" s="7">
        <v>-15</v>
      </c>
      <c r="T187" s="11"/>
      <c r="U187" s="11"/>
      <c r="V187" s="11"/>
    </row>
    <row r="188" ht="15" spans="13:22">
      <c r="M188" s="2">
        <v>43171</v>
      </c>
      <c r="N188" s="3">
        <v>611</v>
      </c>
      <c r="O188" s="3">
        <v>-1</v>
      </c>
      <c r="P188" s="3">
        <v>584</v>
      </c>
      <c r="Q188" s="3">
        <v>-6</v>
      </c>
      <c r="R188" s="3">
        <v>524</v>
      </c>
      <c r="S188" s="3">
        <v>-8</v>
      </c>
      <c r="T188" s="3"/>
      <c r="U188" s="3"/>
      <c r="V188" s="3"/>
    </row>
    <row r="189" ht="15" spans="13:22">
      <c r="M189" s="4">
        <v>43164</v>
      </c>
      <c r="N189" s="5">
        <v>612</v>
      </c>
      <c r="O189" s="5">
        <v>-1</v>
      </c>
      <c r="P189" s="5">
        <v>590</v>
      </c>
      <c r="Q189" s="5">
        <v>-3</v>
      </c>
      <c r="R189" s="5">
        <v>532</v>
      </c>
      <c r="S189" s="5">
        <v>-3</v>
      </c>
      <c r="T189" s="5"/>
      <c r="U189" s="5"/>
      <c r="V189" s="5"/>
    </row>
    <row r="190" ht="15" spans="13:22">
      <c r="M190" s="2">
        <v>43157</v>
      </c>
      <c r="N190" s="3">
        <v>613</v>
      </c>
      <c r="O190" s="3">
        <v>-1</v>
      </c>
      <c r="P190" s="3">
        <v>593</v>
      </c>
      <c r="Q190" s="3">
        <v>-3</v>
      </c>
      <c r="R190" s="3">
        <v>535</v>
      </c>
      <c r="S190" s="3">
        <v>-5</v>
      </c>
      <c r="T190" s="3"/>
      <c r="U190" s="3"/>
      <c r="V190" s="3"/>
    </row>
    <row r="191" ht="15" spans="13:22">
      <c r="M191" s="4">
        <v>43143</v>
      </c>
      <c r="N191" s="5">
        <v>614</v>
      </c>
      <c r="O191" s="5">
        <v>-1</v>
      </c>
      <c r="P191" s="5">
        <v>596</v>
      </c>
      <c r="Q191" s="5">
        <v>-2</v>
      </c>
      <c r="R191" s="5">
        <v>540</v>
      </c>
      <c r="S191" s="5">
        <v>-2</v>
      </c>
      <c r="T191" s="5"/>
      <c r="U191" s="5"/>
      <c r="V191" s="5"/>
    </row>
    <row r="192" ht="15" spans="13:22">
      <c r="M192" s="2">
        <v>43136</v>
      </c>
      <c r="N192" s="3">
        <v>615</v>
      </c>
      <c r="O192" s="3">
        <v>-1</v>
      </c>
      <c r="P192" s="3">
        <v>598</v>
      </c>
      <c r="Q192" s="3">
        <v>-1</v>
      </c>
      <c r="R192" s="3">
        <v>542</v>
      </c>
      <c r="S192" s="3">
        <v>7</v>
      </c>
      <c r="T192" s="3"/>
      <c r="U192" s="3"/>
      <c r="V192" s="3"/>
    </row>
    <row r="193" ht="15" spans="13:22">
      <c r="M193" s="4">
        <v>43129</v>
      </c>
      <c r="N193" s="5">
        <v>616</v>
      </c>
      <c r="O193" s="5">
        <v>0</v>
      </c>
      <c r="P193" s="5">
        <v>599</v>
      </c>
      <c r="Q193" s="5">
        <v>1</v>
      </c>
      <c r="R193" s="5">
        <v>535</v>
      </c>
      <c r="S193" s="5">
        <v>3</v>
      </c>
      <c r="T193" s="5"/>
      <c r="U193" s="5"/>
      <c r="V193" s="5"/>
    </row>
    <row r="194" ht="15" spans="13:22">
      <c r="M194" s="2">
        <v>43122</v>
      </c>
      <c r="N194" s="3">
        <v>616</v>
      </c>
      <c r="O194" s="3">
        <v>-1</v>
      </c>
      <c r="P194" s="3">
        <v>598</v>
      </c>
      <c r="Q194" s="3">
        <v>0</v>
      </c>
      <c r="R194" s="3">
        <v>532</v>
      </c>
      <c r="S194" s="3">
        <v>-1</v>
      </c>
      <c r="T194" s="3"/>
      <c r="U194" s="3"/>
      <c r="V194" s="3"/>
    </row>
    <row r="195" ht="15" spans="13:22">
      <c r="M195" s="4">
        <v>43115</v>
      </c>
      <c r="N195" s="5">
        <v>617</v>
      </c>
      <c r="O195" s="5">
        <v>0</v>
      </c>
      <c r="P195" s="5">
        <v>598</v>
      </c>
      <c r="Q195" s="5">
        <v>0</v>
      </c>
      <c r="R195" s="5">
        <v>533</v>
      </c>
      <c r="S195" s="5">
        <v>1</v>
      </c>
      <c r="T195" s="5"/>
      <c r="U195" s="5"/>
      <c r="V195" s="5"/>
    </row>
    <row r="196" ht="15" spans="13:22">
      <c r="M196" s="2">
        <v>43108</v>
      </c>
      <c r="N196" s="3">
        <v>617</v>
      </c>
      <c r="O196" s="3">
        <v>0</v>
      </c>
      <c r="P196" s="3">
        <v>598</v>
      </c>
      <c r="Q196" s="3">
        <v>1</v>
      </c>
      <c r="R196" s="3">
        <v>532</v>
      </c>
      <c r="S196" s="3">
        <v>5</v>
      </c>
      <c r="T196" s="3"/>
      <c r="U196" s="3"/>
      <c r="V196" s="3"/>
    </row>
    <row r="197" ht="15" spans="13:22">
      <c r="M197" s="6">
        <v>43094</v>
      </c>
      <c r="N197" s="7">
        <v>617</v>
      </c>
      <c r="O197" s="7">
        <v>3</v>
      </c>
      <c r="P197" s="7">
        <v>597</v>
      </c>
      <c r="Q197" s="7">
        <v>4</v>
      </c>
      <c r="R197" s="7">
        <v>527</v>
      </c>
      <c r="S197" s="7">
        <v>1</v>
      </c>
      <c r="T197" s="11"/>
      <c r="U197" s="11"/>
      <c r="V197" s="11"/>
    </row>
    <row r="198" ht="15" spans="13:22">
      <c r="M198" s="2">
        <v>43087</v>
      </c>
      <c r="N198" s="3">
        <v>614</v>
      </c>
      <c r="O198" s="3">
        <v>2</v>
      </c>
      <c r="P198" s="3">
        <v>593</v>
      </c>
      <c r="Q198" s="3">
        <v>2</v>
      </c>
      <c r="R198" s="3">
        <v>526</v>
      </c>
      <c r="S198" s="3">
        <v>1</v>
      </c>
      <c r="T198" s="3"/>
      <c r="U198" s="3"/>
      <c r="V198" s="3"/>
    </row>
    <row r="199" ht="15" spans="13:22">
      <c r="M199" s="4">
        <v>43080</v>
      </c>
      <c r="N199" s="5">
        <v>612</v>
      </c>
      <c r="O199" s="5">
        <v>2</v>
      </c>
      <c r="P199" s="5">
        <v>591</v>
      </c>
      <c r="Q199" s="5">
        <v>5</v>
      </c>
      <c r="R199" s="5">
        <v>525</v>
      </c>
      <c r="S199" s="5">
        <v>4</v>
      </c>
      <c r="T199" s="5"/>
      <c r="U199" s="5"/>
      <c r="V199" s="5"/>
    </row>
    <row r="200" ht="15" spans="13:22">
      <c r="M200" s="2">
        <v>43073</v>
      </c>
      <c r="N200" s="3">
        <v>610</v>
      </c>
      <c r="O200" s="3">
        <v>1</v>
      </c>
      <c r="P200" s="3">
        <v>586</v>
      </c>
      <c r="Q200" s="3">
        <v>8</v>
      </c>
      <c r="R200" s="3">
        <v>521</v>
      </c>
      <c r="S200" s="3">
        <v>9</v>
      </c>
      <c r="T200" s="3"/>
      <c r="U200" s="3"/>
      <c r="V200" s="3"/>
    </row>
    <row r="201" ht="15" spans="13:22">
      <c r="M201" s="4">
        <v>43066</v>
      </c>
      <c r="N201" s="5">
        <v>609</v>
      </c>
      <c r="O201" s="5">
        <v>-1</v>
      </c>
      <c r="P201" s="5">
        <v>578</v>
      </c>
      <c r="Q201" s="5">
        <v>1</v>
      </c>
      <c r="R201" s="5">
        <v>512</v>
      </c>
      <c r="S201" s="5">
        <v>3</v>
      </c>
      <c r="T201" s="5"/>
      <c r="U201" s="5"/>
      <c r="V201" s="5"/>
    </row>
    <row r="202" ht="15" spans="13:22">
      <c r="M202" s="2">
        <v>43059</v>
      </c>
      <c r="N202" s="3">
        <v>610</v>
      </c>
      <c r="O202" s="3">
        <v>-2</v>
      </c>
      <c r="P202" s="3">
        <v>577</v>
      </c>
      <c r="Q202" s="3">
        <v>-7</v>
      </c>
      <c r="R202" s="3">
        <v>509</v>
      </c>
      <c r="S202" s="3">
        <v>-4</v>
      </c>
      <c r="T202" s="3"/>
      <c r="U202" s="3"/>
      <c r="V202" s="3"/>
    </row>
    <row r="203" ht="15" spans="13:22">
      <c r="M203" s="4">
        <v>43052</v>
      </c>
      <c r="N203" s="5">
        <v>612</v>
      </c>
      <c r="O203" s="5">
        <v>-3</v>
      </c>
      <c r="P203" s="5">
        <v>584</v>
      </c>
      <c r="Q203" s="5">
        <v>-12</v>
      </c>
      <c r="R203" s="5">
        <v>513</v>
      </c>
      <c r="S203" s="5">
        <v>-11</v>
      </c>
      <c r="T203" s="5"/>
      <c r="U203" s="5"/>
      <c r="V203" s="5"/>
    </row>
    <row r="204" ht="15" spans="13:22">
      <c r="M204" s="2">
        <v>43045</v>
      </c>
      <c r="N204" s="3">
        <v>615</v>
      </c>
      <c r="O204" s="3">
        <v>-1</v>
      </c>
      <c r="P204" s="3">
        <v>596</v>
      </c>
      <c r="Q204" s="3">
        <v>-2</v>
      </c>
      <c r="R204" s="3">
        <v>524</v>
      </c>
      <c r="S204" s="3">
        <v>-2</v>
      </c>
      <c r="T204" s="3"/>
      <c r="U204" s="3"/>
      <c r="V204" s="3"/>
    </row>
    <row r="205" ht="15" spans="13:22">
      <c r="M205" s="4">
        <v>43038</v>
      </c>
      <c r="N205" s="5">
        <v>616</v>
      </c>
      <c r="O205" s="5">
        <v>-2</v>
      </c>
      <c r="P205" s="5">
        <v>598</v>
      </c>
      <c r="Q205" s="5">
        <v>-2</v>
      </c>
      <c r="R205" s="5">
        <v>526</v>
      </c>
      <c r="S205" s="5">
        <v>-1</v>
      </c>
      <c r="T205" s="5"/>
      <c r="U205" s="5"/>
      <c r="V205" s="5"/>
    </row>
    <row r="206" ht="15" spans="13:22">
      <c r="M206" s="2">
        <v>43031</v>
      </c>
      <c r="N206" s="3">
        <v>618</v>
      </c>
      <c r="O206" s="3">
        <v>-3</v>
      </c>
      <c r="P206" s="3">
        <v>600</v>
      </c>
      <c r="Q206" s="3">
        <v>-4</v>
      </c>
      <c r="R206" s="3">
        <v>527</v>
      </c>
      <c r="S206" s="3">
        <v>-5</v>
      </c>
      <c r="T206" s="3"/>
      <c r="U206" s="3"/>
      <c r="V206" s="3"/>
    </row>
    <row r="207" ht="15" spans="13:22">
      <c r="M207" s="6">
        <v>43024</v>
      </c>
      <c r="N207" s="7">
        <v>621</v>
      </c>
      <c r="O207" s="7">
        <v>-1</v>
      </c>
      <c r="P207" s="7">
        <v>604</v>
      </c>
      <c r="Q207" s="7">
        <v>0</v>
      </c>
      <c r="R207" s="7">
        <v>532</v>
      </c>
      <c r="S207" s="7">
        <v>0</v>
      </c>
      <c r="T207" s="11"/>
      <c r="U207" s="11"/>
      <c r="V207" s="11"/>
    </row>
    <row r="208" ht="15" spans="13:22">
      <c r="M208" s="2">
        <v>43017</v>
      </c>
      <c r="N208" s="3">
        <v>622</v>
      </c>
      <c r="O208" s="3">
        <v>-1</v>
      </c>
      <c r="P208" s="3">
        <v>604</v>
      </c>
      <c r="Q208" s="3">
        <v>0</v>
      </c>
      <c r="R208" s="3">
        <v>532</v>
      </c>
      <c r="S208" s="3">
        <v>0</v>
      </c>
      <c r="T208" s="3"/>
      <c r="U208" s="3"/>
      <c r="V208" s="3"/>
    </row>
    <row r="209" ht="15" spans="13:22">
      <c r="M209" s="4">
        <v>43003</v>
      </c>
      <c r="N209" s="5">
        <v>623</v>
      </c>
      <c r="O209" s="5">
        <v>0</v>
      </c>
      <c r="P209" s="5">
        <v>604</v>
      </c>
      <c r="Q209" s="5">
        <v>19</v>
      </c>
      <c r="R209" s="5">
        <v>532</v>
      </c>
      <c r="S209" s="5">
        <v>14</v>
      </c>
      <c r="T209" s="5"/>
      <c r="U209" s="5"/>
      <c r="V209" s="5"/>
    </row>
    <row r="210" ht="15" spans="13:22">
      <c r="M210" s="2">
        <v>42996</v>
      </c>
      <c r="N210" s="3">
        <v>623</v>
      </c>
      <c r="O210" s="3">
        <v>13</v>
      </c>
      <c r="P210" s="3">
        <v>585</v>
      </c>
      <c r="Q210" s="3">
        <v>14</v>
      </c>
      <c r="R210" s="3">
        <v>518</v>
      </c>
      <c r="S210" s="3">
        <v>12</v>
      </c>
      <c r="T210" s="3"/>
      <c r="U210" s="3"/>
      <c r="V210" s="3"/>
    </row>
    <row r="211" ht="15" spans="13:22">
      <c r="M211" s="4">
        <v>42989</v>
      </c>
      <c r="N211" s="5">
        <v>610</v>
      </c>
      <c r="O211" s="5">
        <v>4</v>
      </c>
      <c r="P211" s="5">
        <v>571</v>
      </c>
      <c r="Q211" s="5">
        <v>14</v>
      </c>
      <c r="R211" s="5">
        <v>506</v>
      </c>
      <c r="S211" s="5">
        <v>11</v>
      </c>
      <c r="T211" s="5"/>
      <c r="U211" s="5"/>
      <c r="V211" s="5"/>
    </row>
    <row r="212" ht="15" spans="13:22">
      <c r="M212" s="2">
        <v>42982</v>
      </c>
      <c r="N212" s="3">
        <v>606</v>
      </c>
      <c r="O212" s="3">
        <v>-1</v>
      </c>
      <c r="P212" s="3">
        <v>557</v>
      </c>
      <c r="Q212" s="3">
        <v>1</v>
      </c>
      <c r="R212" s="3">
        <v>495</v>
      </c>
      <c r="S212" s="3">
        <v>2</v>
      </c>
      <c r="T212" s="3"/>
      <c r="U212" s="3"/>
      <c r="V212" s="3"/>
    </row>
    <row r="213" ht="15" spans="13:22">
      <c r="M213" s="4">
        <v>42975</v>
      </c>
      <c r="N213" s="5">
        <v>607</v>
      </c>
      <c r="O213" s="5">
        <v>-1</v>
      </c>
      <c r="P213" s="5">
        <v>556</v>
      </c>
      <c r="Q213" s="5">
        <v>-7</v>
      </c>
      <c r="R213" s="5">
        <v>493</v>
      </c>
      <c r="S213" s="5">
        <v>-5</v>
      </c>
      <c r="T213" s="5"/>
      <c r="U213" s="5"/>
      <c r="V213" s="5"/>
    </row>
    <row r="214" ht="15" spans="13:22">
      <c r="M214" s="2">
        <v>42968</v>
      </c>
      <c r="N214" s="3">
        <v>608</v>
      </c>
      <c r="O214" s="3">
        <v>0</v>
      </c>
      <c r="P214" s="3">
        <v>563</v>
      </c>
      <c r="Q214" s="3">
        <v>-6</v>
      </c>
      <c r="R214" s="3">
        <v>498</v>
      </c>
      <c r="S214" s="3">
        <v>-5</v>
      </c>
      <c r="T214" s="3"/>
      <c r="U214" s="3"/>
      <c r="V214" s="3"/>
    </row>
    <row r="215" ht="15" spans="13:22">
      <c r="M215" s="4">
        <v>42961</v>
      </c>
      <c r="N215" s="5">
        <v>608</v>
      </c>
      <c r="O215" s="5">
        <v>0</v>
      </c>
      <c r="P215" s="5">
        <v>569</v>
      </c>
      <c r="Q215" s="5">
        <v>0</v>
      </c>
      <c r="R215" s="5">
        <v>503</v>
      </c>
      <c r="S215" s="5">
        <v>0</v>
      </c>
      <c r="T215" s="5"/>
      <c r="U215" s="5"/>
      <c r="V215" s="5"/>
    </row>
    <row r="216" ht="15" spans="13:22">
      <c r="M216" s="2">
        <v>42954</v>
      </c>
      <c r="N216" s="3">
        <v>608</v>
      </c>
      <c r="O216" s="3">
        <v>0</v>
      </c>
      <c r="P216" s="3">
        <v>569</v>
      </c>
      <c r="Q216" s="3">
        <v>0</v>
      </c>
      <c r="R216" s="3">
        <v>503</v>
      </c>
      <c r="S216" s="3">
        <v>-1</v>
      </c>
      <c r="T216" s="3"/>
      <c r="U216" s="3"/>
      <c r="V216" s="3"/>
    </row>
    <row r="217" ht="15" spans="13:22">
      <c r="M217" s="6">
        <v>42947</v>
      </c>
      <c r="N217" s="7">
        <v>608</v>
      </c>
      <c r="O217" s="7">
        <v>3</v>
      </c>
      <c r="P217" s="7">
        <v>569</v>
      </c>
      <c r="Q217" s="7">
        <v>2</v>
      </c>
      <c r="R217" s="7">
        <v>504</v>
      </c>
      <c r="S217" s="7">
        <v>1</v>
      </c>
      <c r="T217" s="11"/>
      <c r="U217" s="11"/>
      <c r="V217" s="11"/>
    </row>
    <row r="218" ht="15" spans="13:22">
      <c r="M218" s="2">
        <v>42940</v>
      </c>
      <c r="N218" s="3">
        <v>605</v>
      </c>
      <c r="O218" s="3">
        <v>6</v>
      </c>
      <c r="P218" s="3">
        <v>567</v>
      </c>
      <c r="Q218" s="3">
        <v>10</v>
      </c>
      <c r="R218" s="3">
        <v>503</v>
      </c>
      <c r="S218" s="3">
        <v>11</v>
      </c>
      <c r="T218" s="3"/>
      <c r="U218" s="3"/>
      <c r="V218" s="3"/>
    </row>
    <row r="219" ht="15" spans="13:22">
      <c r="M219" s="4">
        <v>42933</v>
      </c>
      <c r="N219" s="5">
        <v>599</v>
      </c>
      <c r="O219" s="5">
        <v>10</v>
      </c>
      <c r="P219" s="5">
        <v>557</v>
      </c>
      <c r="Q219" s="5">
        <v>13</v>
      </c>
      <c r="R219" s="5">
        <v>492</v>
      </c>
      <c r="S219" s="5">
        <v>17</v>
      </c>
      <c r="T219" s="5"/>
      <c r="U219" s="5"/>
      <c r="V219" s="5"/>
    </row>
    <row r="220" ht="15" spans="13:22">
      <c r="M220" s="2">
        <v>42926</v>
      </c>
      <c r="N220" s="3">
        <v>589</v>
      </c>
      <c r="O220" s="3">
        <v>4</v>
      </c>
      <c r="P220" s="3">
        <v>544</v>
      </c>
      <c r="Q220" s="3">
        <v>3</v>
      </c>
      <c r="R220" s="3">
        <v>475</v>
      </c>
      <c r="S220" s="3">
        <v>3</v>
      </c>
      <c r="T220" s="3"/>
      <c r="U220" s="3"/>
      <c r="V220" s="3"/>
    </row>
    <row r="221" ht="15" spans="13:22">
      <c r="M221" s="4">
        <v>42919</v>
      </c>
      <c r="N221" s="5">
        <v>585</v>
      </c>
      <c r="O221" s="5">
        <v>6</v>
      </c>
      <c r="P221" s="5">
        <v>541</v>
      </c>
      <c r="Q221" s="5">
        <v>9</v>
      </c>
      <c r="R221" s="5">
        <v>472</v>
      </c>
      <c r="S221" s="5">
        <v>8</v>
      </c>
      <c r="T221" s="5"/>
      <c r="U221" s="5"/>
      <c r="V221" s="5"/>
    </row>
    <row r="222" ht="15" spans="13:22">
      <c r="M222" s="2">
        <v>42912</v>
      </c>
      <c r="N222" s="3">
        <v>579</v>
      </c>
      <c r="O222" s="3">
        <v>10</v>
      </c>
      <c r="P222" s="3">
        <v>532</v>
      </c>
      <c r="Q222" s="3">
        <v>15</v>
      </c>
      <c r="R222" s="3">
        <v>464</v>
      </c>
      <c r="S222" s="3">
        <v>17</v>
      </c>
      <c r="T222" s="3"/>
      <c r="U222" s="3"/>
      <c r="V222" s="3"/>
    </row>
    <row r="223" ht="15" spans="13:22">
      <c r="M223" s="4">
        <v>42905</v>
      </c>
      <c r="N223" s="5">
        <v>569</v>
      </c>
      <c r="O223" s="5">
        <v>4</v>
      </c>
      <c r="P223" s="5">
        <v>517</v>
      </c>
      <c r="Q223" s="5">
        <v>16</v>
      </c>
      <c r="R223" s="5">
        <v>447</v>
      </c>
      <c r="S223" s="5">
        <v>11</v>
      </c>
      <c r="T223" s="5"/>
      <c r="U223" s="5"/>
      <c r="V223" s="5"/>
    </row>
    <row r="224" ht="15" spans="13:22">
      <c r="M224" s="2">
        <v>42898</v>
      </c>
      <c r="N224" s="3">
        <v>565</v>
      </c>
      <c r="O224" s="3">
        <v>0</v>
      </c>
      <c r="P224" s="3">
        <v>501</v>
      </c>
      <c r="Q224" s="3">
        <v>8</v>
      </c>
      <c r="R224" s="3">
        <v>436</v>
      </c>
      <c r="S224" s="3">
        <v>5</v>
      </c>
      <c r="T224" s="3"/>
      <c r="U224" s="3"/>
      <c r="V224" s="3"/>
    </row>
    <row r="225" ht="15" spans="13:22">
      <c r="M225" s="4">
        <v>42891</v>
      </c>
      <c r="N225" s="5">
        <v>565</v>
      </c>
      <c r="O225" s="5">
        <v>-16</v>
      </c>
      <c r="P225" s="5">
        <v>493</v>
      </c>
      <c r="Q225" s="5">
        <v>-8</v>
      </c>
      <c r="R225" s="5">
        <v>431</v>
      </c>
      <c r="S225" s="5">
        <v>-12</v>
      </c>
      <c r="T225" s="5"/>
      <c r="U225" s="5"/>
      <c r="V225" s="5"/>
    </row>
    <row r="226" ht="15" spans="13:22">
      <c r="M226" s="2">
        <v>42877</v>
      </c>
      <c r="N226" s="3">
        <v>581</v>
      </c>
      <c r="O226" s="3">
        <v>-24</v>
      </c>
      <c r="P226" s="3">
        <v>501</v>
      </c>
      <c r="Q226" s="3">
        <v>-16</v>
      </c>
      <c r="R226" s="3">
        <v>443</v>
      </c>
      <c r="S226" s="3">
        <v>-21</v>
      </c>
      <c r="T226" s="3"/>
      <c r="U226" s="3"/>
      <c r="V226" s="3"/>
    </row>
    <row r="227" ht="15" spans="13:22">
      <c r="M227" s="6">
        <v>42870</v>
      </c>
      <c r="N227" s="7">
        <v>605</v>
      </c>
      <c r="O227" s="7">
        <v>-14</v>
      </c>
      <c r="P227" s="7">
        <v>517</v>
      </c>
      <c r="Q227" s="7">
        <v>-11</v>
      </c>
      <c r="R227" s="7">
        <v>464</v>
      </c>
      <c r="S227" s="7">
        <v>-9</v>
      </c>
      <c r="T227" s="11"/>
      <c r="U227" s="11"/>
      <c r="V227" s="11"/>
    </row>
    <row r="228" ht="15" spans="13:22">
      <c r="M228" s="2">
        <v>42863</v>
      </c>
      <c r="N228" s="3">
        <v>619</v>
      </c>
      <c r="O228" s="3">
        <v>-30</v>
      </c>
      <c r="P228" s="3">
        <v>528</v>
      </c>
      <c r="Q228" s="3">
        <v>-43</v>
      </c>
      <c r="R228" s="3">
        <v>473</v>
      </c>
      <c r="S228" s="3">
        <v>-33</v>
      </c>
      <c r="T228" s="3"/>
      <c r="U228" s="3"/>
      <c r="V228" s="3"/>
    </row>
    <row r="229" ht="15" spans="13:22">
      <c r="M229" s="4">
        <v>42849</v>
      </c>
      <c r="N229" s="5">
        <v>649</v>
      </c>
      <c r="O229" s="5">
        <v>-3</v>
      </c>
      <c r="P229" s="5">
        <v>571</v>
      </c>
      <c r="Q229" s="5">
        <v>-18</v>
      </c>
      <c r="R229" s="5">
        <v>506</v>
      </c>
      <c r="S229" s="5">
        <v>-17</v>
      </c>
      <c r="T229" s="5"/>
      <c r="U229" s="5"/>
      <c r="V229" s="5"/>
    </row>
    <row r="230" ht="15" spans="13:22">
      <c r="M230" s="2">
        <v>42842</v>
      </c>
      <c r="N230" s="3">
        <v>652</v>
      </c>
      <c r="O230" s="3">
        <v>-2</v>
      </c>
      <c r="P230" s="3">
        <v>589</v>
      </c>
      <c r="Q230" s="3">
        <v>-12</v>
      </c>
      <c r="R230" s="3">
        <v>523</v>
      </c>
      <c r="S230" s="3">
        <v>-14</v>
      </c>
      <c r="T230" s="3"/>
      <c r="U230" s="3"/>
      <c r="V230" s="3"/>
    </row>
    <row r="231" ht="15" spans="13:22">
      <c r="M231" s="4">
        <v>42835</v>
      </c>
      <c r="N231" s="5">
        <v>654</v>
      </c>
      <c r="O231" s="5">
        <v>-5</v>
      </c>
      <c r="P231" s="5">
        <v>601</v>
      </c>
      <c r="Q231" s="5">
        <v>-7</v>
      </c>
      <c r="R231" s="5">
        <v>537</v>
      </c>
      <c r="S231" s="5">
        <v>-6</v>
      </c>
      <c r="T231" s="5"/>
      <c r="U231" s="5"/>
      <c r="V231" s="5"/>
    </row>
    <row r="232" ht="15" spans="13:22">
      <c r="M232" s="2">
        <v>42828</v>
      </c>
      <c r="N232" s="3">
        <v>659</v>
      </c>
      <c r="O232" s="3">
        <v>10</v>
      </c>
      <c r="P232" s="3">
        <v>608</v>
      </c>
      <c r="Q232" s="3">
        <v>10</v>
      </c>
      <c r="R232" s="3">
        <v>543</v>
      </c>
      <c r="S232" s="3">
        <v>2</v>
      </c>
      <c r="T232" s="3"/>
      <c r="U232" s="3"/>
      <c r="V232" s="3"/>
    </row>
    <row r="233" ht="15" spans="13:22">
      <c r="M233" s="4">
        <v>42821</v>
      </c>
      <c r="N233" s="5">
        <v>649</v>
      </c>
      <c r="O233" s="5">
        <v>13</v>
      </c>
      <c r="P233" s="5">
        <v>598</v>
      </c>
      <c r="Q233" s="5">
        <v>11</v>
      </c>
      <c r="R233" s="5">
        <v>541</v>
      </c>
      <c r="S233" s="5">
        <v>9</v>
      </c>
      <c r="T233" s="5"/>
      <c r="U233" s="5"/>
      <c r="V233" s="5"/>
    </row>
    <row r="234" ht="15" spans="13:22">
      <c r="M234" s="2">
        <v>42814</v>
      </c>
      <c r="N234" s="3">
        <v>636</v>
      </c>
      <c r="O234" s="3">
        <v>11</v>
      </c>
      <c r="P234" s="3">
        <v>587</v>
      </c>
      <c r="Q234" s="3">
        <v>14</v>
      </c>
      <c r="R234" s="3">
        <v>532</v>
      </c>
      <c r="S234" s="3">
        <v>15</v>
      </c>
      <c r="T234" s="3"/>
      <c r="U234" s="3"/>
      <c r="V234" s="3"/>
    </row>
    <row r="235" ht="15" spans="13:22">
      <c r="M235" s="4">
        <v>42807</v>
      </c>
      <c r="N235" s="5">
        <v>625</v>
      </c>
      <c r="O235" s="5">
        <v>15</v>
      </c>
      <c r="P235" s="5">
        <v>573</v>
      </c>
      <c r="Q235" s="5">
        <v>23</v>
      </c>
      <c r="R235" s="5">
        <v>517</v>
      </c>
      <c r="S235" s="5">
        <v>22</v>
      </c>
      <c r="T235" s="5"/>
      <c r="U235" s="5"/>
      <c r="V235" s="5"/>
    </row>
    <row r="236" ht="15" spans="13:22">
      <c r="M236" s="2">
        <v>42800</v>
      </c>
      <c r="N236" s="3">
        <v>610</v>
      </c>
      <c r="O236" s="3">
        <v>5</v>
      </c>
      <c r="P236" s="3">
        <v>550</v>
      </c>
      <c r="Q236" s="3">
        <v>11</v>
      </c>
      <c r="R236" s="3">
        <v>495</v>
      </c>
      <c r="S236" s="3">
        <v>19</v>
      </c>
      <c r="T236" s="3"/>
      <c r="U236" s="3"/>
      <c r="V236" s="3"/>
    </row>
    <row r="237" ht="15" spans="13:22">
      <c r="M237" s="6">
        <v>42793</v>
      </c>
      <c r="N237" s="7">
        <v>605</v>
      </c>
      <c r="O237" s="7">
        <v>3</v>
      </c>
      <c r="P237" s="7">
        <v>539</v>
      </c>
      <c r="Q237" s="7">
        <v>4</v>
      </c>
      <c r="R237" s="7">
        <v>476</v>
      </c>
      <c r="S237" s="7">
        <v>3</v>
      </c>
      <c r="T237" s="11"/>
      <c r="U237" s="11"/>
      <c r="V237" s="11"/>
    </row>
    <row r="238" ht="15" spans="13:22">
      <c r="M238" s="2">
        <v>42786</v>
      </c>
      <c r="N238" s="3">
        <v>602</v>
      </c>
      <c r="O238" s="3">
        <v>-3</v>
      </c>
      <c r="P238" s="3">
        <v>535</v>
      </c>
      <c r="Q238" s="3">
        <v>-1</v>
      </c>
      <c r="R238" s="3">
        <v>473</v>
      </c>
      <c r="S238" s="3">
        <v>-1</v>
      </c>
      <c r="T238" s="3"/>
      <c r="U238" s="3"/>
      <c r="V238" s="3"/>
    </row>
    <row r="239" ht="15" spans="13:22">
      <c r="M239" s="4">
        <v>42779</v>
      </c>
      <c r="N239" s="5">
        <v>605</v>
      </c>
      <c r="O239" s="5">
        <v>-6</v>
      </c>
      <c r="P239" s="5">
        <v>536</v>
      </c>
      <c r="Q239" s="5">
        <v>-5</v>
      </c>
      <c r="R239" s="5">
        <v>474</v>
      </c>
      <c r="S239" s="5">
        <v>-6</v>
      </c>
      <c r="T239" s="5"/>
      <c r="U239" s="5"/>
      <c r="V239" s="5"/>
    </row>
    <row r="240" ht="15" spans="13:22">
      <c r="M240" s="2">
        <v>42772</v>
      </c>
      <c r="N240" s="3">
        <v>611</v>
      </c>
      <c r="O240" s="3">
        <v>-3</v>
      </c>
      <c r="P240" s="3">
        <v>541</v>
      </c>
      <c r="Q240" s="3">
        <v>-3</v>
      </c>
      <c r="R240" s="3">
        <v>480</v>
      </c>
      <c r="S240" s="3">
        <v>-3</v>
      </c>
      <c r="T240" s="3"/>
      <c r="U240" s="3"/>
      <c r="V240" s="3"/>
    </row>
    <row r="241" ht="15" spans="13:22">
      <c r="M241" s="4">
        <v>42758</v>
      </c>
      <c r="N241" s="5">
        <v>614</v>
      </c>
      <c r="O241" s="5">
        <v>-5</v>
      </c>
      <c r="P241" s="5">
        <v>544</v>
      </c>
      <c r="Q241" s="5">
        <v>-4</v>
      </c>
      <c r="R241" s="5">
        <v>483</v>
      </c>
      <c r="S241" s="5">
        <v>-2</v>
      </c>
      <c r="T241" s="5"/>
      <c r="U241" s="5"/>
      <c r="V241" s="5"/>
    </row>
    <row r="242" ht="15" spans="13:22">
      <c r="M242" s="2">
        <v>42751</v>
      </c>
      <c r="N242" s="3">
        <v>619</v>
      </c>
      <c r="O242" s="3">
        <v>-2</v>
      </c>
      <c r="P242" s="3">
        <v>548</v>
      </c>
      <c r="Q242" s="3">
        <v>-1</v>
      </c>
      <c r="R242" s="3">
        <v>485</v>
      </c>
      <c r="S242" s="3">
        <v>-1</v>
      </c>
      <c r="T242" s="3"/>
      <c r="U242" s="3"/>
      <c r="V242" s="3"/>
    </row>
    <row r="243" ht="15" spans="13:22">
      <c r="M243" s="4">
        <v>42744</v>
      </c>
      <c r="N243" s="5">
        <v>621</v>
      </c>
      <c r="O243" s="5">
        <v>-8</v>
      </c>
      <c r="P243" s="5">
        <v>549</v>
      </c>
      <c r="Q243" s="5">
        <v>-11</v>
      </c>
      <c r="R243" s="5">
        <v>486</v>
      </c>
      <c r="S243" s="5">
        <v>-8</v>
      </c>
      <c r="T243" s="5"/>
      <c r="U243" s="5"/>
      <c r="V243" s="5"/>
    </row>
    <row r="244" ht="15" spans="13:22">
      <c r="M244" s="2">
        <v>42738</v>
      </c>
      <c r="N244" s="3">
        <v>629</v>
      </c>
      <c r="O244" s="3">
        <v>-10</v>
      </c>
      <c r="P244" s="3">
        <v>560</v>
      </c>
      <c r="Q244" s="3">
        <v>-7</v>
      </c>
      <c r="R244" s="3">
        <v>494</v>
      </c>
      <c r="S244" s="3">
        <v>-5</v>
      </c>
      <c r="T244" s="3"/>
      <c r="U244" s="3"/>
      <c r="V244" s="3"/>
    </row>
    <row r="245" ht="15" spans="13:22">
      <c r="M245" s="4">
        <v>42730</v>
      </c>
      <c r="N245" s="5">
        <v>639</v>
      </c>
      <c r="O245" s="5">
        <v>-11</v>
      </c>
      <c r="P245" s="5">
        <v>567</v>
      </c>
      <c r="Q245" s="5">
        <v>-15</v>
      </c>
      <c r="R245" s="5">
        <v>499</v>
      </c>
      <c r="S245" s="5">
        <v>-14</v>
      </c>
      <c r="T245" s="5"/>
      <c r="U245" s="5"/>
      <c r="V245" s="5"/>
    </row>
    <row r="246" ht="15" spans="13:22">
      <c r="M246" s="2">
        <v>42723</v>
      </c>
      <c r="N246" s="3">
        <v>650</v>
      </c>
      <c r="O246" s="3">
        <v>-5</v>
      </c>
      <c r="P246" s="3">
        <v>582</v>
      </c>
      <c r="Q246" s="3">
        <v>-8</v>
      </c>
      <c r="R246" s="3">
        <v>513</v>
      </c>
      <c r="S246" s="3">
        <v>-6</v>
      </c>
      <c r="T246" s="3"/>
      <c r="U246" s="3"/>
      <c r="V246" s="3"/>
    </row>
    <row r="247" ht="15" spans="13:22">
      <c r="M247" s="6">
        <v>42716</v>
      </c>
      <c r="N247" s="7">
        <v>655</v>
      </c>
      <c r="O247" s="7">
        <v>-12</v>
      </c>
      <c r="P247" s="7">
        <v>590</v>
      </c>
      <c r="Q247" s="7">
        <v>-18</v>
      </c>
      <c r="R247" s="7">
        <v>519</v>
      </c>
      <c r="S247" s="7">
        <v>-19</v>
      </c>
      <c r="T247" s="11"/>
      <c r="U247" s="11"/>
      <c r="V247" s="11"/>
    </row>
    <row r="248" ht="15" spans="13:22">
      <c r="M248" s="2">
        <v>42709</v>
      </c>
      <c r="N248" s="3">
        <v>667</v>
      </c>
      <c r="O248" s="3">
        <v>-5</v>
      </c>
      <c r="P248" s="3">
        <v>608</v>
      </c>
      <c r="Q248" s="3">
        <v>-7</v>
      </c>
      <c r="R248" s="3">
        <v>538</v>
      </c>
      <c r="S248" s="3">
        <v>-2</v>
      </c>
      <c r="T248" s="3"/>
      <c r="U248" s="3"/>
      <c r="V248" s="3"/>
    </row>
    <row r="249" ht="15" spans="13:22">
      <c r="M249" s="4">
        <v>42702</v>
      </c>
      <c r="N249" s="5">
        <v>672</v>
      </c>
      <c r="O249" s="5">
        <v>-6</v>
      </c>
      <c r="P249" s="5">
        <v>615</v>
      </c>
      <c r="Q249" s="5">
        <v>-10</v>
      </c>
      <c r="R249" s="5">
        <v>540</v>
      </c>
      <c r="S249" s="5">
        <v>-5</v>
      </c>
      <c r="T249" s="5"/>
      <c r="U249" s="5"/>
      <c r="V249" s="5"/>
    </row>
    <row r="250" ht="15" spans="13:22">
      <c r="M250" s="2">
        <v>42695</v>
      </c>
      <c r="N250" s="3">
        <v>678</v>
      </c>
      <c r="O250" s="3">
        <v>-5</v>
      </c>
      <c r="P250" s="3">
        <v>625</v>
      </c>
      <c r="Q250" s="3">
        <v>0</v>
      </c>
      <c r="R250" s="3">
        <v>545</v>
      </c>
      <c r="S250" s="3">
        <v>-5</v>
      </c>
      <c r="T250" s="3"/>
      <c r="U250" s="3"/>
      <c r="V250" s="3"/>
    </row>
    <row r="251" ht="15" spans="13:22">
      <c r="M251" s="4">
        <v>42688</v>
      </c>
      <c r="N251" s="5">
        <v>683</v>
      </c>
      <c r="O251" s="5">
        <v>-17</v>
      </c>
      <c r="P251" s="5">
        <v>625</v>
      </c>
      <c r="Q251" s="5">
        <v>-5</v>
      </c>
      <c r="R251" s="5">
        <v>550</v>
      </c>
      <c r="S251" s="5">
        <v>-5</v>
      </c>
      <c r="T251" s="5"/>
      <c r="U251" s="5"/>
      <c r="V251" s="5"/>
    </row>
    <row r="252" ht="15" spans="13:22">
      <c r="M252" s="2">
        <v>42681</v>
      </c>
      <c r="N252" s="3">
        <v>700</v>
      </c>
      <c r="O252" s="3">
        <v>35</v>
      </c>
      <c r="P252" s="3">
        <v>630</v>
      </c>
      <c r="Q252" s="3">
        <v>40</v>
      </c>
      <c r="R252" s="3">
        <v>555</v>
      </c>
      <c r="S252" s="3">
        <v>35</v>
      </c>
      <c r="T252" s="3"/>
      <c r="U252" s="3"/>
      <c r="V252" s="3"/>
    </row>
    <row r="253" ht="15" spans="13:22">
      <c r="M253" s="4">
        <v>42674</v>
      </c>
      <c r="N253" s="5">
        <v>665</v>
      </c>
      <c r="O253" s="5">
        <v>20</v>
      </c>
      <c r="P253" s="5">
        <v>590</v>
      </c>
      <c r="Q253" s="5">
        <v>20</v>
      </c>
      <c r="R253" s="5">
        <v>520</v>
      </c>
      <c r="S253" s="5">
        <v>15</v>
      </c>
      <c r="T253" s="5"/>
      <c r="U253" s="5"/>
      <c r="V253" s="5"/>
    </row>
    <row r="254" ht="15" spans="13:22">
      <c r="M254" s="2">
        <v>42667</v>
      </c>
      <c r="N254" s="3">
        <v>645</v>
      </c>
      <c r="O254" s="3">
        <v>35</v>
      </c>
      <c r="P254" s="3">
        <v>570</v>
      </c>
      <c r="Q254" s="3">
        <v>20</v>
      </c>
      <c r="R254" s="3">
        <v>505</v>
      </c>
      <c r="S254" s="3">
        <v>25</v>
      </c>
      <c r="T254" s="3"/>
      <c r="U254" s="3"/>
      <c r="V254" s="3"/>
    </row>
    <row r="255" ht="15" spans="13:22">
      <c r="M255" s="4">
        <v>42660</v>
      </c>
      <c r="N255" s="5">
        <v>610</v>
      </c>
      <c r="O255" s="5">
        <v>35</v>
      </c>
      <c r="P255" s="5">
        <v>550</v>
      </c>
      <c r="Q255" s="5">
        <v>30</v>
      </c>
      <c r="R255" s="5">
        <v>480</v>
      </c>
      <c r="S255" s="5">
        <v>20</v>
      </c>
      <c r="T255" s="5"/>
      <c r="U255" s="5"/>
      <c r="V255" s="5"/>
    </row>
    <row r="256" ht="15" spans="13:22">
      <c r="M256" s="2">
        <v>42653</v>
      </c>
      <c r="N256" s="3">
        <v>575</v>
      </c>
      <c r="O256" s="3">
        <v>10</v>
      </c>
      <c r="P256" s="3">
        <v>520</v>
      </c>
      <c r="Q256" s="3">
        <v>10</v>
      </c>
      <c r="R256" s="3">
        <v>460</v>
      </c>
      <c r="S256" s="3">
        <v>5</v>
      </c>
      <c r="T256" s="3"/>
      <c r="U256" s="3"/>
      <c r="V256" s="3"/>
    </row>
    <row r="257" ht="15" spans="13:22">
      <c r="M257" s="6">
        <v>42639</v>
      </c>
      <c r="N257" s="7">
        <v>565</v>
      </c>
      <c r="O257" s="7">
        <v>5</v>
      </c>
      <c r="P257" s="7">
        <v>510</v>
      </c>
      <c r="Q257" s="7">
        <v>5</v>
      </c>
      <c r="R257" s="7">
        <v>455</v>
      </c>
      <c r="S257" s="7">
        <v>5</v>
      </c>
      <c r="T257" s="11"/>
      <c r="U257" s="11"/>
      <c r="V257" s="11"/>
    </row>
    <row r="258" ht="15" spans="13:22">
      <c r="M258" s="2">
        <v>42632</v>
      </c>
      <c r="N258" s="3">
        <v>560</v>
      </c>
      <c r="O258" s="3">
        <v>10</v>
      </c>
      <c r="P258" s="3">
        <v>505</v>
      </c>
      <c r="Q258" s="3">
        <v>10</v>
      </c>
      <c r="R258" s="3">
        <v>450</v>
      </c>
      <c r="S258" s="3">
        <v>10</v>
      </c>
      <c r="T258" s="3"/>
      <c r="U258" s="3"/>
      <c r="V258" s="3"/>
    </row>
    <row r="259" ht="15" spans="13:22">
      <c r="M259" s="4">
        <v>42625</v>
      </c>
      <c r="N259" s="5">
        <v>550</v>
      </c>
      <c r="O259" s="5">
        <v>45</v>
      </c>
      <c r="P259" s="5">
        <v>495</v>
      </c>
      <c r="Q259" s="5">
        <v>35</v>
      </c>
      <c r="R259" s="5">
        <v>440</v>
      </c>
      <c r="S259" s="5">
        <v>35</v>
      </c>
      <c r="T259" s="5"/>
      <c r="U259" s="5"/>
      <c r="V259" s="5"/>
    </row>
    <row r="260" ht="15" spans="13:22">
      <c r="M260" s="2">
        <v>42618</v>
      </c>
      <c r="N260" s="3">
        <v>505</v>
      </c>
      <c r="O260" s="3">
        <v>15</v>
      </c>
      <c r="P260" s="3">
        <v>460</v>
      </c>
      <c r="Q260" s="3">
        <v>15</v>
      </c>
      <c r="R260" s="3">
        <v>405</v>
      </c>
      <c r="S260" s="3">
        <v>10</v>
      </c>
      <c r="T260" s="3"/>
      <c r="U260" s="3"/>
      <c r="V260" s="3"/>
    </row>
    <row r="261" ht="15" spans="13:22">
      <c r="M261" s="4">
        <v>42611</v>
      </c>
      <c r="N261" s="5">
        <v>490</v>
      </c>
      <c r="O261" s="5">
        <v>10</v>
      </c>
      <c r="P261" s="5">
        <v>445</v>
      </c>
      <c r="Q261" s="5">
        <v>10</v>
      </c>
      <c r="R261" s="5">
        <v>395</v>
      </c>
      <c r="S261" s="5">
        <v>5</v>
      </c>
      <c r="T261" s="5"/>
      <c r="U261" s="5"/>
      <c r="V261" s="5"/>
    </row>
    <row r="262" ht="15" spans="13:22">
      <c r="M262" s="2">
        <v>42604</v>
      </c>
      <c r="N262" s="3">
        <v>480</v>
      </c>
      <c r="O262" s="3">
        <v>5</v>
      </c>
      <c r="P262" s="3">
        <v>435</v>
      </c>
      <c r="Q262" s="3">
        <v>5</v>
      </c>
      <c r="R262" s="3">
        <v>390</v>
      </c>
      <c r="S262" s="3">
        <v>5</v>
      </c>
      <c r="T262" s="3"/>
      <c r="U262" s="3"/>
      <c r="V262" s="3"/>
    </row>
    <row r="263" ht="15" spans="13:22">
      <c r="M263" s="4">
        <v>42597</v>
      </c>
      <c r="N263" s="5">
        <v>475</v>
      </c>
      <c r="O263" s="5">
        <v>10</v>
      </c>
      <c r="P263" s="5">
        <v>430</v>
      </c>
      <c r="Q263" s="5">
        <v>5</v>
      </c>
      <c r="R263" s="5">
        <v>385</v>
      </c>
      <c r="S263" s="5">
        <v>5</v>
      </c>
      <c r="T263" s="5"/>
      <c r="U263" s="5"/>
      <c r="V263" s="5"/>
    </row>
    <row r="264" ht="15" spans="13:22">
      <c r="M264" s="2">
        <v>42590</v>
      </c>
      <c r="N264" s="3">
        <v>465</v>
      </c>
      <c r="O264" s="3">
        <v>20</v>
      </c>
      <c r="P264" s="3">
        <v>425</v>
      </c>
      <c r="Q264" s="3">
        <v>20</v>
      </c>
      <c r="R264" s="3">
        <v>380</v>
      </c>
      <c r="S264" s="3">
        <v>20</v>
      </c>
      <c r="T264" s="3"/>
      <c r="U264" s="3"/>
      <c r="V264" s="3"/>
    </row>
    <row r="265" ht="15" spans="13:22">
      <c r="M265" s="4">
        <v>42583</v>
      </c>
      <c r="N265" s="5">
        <v>445</v>
      </c>
      <c r="O265" s="5">
        <v>20</v>
      </c>
      <c r="P265" s="5">
        <v>405</v>
      </c>
      <c r="Q265" s="5">
        <v>15</v>
      </c>
      <c r="R265" s="5">
        <v>360</v>
      </c>
      <c r="S265" s="5">
        <v>10</v>
      </c>
      <c r="T265" s="5"/>
      <c r="U265" s="5"/>
      <c r="V265" s="5"/>
    </row>
    <row r="266" ht="15" spans="13:22">
      <c r="M266" s="2">
        <v>42576</v>
      </c>
      <c r="N266" s="3">
        <v>425</v>
      </c>
      <c r="O266" s="3">
        <v>5</v>
      </c>
      <c r="P266" s="3">
        <v>390</v>
      </c>
      <c r="Q266" s="3">
        <v>5</v>
      </c>
      <c r="R266" s="3">
        <v>350</v>
      </c>
      <c r="S266" s="3">
        <v>5</v>
      </c>
      <c r="T266" s="3"/>
      <c r="U266" s="3"/>
      <c r="V266" s="3"/>
    </row>
    <row r="267" ht="15" spans="13:22">
      <c r="M267" s="6">
        <v>42569</v>
      </c>
      <c r="N267" s="7">
        <v>420</v>
      </c>
      <c r="O267" s="7">
        <v>5</v>
      </c>
      <c r="P267" s="7">
        <v>385</v>
      </c>
      <c r="Q267" s="7">
        <v>10</v>
      </c>
      <c r="R267" s="7">
        <v>345</v>
      </c>
      <c r="S267" s="7">
        <v>5</v>
      </c>
      <c r="T267" s="11"/>
      <c r="U267" s="11"/>
      <c r="V267" s="11"/>
    </row>
    <row r="268" ht="15" spans="13:22">
      <c r="M268" s="2">
        <v>42562</v>
      </c>
      <c r="N268" s="3">
        <v>415</v>
      </c>
      <c r="O268" s="3">
        <v>0</v>
      </c>
      <c r="P268" s="3">
        <v>375</v>
      </c>
      <c r="Q268" s="3">
        <v>0</v>
      </c>
      <c r="R268" s="3">
        <v>340</v>
      </c>
      <c r="S268" s="3">
        <v>0</v>
      </c>
      <c r="T268" s="3"/>
      <c r="U268" s="3"/>
      <c r="V268" s="3"/>
    </row>
    <row r="269" ht="15" spans="13:22">
      <c r="M269" s="4">
        <v>42555</v>
      </c>
      <c r="N269" s="5">
        <v>415</v>
      </c>
      <c r="O269" s="5">
        <v>15</v>
      </c>
      <c r="P269" s="5">
        <v>375</v>
      </c>
      <c r="Q269" s="5">
        <v>15</v>
      </c>
      <c r="R269" s="5">
        <v>340</v>
      </c>
      <c r="S269" s="5">
        <v>15</v>
      </c>
      <c r="T269" s="5"/>
      <c r="U269" s="5"/>
      <c r="V269" s="5"/>
    </row>
    <row r="270" ht="15" spans="13:22">
      <c r="M270" s="2">
        <v>42548</v>
      </c>
      <c r="N270" s="3">
        <v>400</v>
      </c>
      <c r="O270" s="3">
        <v>0</v>
      </c>
      <c r="P270" s="3">
        <v>360</v>
      </c>
      <c r="Q270" s="3">
        <v>0</v>
      </c>
      <c r="R270" s="3">
        <v>325</v>
      </c>
      <c r="S270" s="3">
        <v>0</v>
      </c>
      <c r="T270" s="3"/>
      <c r="U270" s="3"/>
      <c r="V270" s="3"/>
    </row>
    <row r="271" ht="15" spans="13:22">
      <c r="M271" s="4">
        <v>42541</v>
      </c>
      <c r="N271" s="5">
        <v>400</v>
      </c>
      <c r="O271" s="5">
        <v>0</v>
      </c>
      <c r="P271" s="5">
        <v>360</v>
      </c>
      <c r="Q271" s="5">
        <v>0</v>
      </c>
      <c r="R271" s="5">
        <v>325</v>
      </c>
      <c r="S271" s="5">
        <v>0</v>
      </c>
      <c r="T271" s="5"/>
      <c r="U271" s="5"/>
      <c r="V271" s="5"/>
    </row>
    <row r="272" ht="15" spans="13:22">
      <c r="M272" s="2">
        <v>42534</v>
      </c>
      <c r="N272" s="3">
        <v>400</v>
      </c>
      <c r="O272" s="3">
        <v>5</v>
      </c>
      <c r="P272" s="3">
        <v>360</v>
      </c>
      <c r="Q272" s="3">
        <v>0</v>
      </c>
      <c r="R272" s="3">
        <v>325</v>
      </c>
      <c r="S272" s="3">
        <v>0</v>
      </c>
      <c r="T272" s="3"/>
      <c r="U272" s="3"/>
      <c r="V272" s="3"/>
    </row>
    <row r="273" ht="15" spans="13:22">
      <c r="M273" s="4">
        <v>42527</v>
      </c>
      <c r="N273" s="5">
        <v>395</v>
      </c>
      <c r="O273" s="5">
        <v>0</v>
      </c>
      <c r="P273" s="5">
        <v>360</v>
      </c>
      <c r="Q273" s="5">
        <v>0</v>
      </c>
      <c r="R273" s="5">
        <v>325</v>
      </c>
      <c r="S273" s="5">
        <v>0</v>
      </c>
      <c r="T273" s="5"/>
      <c r="U273" s="5"/>
      <c r="V273" s="5"/>
    </row>
    <row r="274" ht="15" spans="13:22">
      <c r="M274" s="2">
        <v>42520</v>
      </c>
      <c r="N274" s="3">
        <v>395</v>
      </c>
      <c r="O274" s="3">
        <v>10</v>
      </c>
      <c r="P274" s="3">
        <v>360</v>
      </c>
      <c r="Q274" s="3">
        <v>10</v>
      </c>
      <c r="R274" s="3">
        <v>325</v>
      </c>
      <c r="S274" s="3">
        <v>10</v>
      </c>
      <c r="T274" s="3"/>
      <c r="U274" s="3"/>
      <c r="V274" s="3"/>
    </row>
    <row r="275" ht="15" spans="13:22">
      <c r="M275" s="4">
        <v>42513</v>
      </c>
      <c r="N275" s="5">
        <v>385</v>
      </c>
      <c r="O275" s="5">
        <v>0</v>
      </c>
      <c r="P275" s="5">
        <v>350</v>
      </c>
      <c r="Q275" s="5">
        <v>0</v>
      </c>
      <c r="R275" s="5">
        <v>315</v>
      </c>
      <c r="S275" s="5">
        <v>0</v>
      </c>
      <c r="T275" s="5"/>
      <c r="U275" s="5"/>
      <c r="V275" s="5"/>
    </row>
    <row r="276" ht="15" spans="13:22">
      <c r="M276" s="2">
        <v>42506</v>
      </c>
      <c r="N276" s="3">
        <v>385</v>
      </c>
      <c r="O276" s="3">
        <v>0</v>
      </c>
      <c r="P276" s="3">
        <v>350</v>
      </c>
      <c r="Q276" s="3">
        <v>0</v>
      </c>
      <c r="R276" s="3">
        <v>315</v>
      </c>
      <c r="S276" s="3">
        <v>0</v>
      </c>
      <c r="T276" s="3"/>
      <c r="U276" s="3"/>
      <c r="V276" s="3"/>
    </row>
    <row r="277" ht="15" spans="13:22">
      <c r="M277" s="6">
        <v>42499</v>
      </c>
      <c r="N277" s="7">
        <v>385</v>
      </c>
      <c r="O277" s="7">
        <v>0</v>
      </c>
      <c r="P277" s="7">
        <v>350</v>
      </c>
      <c r="Q277" s="7">
        <v>0</v>
      </c>
      <c r="R277" s="7">
        <v>315</v>
      </c>
      <c r="S277" s="7">
        <v>0</v>
      </c>
      <c r="T277" s="11"/>
      <c r="U277" s="11"/>
      <c r="V277" s="11"/>
    </row>
    <row r="278" ht="15" spans="13:22">
      <c r="M278" s="2">
        <v>42492</v>
      </c>
      <c r="N278" s="3">
        <v>385</v>
      </c>
      <c r="O278" s="3">
        <v>0</v>
      </c>
      <c r="P278" s="3">
        <v>350</v>
      </c>
      <c r="Q278" s="3">
        <v>0</v>
      </c>
      <c r="R278" s="3">
        <v>315</v>
      </c>
      <c r="S278" s="3">
        <v>0</v>
      </c>
      <c r="T278" s="3"/>
      <c r="U278" s="3"/>
      <c r="V278" s="3"/>
    </row>
    <row r="279" ht="15" spans="13:22">
      <c r="M279" s="4">
        <v>42485</v>
      </c>
      <c r="N279" s="5">
        <v>385</v>
      </c>
      <c r="O279" s="5">
        <v>0</v>
      </c>
      <c r="P279" s="5">
        <v>350</v>
      </c>
      <c r="Q279" s="5">
        <v>0</v>
      </c>
      <c r="R279" s="5">
        <v>315</v>
      </c>
      <c r="S279" s="5">
        <v>0</v>
      </c>
      <c r="T279" s="5"/>
      <c r="U279" s="5"/>
      <c r="V279" s="5"/>
    </row>
    <row r="280" ht="15" spans="13:22">
      <c r="M280" s="2">
        <v>42478</v>
      </c>
      <c r="N280" s="3">
        <v>385</v>
      </c>
      <c r="O280" s="3">
        <v>0</v>
      </c>
      <c r="P280" s="3">
        <v>350</v>
      </c>
      <c r="Q280" s="3">
        <v>0</v>
      </c>
      <c r="R280" s="3">
        <v>315</v>
      </c>
      <c r="S280" s="3">
        <v>0</v>
      </c>
      <c r="T280" s="3"/>
      <c r="U280" s="3"/>
      <c r="V280" s="3"/>
    </row>
    <row r="281" ht="15" spans="13:22">
      <c r="M281" s="4">
        <v>42471</v>
      </c>
      <c r="N281" s="5">
        <v>385</v>
      </c>
      <c r="O281" s="5">
        <v>0</v>
      </c>
      <c r="P281" s="5">
        <v>350</v>
      </c>
      <c r="Q281" s="5">
        <v>0</v>
      </c>
      <c r="R281" s="5">
        <v>315</v>
      </c>
      <c r="S281" s="5">
        <v>0</v>
      </c>
      <c r="T281" s="5"/>
      <c r="U281" s="5"/>
      <c r="V281" s="5"/>
    </row>
    <row r="282" ht="15" spans="13:22">
      <c r="M282" s="2">
        <v>42464</v>
      </c>
      <c r="N282" s="3">
        <v>385</v>
      </c>
      <c r="O282" s="3">
        <v>0</v>
      </c>
      <c r="P282" s="3">
        <v>350</v>
      </c>
      <c r="Q282" s="3">
        <v>0</v>
      </c>
      <c r="R282" s="3">
        <v>315</v>
      </c>
      <c r="S282" s="3">
        <v>0</v>
      </c>
      <c r="T282" s="3"/>
      <c r="U282" s="3"/>
      <c r="V282" s="3"/>
    </row>
    <row r="283" ht="15" spans="13:22">
      <c r="M283" s="4">
        <v>42457</v>
      </c>
      <c r="N283" s="5">
        <v>385</v>
      </c>
      <c r="O283" s="5">
        <v>0</v>
      </c>
      <c r="P283" s="5">
        <v>350</v>
      </c>
      <c r="Q283" s="5">
        <v>0</v>
      </c>
      <c r="R283" s="5">
        <v>315</v>
      </c>
      <c r="S283" s="5">
        <v>0</v>
      </c>
      <c r="T283" s="5"/>
      <c r="U283" s="5"/>
      <c r="V283" s="5"/>
    </row>
    <row r="284" ht="15" spans="13:22">
      <c r="M284" s="2">
        <v>42450</v>
      </c>
      <c r="N284" s="3">
        <v>385</v>
      </c>
      <c r="O284" s="3">
        <v>0</v>
      </c>
      <c r="P284" s="3">
        <v>350</v>
      </c>
      <c r="Q284" s="3">
        <v>0</v>
      </c>
      <c r="R284" s="3">
        <v>315</v>
      </c>
      <c r="S284" s="3">
        <v>0</v>
      </c>
      <c r="T284" s="3"/>
      <c r="U284" s="3"/>
      <c r="V284" s="3"/>
    </row>
    <row r="285" ht="15" spans="13:22">
      <c r="M285" s="4">
        <v>42443</v>
      </c>
      <c r="N285" s="5">
        <v>385</v>
      </c>
      <c r="O285" s="5">
        <v>0</v>
      </c>
      <c r="P285" s="5">
        <v>350</v>
      </c>
      <c r="Q285" s="5">
        <v>0</v>
      </c>
      <c r="R285" s="5">
        <v>315</v>
      </c>
      <c r="S285" s="5">
        <v>0</v>
      </c>
      <c r="T285" s="5"/>
      <c r="U285" s="5"/>
      <c r="V285" s="5"/>
    </row>
    <row r="286" ht="15" spans="13:22">
      <c r="M286" s="2">
        <v>42436</v>
      </c>
      <c r="N286" s="3">
        <v>385</v>
      </c>
      <c r="O286" s="3">
        <v>5</v>
      </c>
      <c r="P286" s="3">
        <v>350</v>
      </c>
      <c r="Q286" s="3">
        <v>5</v>
      </c>
      <c r="R286" s="3">
        <v>315</v>
      </c>
      <c r="S286" s="3">
        <v>0</v>
      </c>
      <c r="T286" s="3"/>
      <c r="U286" s="3"/>
      <c r="V286" s="3"/>
    </row>
    <row r="287" ht="15" spans="13:22">
      <c r="M287" s="6">
        <v>42429</v>
      </c>
      <c r="N287" s="7">
        <v>380</v>
      </c>
      <c r="O287" s="7">
        <v>5</v>
      </c>
      <c r="P287" s="7">
        <v>345</v>
      </c>
      <c r="Q287" s="7">
        <v>5</v>
      </c>
      <c r="R287" s="7">
        <v>315</v>
      </c>
      <c r="S287" s="7">
        <v>5</v>
      </c>
      <c r="T287" s="11"/>
      <c r="U287" s="11"/>
      <c r="V287" s="11"/>
    </row>
    <row r="288" ht="15" spans="13:22">
      <c r="M288" s="2">
        <v>42422</v>
      </c>
      <c r="N288" s="3">
        <v>375</v>
      </c>
      <c r="O288" s="3">
        <v>0</v>
      </c>
      <c r="P288" s="3">
        <v>340</v>
      </c>
      <c r="Q288" s="3">
        <v>0</v>
      </c>
      <c r="R288" s="3">
        <v>310</v>
      </c>
      <c r="S288" s="3">
        <v>5</v>
      </c>
      <c r="T288" s="3"/>
      <c r="U288" s="3"/>
      <c r="V288" s="3"/>
    </row>
    <row r="289" ht="15" spans="13:22">
      <c r="M289" s="4">
        <v>42415</v>
      </c>
      <c r="N289" s="5">
        <v>375</v>
      </c>
      <c r="O289" s="5">
        <v>0</v>
      </c>
      <c r="P289" s="5">
        <v>340</v>
      </c>
      <c r="Q289" s="5">
        <v>0</v>
      </c>
      <c r="R289" s="5">
        <v>305</v>
      </c>
      <c r="S289" s="5">
        <v>0</v>
      </c>
      <c r="T289" s="5"/>
      <c r="U289" s="5"/>
      <c r="V289" s="5"/>
    </row>
    <row r="290" ht="15" spans="13:22">
      <c r="M290" s="2">
        <v>42401</v>
      </c>
      <c r="N290" s="3">
        <v>375</v>
      </c>
      <c r="O290" s="3">
        <v>0</v>
      </c>
      <c r="P290" s="3">
        <v>340</v>
      </c>
      <c r="Q290" s="3">
        <v>0</v>
      </c>
      <c r="R290" s="3">
        <v>305</v>
      </c>
      <c r="S290" s="3">
        <v>0</v>
      </c>
      <c r="T290" s="3"/>
      <c r="U290" s="3"/>
      <c r="V290" s="3"/>
    </row>
    <row r="291" ht="15" spans="13:22">
      <c r="M291" s="4">
        <v>42394</v>
      </c>
      <c r="N291" s="5">
        <v>375</v>
      </c>
      <c r="O291" s="5">
        <v>5</v>
      </c>
      <c r="P291" s="5">
        <v>340</v>
      </c>
      <c r="Q291" s="5">
        <v>5</v>
      </c>
      <c r="R291" s="5">
        <v>305</v>
      </c>
      <c r="S291" s="5">
        <v>5</v>
      </c>
      <c r="T291" s="5"/>
      <c r="U291" s="5"/>
      <c r="V291" s="5"/>
    </row>
    <row r="292" ht="15" spans="13:22">
      <c r="M292" s="2">
        <v>42387</v>
      </c>
      <c r="N292" s="3">
        <v>370</v>
      </c>
      <c r="O292" s="3">
        <v>0</v>
      </c>
      <c r="P292" s="3">
        <v>335</v>
      </c>
      <c r="Q292" s="3">
        <v>0</v>
      </c>
      <c r="R292" s="3">
        <v>300</v>
      </c>
      <c r="S292" s="3">
        <v>5</v>
      </c>
      <c r="T292" s="3"/>
      <c r="U292" s="3"/>
      <c r="V292" s="3"/>
    </row>
    <row r="293" ht="15" spans="13:22">
      <c r="M293" s="4">
        <v>42380</v>
      </c>
      <c r="N293" s="5">
        <v>370</v>
      </c>
      <c r="O293" s="5">
        <v>0</v>
      </c>
      <c r="P293" s="5">
        <v>335</v>
      </c>
      <c r="Q293" s="5">
        <v>0</v>
      </c>
      <c r="R293" s="5">
        <v>295</v>
      </c>
      <c r="S293" s="5">
        <v>-5</v>
      </c>
      <c r="T293" s="5"/>
      <c r="U293" s="5"/>
      <c r="V293" s="5"/>
    </row>
    <row r="294" ht="15" spans="13:22">
      <c r="M294" s="2">
        <v>42373</v>
      </c>
      <c r="N294" s="3">
        <v>370</v>
      </c>
      <c r="O294" s="3">
        <v>0</v>
      </c>
      <c r="P294" s="3">
        <v>335</v>
      </c>
      <c r="Q294" s="3">
        <v>5</v>
      </c>
      <c r="R294" s="3">
        <v>300</v>
      </c>
      <c r="S294" s="3">
        <v>-10</v>
      </c>
      <c r="T294" s="3"/>
      <c r="U294" s="3"/>
      <c r="V294" s="3"/>
    </row>
    <row r="295" ht="15" spans="13:22">
      <c r="M295" s="4">
        <v>42366</v>
      </c>
      <c r="N295" s="5">
        <v>370</v>
      </c>
      <c r="O295" s="5">
        <v>0</v>
      </c>
      <c r="P295" s="5">
        <v>330</v>
      </c>
      <c r="Q295" s="5">
        <v>10</v>
      </c>
      <c r="R295" s="5">
        <v>310</v>
      </c>
      <c r="S295" s="5">
        <v>0</v>
      </c>
      <c r="T295" s="5"/>
      <c r="U295" s="5"/>
      <c r="V295" s="5"/>
    </row>
    <row r="296" ht="15" spans="13:22">
      <c r="M296" s="2">
        <v>42359</v>
      </c>
      <c r="N296" s="3">
        <v>370</v>
      </c>
      <c r="O296" s="3">
        <v>5</v>
      </c>
      <c r="P296" s="3">
        <v>320</v>
      </c>
      <c r="Q296" s="3">
        <v>0</v>
      </c>
      <c r="R296" s="3">
        <v>310</v>
      </c>
      <c r="S296" s="3">
        <v>10</v>
      </c>
      <c r="T296" s="3"/>
      <c r="U296" s="3"/>
      <c r="V296" s="3"/>
    </row>
    <row r="297" ht="15" spans="13:22">
      <c r="M297" s="6">
        <v>42352</v>
      </c>
      <c r="N297" s="7">
        <v>365</v>
      </c>
      <c r="O297" s="7">
        <v>0</v>
      </c>
      <c r="P297" s="7">
        <v>320</v>
      </c>
      <c r="Q297" s="7">
        <v>0</v>
      </c>
      <c r="R297" s="7">
        <v>300</v>
      </c>
      <c r="S297" s="7">
        <v>0</v>
      </c>
      <c r="T297" s="11"/>
      <c r="U297" s="11"/>
      <c r="V297" s="11"/>
    </row>
    <row r="298" ht="15" spans="13:22">
      <c r="M298" s="2">
        <v>42345</v>
      </c>
      <c r="N298" s="3">
        <v>365</v>
      </c>
      <c r="O298" s="3">
        <v>-5</v>
      </c>
      <c r="P298" s="3">
        <v>320</v>
      </c>
      <c r="Q298" s="3">
        <v>-5</v>
      </c>
      <c r="R298" s="3">
        <v>300</v>
      </c>
      <c r="S298" s="3">
        <v>-5</v>
      </c>
      <c r="T298" s="3"/>
      <c r="U298" s="3"/>
      <c r="V298" s="3"/>
    </row>
    <row r="299" ht="15" spans="13:22">
      <c r="M299" s="4">
        <v>42338</v>
      </c>
      <c r="N299" s="5">
        <v>370</v>
      </c>
      <c r="O299" s="5">
        <v>5</v>
      </c>
      <c r="P299" s="5">
        <v>325</v>
      </c>
      <c r="Q299" s="5">
        <v>5</v>
      </c>
      <c r="R299" s="5">
        <v>305</v>
      </c>
      <c r="S299" s="5">
        <v>5</v>
      </c>
      <c r="T299" s="5"/>
      <c r="U299" s="5"/>
      <c r="V299" s="5"/>
    </row>
    <row r="300" ht="15" spans="13:22">
      <c r="M300" s="2">
        <v>42331</v>
      </c>
      <c r="N300" s="3">
        <v>365</v>
      </c>
      <c r="O300" s="3">
        <v>0</v>
      </c>
      <c r="P300" s="3">
        <v>320</v>
      </c>
      <c r="Q300" s="3">
        <v>0</v>
      </c>
      <c r="R300" s="3">
        <v>300</v>
      </c>
      <c r="S300" s="3">
        <v>0</v>
      </c>
      <c r="T300" s="3"/>
      <c r="U300" s="3"/>
      <c r="V300" s="3"/>
    </row>
    <row r="301" ht="15" spans="13:22">
      <c r="M301" s="4">
        <v>42324</v>
      </c>
      <c r="N301" s="5">
        <v>365</v>
      </c>
      <c r="O301" s="5">
        <v>-5</v>
      </c>
      <c r="P301" s="5">
        <v>320</v>
      </c>
      <c r="Q301" s="5">
        <v>0</v>
      </c>
      <c r="R301" s="5">
        <v>300</v>
      </c>
      <c r="S301" s="5">
        <v>0</v>
      </c>
      <c r="T301" s="5"/>
      <c r="U301" s="5"/>
      <c r="V301" s="5"/>
    </row>
    <row r="302" ht="15" spans="13:22">
      <c r="M302" s="2">
        <v>42317</v>
      </c>
      <c r="N302" s="3">
        <v>370</v>
      </c>
      <c r="O302" s="3">
        <v>0</v>
      </c>
      <c r="P302" s="3">
        <v>320</v>
      </c>
      <c r="Q302" s="3">
        <v>0</v>
      </c>
      <c r="R302" s="3">
        <v>300</v>
      </c>
      <c r="S302" s="3">
        <v>0</v>
      </c>
      <c r="T302" s="3"/>
      <c r="U302" s="3"/>
      <c r="V302" s="3"/>
    </row>
    <row r="303" ht="15" spans="13:22">
      <c r="M303" s="4">
        <v>42310</v>
      </c>
      <c r="N303" s="5">
        <v>370</v>
      </c>
      <c r="O303" s="5">
        <v>-5</v>
      </c>
      <c r="P303" s="5">
        <v>320</v>
      </c>
      <c r="Q303" s="5">
        <v>-10</v>
      </c>
      <c r="R303" s="5">
        <v>300</v>
      </c>
      <c r="S303" s="5">
        <v>0</v>
      </c>
      <c r="T303" s="5"/>
      <c r="U303" s="5"/>
      <c r="V303" s="5"/>
    </row>
    <row r="304" ht="15" spans="13:22">
      <c r="M304" s="2">
        <v>42303</v>
      </c>
      <c r="N304" s="3">
        <v>375</v>
      </c>
      <c r="O304" s="3">
        <v>-5</v>
      </c>
      <c r="P304" s="3">
        <v>330</v>
      </c>
      <c r="Q304" s="3">
        <v>-5</v>
      </c>
      <c r="R304" s="3">
        <v>300</v>
      </c>
      <c r="S304" s="3">
        <v>0</v>
      </c>
      <c r="T304" s="3"/>
      <c r="U304" s="3"/>
      <c r="V304" s="3"/>
    </row>
    <row r="305" ht="15" spans="13:22">
      <c r="M305" s="4">
        <v>42296</v>
      </c>
      <c r="N305" s="5">
        <v>380</v>
      </c>
      <c r="O305" s="5">
        <v>-5</v>
      </c>
      <c r="P305" s="5">
        <v>335</v>
      </c>
      <c r="Q305" s="5">
        <v>-5</v>
      </c>
      <c r="R305" s="5">
        <v>300</v>
      </c>
      <c r="S305" s="5">
        <v>-5</v>
      </c>
      <c r="T305" s="5"/>
      <c r="U305" s="5"/>
      <c r="V305" s="5"/>
    </row>
    <row r="306" ht="15" spans="13:22">
      <c r="M306" s="2">
        <v>42289</v>
      </c>
      <c r="N306" s="3">
        <v>385</v>
      </c>
      <c r="O306" s="3">
        <v>-5</v>
      </c>
      <c r="P306" s="3">
        <v>340</v>
      </c>
      <c r="Q306" s="3">
        <v>0</v>
      </c>
      <c r="R306" s="3">
        <v>305</v>
      </c>
      <c r="S306" s="3">
        <v>-5</v>
      </c>
      <c r="T306" s="3"/>
      <c r="U306" s="3"/>
      <c r="V306" s="3"/>
    </row>
    <row r="307" ht="15" spans="13:22">
      <c r="M307" s="6">
        <v>42275</v>
      </c>
      <c r="N307" s="7">
        <v>390</v>
      </c>
      <c r="O307" s="7">
        <v>-5</v>
      </c>
      <c r="P307" s="7">
        <v>340</v>
      </c>
      <c r="Q307" s="7">
        <v>-5</v>
      </c>
      <c r="R307" s="7">
        <v>310</v>
      </c>
      <c r="S307" s="7">
        <v>-5</v>
      </c>
      <c r="T307" s="11"/>
      <c r="U307" s="11"/>
      <c r="V307" s="11"/>
    </row>
    <row r="308" ht="15" spans="13:22">
      <c r="M308" s="2">
        <v>42268</v>
      </c>
      <c r="N308" s="3">
        <v>395</v>
      </c>
      <c r="O308" s="3">
        <v>0</v>
      </c>
      <c r="P308" s="3">
        <v>345</v>
      </c>
      <c r="Q308" s="3">
        <v>0</v>
      </c>
      <c r="R308" s="3">
        <v>315</v>
      </c>
      <c r="S308" s="3">
        <v>0</v>
      </c>
      <c r="T308" s="3"/>
      <c r="U308" s="3"/>
      <c r="V308" s="3"/>
    </row>
    <row r="309" ht="15" spans="13:22">
      <c r="M309" s="4">
        <v>42261</v>
      </c>
      <c r="N309" s="5">
        <v>395</v>
      </c>
      <c r="O309" s="5">
        <v>-5</v>
      </c>
      <c r="P309" s="5">
        <v>345</v>
      </c>
      <c r="Q309" s="5">
        <v>-5</v>
      </c>
      <c r="R309" s="5">
        <v>315</v>
      </c>
      <c r="S309" s="5">
        <v>-5</v>
      </c>
      <c r="T309" s="5"/>
      <c r="U309" s="5"/>
      <c r="V309" s="5"/>
    </row>
    <row r="310" ht="15" spans="13:22">
      <c r="M310" s="2">
        <v>42254</v>
      </c>
      <c r="N310" s="3">
        <v>400</v>
      </c>
      <c r="O310" s="3">
        <v>0</v>
      </c>
      <c r="P310" s="3">
        <v>350</v>
      </c>
      <c r="Q310" s="3">
        <v>0</v>
      </c>
      <c r="R310" s="3">
        <v>320</v>
      </c>
      <c r="S310" s="3">
        <v>0</v>
      </c>
      <c r="T310" s="3"/>
      <c r="U310" s="3"/>
      <c r="V310" s="3"/>
    </row>
    <row r="311" ht="15" spans="13:22">
      <c r="M311" s="4">
        <v>42247</v>
      </c>
      <c r="N311" s="5">
        <v>400</v>
      </c>
      <c r="O311" s="5">
        <v>0</v>
      </c>
      <c r="P311" s="5">
        <v>350</v>
      </c>
      <c r="Q311" s="5">
        <v>0</v>
      </c>
      <c r="R311" s="5">
        <v>320</v>
      </c>
      <c r="S311" s="5">
        <v>0</v>
      </c>
      <c r="T311" s="5"/>
      <c r="U311" s="5"/>
      <c r="V311" s="5"/>
    </row>
    <row r="312" ht="15" spans="13:22">
      <c r="M312" s="2">
        <v>42240</v>
      </c>
      <c r="N312" s="3">
        <v>400</v>
      </c>
      <c r="O312" s="3">
        <v>-5</v>
      </c>
      <c r="P312" s="3">
        <v>350</v>
      </c>
      <c r="Q312" s="3">
        <v>0</v>
      </c>
      <c r="R312" s="3">
        <v>320</v>
      </c>
      <c r="S312" s="3">
        <v>-5</v>
      </c>
      <c r="T312" s="3"/>
      <c r="U312" s="3"/>
      <c r="V312" s="3"/>
    </row>
    <row r="313" ht="15" spans="13:22">
      <c r="M313" s="4">
        <v>42233</v>
      </c>
      <c r="N313" s="5">
        <v>405</v>
      </c>
      <c r="O313" s="5">
        <v>0</v>
      </c>
      <c r="P313" s="5">
        <v>350</v>
      </c>
      <c r="Q313" s="5">
        <v>0</v>
      </c>
      <c r="R313" s="5">
        <v>325</v>
      </c>
      <c r="S313" s="5">
        <v>0</v>
      </c>
      <c r="T313" s="5"/>
      <c r="U313" s="5"/>
      <c r="V313" s="5"/>
    </row>
    <row r="314" ht="15" spans="13:22">
      <c r="M314" s="2">
        <v>42226</v>
      </c>
      <c r="N314" s="3">
        <v>405</v>
      </c>
      <c r="O314" s="3">
        <v>-5</v>
      </c>
      <c r="P314" s="3">
        <v>350</v>
      </c>
      <c r="Q314" s="3">
        <v>-5</v>
      </c>
      <c r="R314" s="3">
        <v>325</v>
      </c>
      <c r="S314" s="3">
        <v>-5</v>
      </c>
      <c r="T314" s="3"/>
      <c r="U314" s="3"/>
      <c r="V314" s="3"/>
    </row>
    <row r="315" ht="15" spans="13:22">
      <c r="M315" s="4">
        <v>42219</v>
      </c>
      <c r="N315" s="5">
        <v>410</v>
      </c>
      <c r="O315" s="5">
        <v>0</v>
      </c>
      <c r="P315" s="5">
        <v>355</v>
      </c>
      <c r="Q315" s="5">
        <v>0</v>
      </c>
      <c r="R315" s="5">
        <v>330</v>
      </c>
      <c r="S315" s="5">
        <v>0</v>
      </c>
      <c r="T315" s="5"/>
      <c r="U315" s="5"/>
      <c r="V315" s="5"/>
    </row>
    <row r="316" ht="15" spans="13:22">
      <c r="M316" s="2">
        <v>42212</v>
      </c>
      <c r="N316" s="3">
        <v>410</v>
      </c>
      <c r="O316" s="3">
        <v>0</v>
      </c>
      <c r="P316" s="3">
        <v>355</v>
      </c>
      <c r="Q316" s="3">
        <v>0</v>
      </c>
      <c r="R316" s="3">
        <v>330</v>
      </c>
      <c r="S316" s="3">
        <v>0</v>
      </c>
      <c r="T316" s="3"/>
      <c r="U316" s="3"/>
      <c r="V316" s="3"/>
    </row>
    <row r="317" ht="15" spans="13:22">
      <c r="M317" s="6">
        <v>42205</v>
      </c>
      <c r="N317" s="7">
        <v>410</v>
      </c>
      <c r="O317" s="7">
        <v>0</v>
      </c>
      <c r="P317" s="7">
        <v>355</v>
      </c>
      <c r="Q317" s="7">
        <v>-5</v>
      </c>
      <c r="R317" s="7">
        <v>330</v>
      </c>
      <c r="S317" s="7">
        <v>-5</v>
      </c>
      <c r="T317" s="11"/>
      <c r="U317" s="11"/>
      <c r="V317" s="11"/>
    </row>
    <row r="318" ht="15" spans="13:22">
      <c r="M318" s="2">
        <v>42198</v>
      </c>
      <c r="N318" s="3">
        <v>410</v>
      </c>
      <c r="O318" s="3">
        <v>0</v>
      </c>
      <c r="P318" s="3">
        <v>360</v>
      </c>
      <c r="Q318" s="3">
        <v>-5</v>
      </c>
      <c r="R318" s="3">
        <v>335</v>
      </c>
      <c r="S318" s="3">
        <v>0</v>
      </c>
      <c r="T318" s="3"/>
      <c r="U318" s="3"/>
      <c r="V318" s="3"/>
    </row>
    <row r="319" ht="15" spans="13:22">
      <c r="M319" s="4">
        <v>42191</v>
      </c>
      <c r="N319" s="5">
        <v>410</v>
      </c>
      <c r="O319" s="5">
        <v>-5</v>
      </c>
      <c r="P319" s="5">
        <v>365</v>
      </c>
      <c r="Q319" s="5">
        <v>-5</v>
      </c>
      <c r="R319" s="5">
        <v>335</v>
      </c>
      <c r="S319" s="5">
        <v>-5</v>
      </c>
      <c r="T319" s="5"/>
      <c r="U319" s="5"/>
      <c r="V319" s="5"/>
    </row>
    <row r="320" ht="15" spans="13:22">
      <c r="M320" s="2">
        <v>42184</v>
      </c>
      <c r="N320" s="3">
        <v>415</v>
      </c>
      <c r="O320" s="3">
        <v>0</v>
      </c>
      <c r="P320" s="3">
        <v>370</v>
      </c>
      <c r="Q320" s="3">
        <v>0</v>
      </c>
      <c r="R320" s="3">
        <v>340</v>
      </c>
      <c r="S320" s="3">
        <v>0</v>
      </c>
      <c r="T320" s="3"/>
      <c r="U320" s="3"/>
      <c r="V320" s="3"/>
    </row>
    <row r="321" ht="15" spans="13:22">
      <c r="M321" s="4">
        <v>42170</v>
      </c>
      <c r="N321" s="5">
        <v>415</v>
      </c>
      <c r="O321" s="5">
        <v>0</v>
      </c>
      <c r="P321" s="5">
        <v>370</v>
      </c>
      <c r="Q321" s="5">
        <v>5</v>
      </c>
      <c r="R321" s="5">
        <v>340</v>
      </c>
      <c r="S321" s="5">
        <v>0</v>
      </c>
      <c r="T321" s="5"/>
      <c r="U321" s="5"/>
      <c r="V321" s="5"/>
    </row>
    <row r="322" ht="15" spans="13:22">
      <c r="M322" s="2">
        <v>42163</v>
      </c>
      <c r="N322" s="3">
        <v>415</v>
      </c>
      <c r="O322" s="3">
        <v>5</v>
      </c>
      <c r="P322" s="3">
        <v>365</v>
      </c>
      <c r="Q322" s="3">
        <v>5</v>
      </c>
      <c r="R322" s="3">
        <v>340</v>
      </c>
      <c r="S322" s="3">
        <v>0</v>
      </c>
      <c r="T322" s="3"/>
      <c r="U322" s="3"/>
      <c r="V322" s="3"/>
    </row>
    <row r="323" ht="15" spans="13:22">
      <c r="M323" s="4">
        <v>42149</v>
      </c>
      <c r="N323" s="5">
        <v>410</v>
      </c>
      <c r="O323" s="5">
        <v>5</v>
      </c>
      <c r="P323" s="5">
        <v>360</v>
      </c>
      <c r="Q323" s="5">
        <v>5</v>
      </c>
      <c r="R323" s="5">
        <v>340</v>
      </c>
      <c r="S323" s="5">
        <v>5</v>
      </c>
      <c r="T323" s="5"/>
      <c r="U323" s="5"/>
      <c r="V323" s="5"/>
    </row>
    <row r="324" ht="15" spans="13:22">
      <c r="M324" s="2">
        <v>42142</v>
      </c>
      <c r="N324" s="3">
        <v>405</v>
      </c>
      <c r="O324" s="3">
        <v>-10</v>
      </c>
      <c r="P324" s="3">
        <v>355</v>
      </c>
      <c r="Q324" s="3">
        <v>0</v>
      </c>
      <c r="R324" s="3">
        <v>335</v>
      </c>
      <c r="S324" s="3">
        <v>0</v>
      </c>
      <c r="T324" s="3"/>
      <c r="U324" s="3"/>
      <c r="V324" s="3"/>
    </row>
    <row r="325" ht="15" spans="13:22">
      <c r="M325" s="4">
        <v>42135</v>
      </c>
      <c r="N325" s="5">
        <v>415</v>
      </c>
      <c r="O325" s="5">
        <v>-10</v>
      </c>
      <c r="P325" s="5">
        <v>355</v>
      </c>
      <c r="Q325" s="5">
        <v>0</v>
      </c>
      <c r="R325" s="5">
        <v>335</v>
      </c>
      <c r="S325" s="5">
        <v>0</v>
      </c>
      <c r="T325" s="5"/>
      <c r="U325" s="5"/>
      <c r="V325" s="5"/>
    </row>
    <row r="326" ht="15" spans="13:22">
      <c r="M326" s="2">
        <v>42128</v>
      </c>
      <c r="N326" s="3">
        <v>425</v>
      </c>
      <c r="O326" s="3">
        <v>-8</v>
      </c>
      <c r="P326" s="3">
        <v>355</v>
      </c>
      <c r="Q326" s="3">
        <v>-5</v>
      </c>
      <c r="R326" s="3">
        <v>335</v>
      </c>
      <c r="S326" s="3">
        <v>-5</v>
      </c>
      <c r="T326" s="3"/>
      <c r="U326" s="3"/>
      <c r="V326" s="3"/>
    </row>
    <row r="327" ht="15" spans="13:22">
      <c r="M327" s="6">
        <v>42121</v>
      </c>
      <c r="N327" s="7">
        <v>433</v>
      </c>
      <c r="O327" s="7">
        <v>-2</v>
      </c>
      <c r="P327" s="7">
        <v>360</v>
      </c>
      <c r="Q327" s="7">
        <v>-5</v>
      </c>
      <c r="R327" s="7">
        <v>340</v>
      </c>
      <c r="S327" s="7">
        <v>-5</v>
      </c>
      <c r="T327" s="11"/>
      <c r="U327" s="11"/>
      <c r="V327" s="11"/>
    </row>
    <row r="328" ht="15" spans="13:22">
      <c r="M328" s="2">
        <v>42114</v>
      </c>
      <c r="N328" s="3">
        <v>435</v>
      </c>
      <c r="O328" s="3">
        <v>-8</v>
      </c>
      <c r="P328" s="3">
        <v>365</v>
      </c>
      <c r="Q328" s="3">
        <v>-5</v>
      </c>
      <c r="R328" s="3">
        <v>345</v>
      </c>
      <c r="S328" s="3">
        <v>-8</v>
      </c>
      <c r="T328" s="3"/>
      <c r="U328" s="3"/>
      <c r="V328" s="3"/>
    </row>
    <row r="329" ht="15" spans="13:22">
      <c r="M329" s="4">
        <v>42107</v>
      </c>
      <c r="N329" s="5">
        <v>443</v>
      </c>
      <c r="O329" s="5">
        <v>-12</v>
      </c>
      <c r="P329" s="5">
        <v>370</v>
      </c>
      <c r="Q329" s="5">
        <v>-20</v>
      </c>
      <c r="R329" s="5">
        <v>353</v>
      </c>
      <c r="S329" s="5">
        <v>-20</v>
      </c>
      <c r="T329" s="5"/>
      <c r="U329" s="5"/>
      <c r="V329" s="5"/>
    </row>
    <row r="330" ht="15" spans="13:22">
      <c r="M330" s="2">
        <v>42093</v>
      </c>
      <c r="N330" s="3">
        <v>455</v>
      </c>
      <c r="O330" s="3">
        <v>-10</v>
      </c>
      <c r="P330" s="3">
        <v>390</v>
      </c>
      <c r="Q330" s="3">
        <v>-5</v>
      </c>
      <c r="R330" s="3">
        <v>373</v>
      </c>
      <c r="S330" s="3">
        <v>-2</v>
      </c>
      <c r="T330" s="3"/>
      <c r="U330" s="3"/>
      <c r="V330" s="3"/>
    </row>
    <row r="331" ht="15" spans="13:22">
      <c r="M331" s="4">
        <v>42086</v>
      </c>
      <c r="N331" s="5">
        <v>465</v>
      </c>
      <c r="O331" s="5">
        <v>-10</v>
      </c>
      <c r="P331" s="5">
        <v>395</v>
      </c>
      <c r="Q331" s="5">
        <v>-10</v>
      </c>
      <c r="R331" s="5">
        <v>375</v>
      </c>
      <c r="S331" s="5">
        <v>-5</v>
      </c>
      <c r="T331" s="5"/>
      <c r="U331" s="5"/>
      <c r="V331" s="5"/>
    </row>
    <row r="332" ht="15" spans="13:22">
      <c r="M332" s="2">
        <v>42079</v>
      </c>
      <c r="N332" s="3">
        <v>475</v>
      </c>
      <c r="O332" s="3">
        <v>-10</v>
      </c>
      <c r="P332" s="3">
        <v>405</v>
      </c>
      <c r="Q332" s="3">
        <v>-13</v>
      </c>
      <c r="R332" s="3">
        <v>380</v>
      </c>
      <c r="S332" s="3">
        <v>-5</v>
      </c>
      <c r="T332" s="3"/>
      <c r="U332" s="3"/>
      <c r="V332" s="3"/>
    </row>
    <row r="333" ht="15" spans="13:22">
      <c r="M333" s="4">
        <v>42072</v>
      </c>
      <c r="N333" s="5">
        <v>485</v>
      </c>
      <c r="O333" s="5">
        <v>-10</v>
      </c>
      <c r="P333" s="5">
        <v>418</v>
      </c>
      <c r="Q333" s="5">
        <v>-7</v>
      </c>
      <c r="R333" s="5">
        <v>385</v>
      </c>
      <c r="S333" s="5">
        <v>-5</v>
      </c>
      <c r="T333" s="5"/>
      <c r="U333" s="5"/>
      <c r="V333" s="5"/>
    </row>
    <row r="334" ht="15" spans="13:22">
      <c r="M334" s="2">
        <v>42065</v>
      </c>
      <c r="N334" s="3">
        <v>495</v>
      </c>
      <c r="O334" s="3">
        <v>-5</v>
      </c>
      <c r="P334" s="3">
        <v>425</v>
      </c>
      <c r="Q334" s="3">
        <v>-10</v>
      </c>
      <c r="R334" s="3">
        <v>390</v>
      </c>
      <c r="S334" s="3">
        <v>-5</v>
      </c>
      <c r="T334" s="3"/>
      <c r="U334" s="3"/>
      <c r="V334" s="3"/>
    </row>
    <row r="335" ht="15" spans="13:22">
      <c r="M335" s="4">
        <v>42044</v>
      </c>
      <c r="N335" s="5">
        <v>500</v>
      </c>
      <c r="O335" s="5">
        <v>0</v>
      </c>
      <c r="P335" s="5">
        <v>435</v>
      </c>
      <c r="Q335" s="5">
        <v>0</v>
      </c>
      <c r="R335" s="5">
        <v>395</v>
      </c>
      <c r="S335" s="5">
        <v>0</v>
      </c>
      <c r="T335" s="5"/>
      <c r="U335" s="5"/>
      <c r="V335" s="5"/>
    </row>
    <row r="336" ht="15" spans="13:22">
      <c r="M336" s="2">
        <v>42037</v>
      </c>
      <c r="N336" s="3">
        <v>500</v>
      </c>
      <c r="O336" s="3">
        <v>0</v>
      </c>
      <c r="P336" s="3">
        <v>435</v>
      </c>
      <c r="Q336" s="3">
        <v>0</v>
      </c>
      <c r="R336" s="3">
        <v>395</v>
      </c>
      <c r="S336" s="3">
        <v>-5</v>
      </c>
      <c r="T336" s="3"/>
      <c r="U336" s="3"/>
      <c r="V336" s="3"/>
    </row>
    <row r="337" ht="15" spans="13:22">
      <c r="M337" s="6">
        <v>42030</v>
      </c>
      <c r="N337" s="7">
        <v>500</v>
      </c>
      <c r="O337" s="7">
        <v>-5</v>
      </c>
      <c r="P337" s="7">
        <v>435</v>
      </c>
      <c r="Q337" s="7">
        <v>-5</v>
      </c>
      <c r="R337" s="7">
        <v>400</v>
      </c>
      <c r="S337" s="7">
        <v>-5</v>
      </c>
      <c r="T337" s="11"/>
      <c r="U337" s="11"/>
      <c r="V337" s="11"/>
    </row>
    <row r="338" ht="15" spans="13:22">
      <c r="M338" s="2">
        <v>42023</v>
      </c>
      <c r="N338" s="3">
        <v>505</v>
      </c>
      <c r="O338" s="3">
        <v>-5</v>
      </c>
      <c r="P338" s="3">
        <v>440</v>
      </c>
      <c r="Q338" s="3">
        <v>-10</v>
      </c>
      <c r="R338" s="3">
        <v>405</v>
      </c>
      <c r="S338" s="3">
        <v>-5</v>
      </c>
      <c r="T338" s="3"/>
      <c r="U338" s="3"/>
      <c r="V338" s="3"/>
    </row>
    <row r="339" ht="15" spans="13:22">
      <c r="M339" s="4">
        <v>42016</v>
      </c>
      <c r="N339" s="5">
        <v>510</v>
      </c>
      <c r="O339" s="5">
        <v>0</v>
      </c>
      <c r="P339" s="5">
        <v>450</v>
      </c>
      <c r="Q339" s="5">
        <v>0</v>
      </c>
      <c r="R339" s="5">
        <v>410</v>
      </c>
      <c r="S339" s="5">
        <v>0</v>
      </c>
      <c r="T339" s="5"/>
      <c r="U339" s="5"/>
      <c r="V339" s="5"/>
    </row>
    <row r="340" ht="15" spans="13:22">
      <c r="M340" s="2">
        <v>42009</v>
      </c>
      <c r="N340" s="3">
        <v>510</v>
      </c>
      <c r="O340" s="3">
        <v>0</v>
      </c>
      <c r="P340" s="3">
        <v>450</v>
      </c>
      <c r="Q340" s="3">
        <v>0</v>
      </c>
      <c r="R340" s="3">
        <v>410</v>
      </c>
      <c r="S340" s="3">
        <v>0</v>
      </c>
      <c r="T340" s="3"/>
      <c r="U340" s="3"/>
      <c r="V340" s="3"/>
    </row>
    <row r="341" ht="15" spans="13:22">
      <c r="M341" s="4">
        <v>42002</v>
      </c>
      <c r="N341" s="5">
        <v>510</v>
      </c>
      <c r="O341" s="5">
        <v>0</v>
      </c>
      <c r="P341" s="5">
        <v>450</v>
      </c>
      <c r="Q341" s="5">
        <v>-3</v>
      </c>
      <c r="R341" s="5">
        <v>410</v>
      </c>
      <c r="S341" s="5">
        <v>0</v>
      </c>
      <c r="T341" s="5"/>
      <c r="U341" s="5"/>
      <c r="V341" s="5"/>
    </row>
    <row r="342" ht="15" spans="13:22">
      <c r="M342" s="2">
        <v>41995</v>
      </c>
      <c r="N342" s="3">
        <v>510</v>
      </c>
      <c r="O342" s="3">
        <v>0</v>
      </c>
      <c r="P342" s="3">
        <v>453</v>
      </c>
      <c r="Q342" s="3">
        <v>-2</v>
      </c>
      <c r="R342" s="3">
        <v>410</v>
      </c>
      <c r="S342" s="3">
        <v>0</v>
      </c>
      <c r="T342" s="3"/>
      <c r="U342" s="3"/>
      <c r="V342" s="3"/>
    </row>
    <row r="343" ht="15" spans="13:22">
      <c r="M343" s="4">
        <v>41988</v>
      </c>
      <c r="N343" s="5">
        <v>510</v>
      </c>
      <c r="O343" s="5">
        <v>0</v>
      </c>
      <c r="P343" s="5">
        <v>455</v>
      </c>
      <c r="Q343" s="5">
        <v>0</v>
      </c>
      <c r="R343" s="5">
        <v>410</v>
      </c>
      <c r="S343" s="5">
        <v>0</v>
      </c>
      <c r="T343" s="5"/>
      <c r="U343" s="5"/>
      <c r="V343" s="5"/>
    </row>
    <row r="344" ht="15" spans="13:22">
      <c r="M344" s="2">
        <v>41981</v>
      </c>
      <c r="N344" s="3">
        <v>510</v>
      </c>
      <c r="O344" s="3">
        <v>5</v>
      </c>
      <c r="P344" s="3">
        <v>455</v>
      </c>
      <c r="Q344" s="3">
        <v>0</v>
      </c>
      <c r="R344" s="3">
        <v>410</v>
      </c>
      <c r="S344" s="3">
        <v>5</v>
      </c>
      <c r="T344" s="3"/>
      <c r="U344" s="3"/>
      <c r="V344" s="3"/>
    </row>
    <row r="345" ht="15" spans="13:22">
      <c r="M345" s="4">
        <v>41974</v>
      </c>
      <c r="N345" s="5">
        <v>505</v>
      </c>
      <c r="O345" s="5">
        <v>0</v>
      </c>
      <c r="P345" s="5">
        <v>455</v>
      </c>
      <c r="Q345" s="5">
        <v>0</v>
      </c>
      <c r="R345" s="5">
        <v>405</v>
      </c>
      <c r="S345" s="5">
        <v>0</v>
      </c>
      <c r="T345" s="5"/>
      <c r="U345" s="5"/>
      <c r="V345" s="5"/>
    </row>
    <row r="346" ht="15" spans="13:22">
      <c r="M346" s="2">
        <v>41967</v>
      </c>
      <c r="N346" s="3">
        <v>505</v>
      </c>
      <c r="O346" s="3">
        <v>0</v>
      </c>
      <c r="P346" s="3">
        <v>455</v>
      </c>
      <c r="Q346" s="3">
        <v>5</v>
      </c>
      <c r="R346" s="3">
        <v>405</v>
      </c>
      <c r="S346" s="3">
        <v>0</v>
      </c>
      <c r="T346" s="3"/>
      <c r="U346" s="3"/>
      <c r="V346" s="3"/>
    </row>
    <row r="347" ht="15" spans="13:22">
      <c r="M347" s="6">
        <v>41960</v>
      </c>
      <c r="N347" s="7">
        <v>505</v>
      </c>
      <c r="O347" s="7">
        <v>2</v>
      </c>
      <c r="P347" s="7">
        <v>450</v>
      </c>
      <c r="Q347" s="7">
        <v>2</v>
      </c>
      <c r="R347" s="7">
        <v>405</v>
      </c>
      <c r="S347" s="7">
        <v>5</v>
      </c>
      <c r="T347" s="11"/>
      <c r="U347" s="11"/>
      <c r="V347" s="11"/>
    </row>
    <row r="348" ht="15" spans="13:22">
      <c r="M348" s="2">
        <v>41953</v>
      </c>
      <c r="N348" s="3">
        <v>503</v>
      </c>
      <c r="O348" s="3">
        <v>8</v>
      </c>
      <c r="P348" s="3">
        <v>448</v>
      </c>
      <c r="Q348" s="3">
        <v>8</v>
      </c>
      <c r="R348" s="3">
        <v>400</v>
      </c>
      <c r="S348" s="3">
        <v>10</v>
      </c>
      <c r="T348" s="3"/>
      <c r="U348" s="3"/>
      <c r="V348" s="3"/>
    </row>
    <row r="349" ht="15" spans="13:22">
      <c r="M349" s="4">
        <v>41946</v>
      </c>
      <c r="N349" s="5">
        <v>495</v>
      </c>
      <c r="O349" s="5">
        <v>0</v>
      </c>
      <c r="P349" s="5">
        <v>440</v>
      </c>
      <c r="Q349" s="5">
        <v>2</v>
      </c>
      <c r="R349" s="5">
        <v>390</v>
      </c>
      <c r="S349" s="5">
        <v>0</v>
      </c>
      <c r="T349" s="5"/>
      <c r="U349" s="5"/>
      <c r="V349" s="5"/>
    </row>
    <row r="350" ht="15" spans="13:22">
      <c r="M350" s="2">
        <v>41939</v>
      </c>
      <c r="N350" s="3">
        <v>495</v>
      </c>
      <c r="O350" s="3">
        <v>0</v>
      </c>
      <c r="P350" s="3">
        <v>438</v>
      </c>
      <c r="Q350" s="3">
        <v>-2</v>
      </c>
      <c r="R350" s="3">
        <v>390</v>
      </c>
      <c r="S350" s="3">
        <v>0</v>
      </c>
      <c r="T350" s="3"/>
      <c r="U350" s="3"/>
      <c r="V350" s="3"/>
    </row>
    <row r="351" ht="15" spans="13:22">
      <c r="M351" s="4">
        <v>41932</v>
      </c>
      <c r="N351" s="5">
        <v>495</v>
      </c>
      <c r="O351" s="5">
        <v>10</v>
      </c>
      <c r="P351" s="5">
        <v>440</v>
      </c>
      <c r="Q351" s="5">
        <v>5</v>
      </c>
      <c r="R351" s="5">
        <v>390</v>
      </c>
      <c r="S351" s="5">
        <v>10</v>
      </c>
      <c r="T351" s="5"/>
      <c r="U351" s="5"/>
      <c r="V351" s="5"/>
    </row>
    <row r="352" ht="15" spans="13:22">
      <c r="M352" s="2">
        <v>41925</v>
      </c>
      <c r="N352" s="3">
        <v>485</v>
      </c>
      <c r="O352" s="3">
        <v>5</v>
      </c>
      <c r="P352" s="3">
        <v>435</v>
      </c>
      <c r="Q352" s="3">
        <v>5</v>
      </c>
      <c r="R352" s="3">
        <v>380</v>
      </c>
      <c r="S352" s="3">
        <v>0</v>
      </c>
      <c r="T352" s="3"/>
      <c r="U352" s="3"/>
      <c r="V352" s="3"/>
    </row>
    <row r="353" ht="15" spans="13:22">
      <c r="M353" s="4">
        <v>41911</v>
      </c>
      <c r="N353" s="5">
        <v>480</v>
      </c>
      <c r="O353" s="5">
        <v>5</v>
      </c>
      <c r="P353" s="5">
        <v>430</v>
      </c>
      <c r="Q353" s="5">
        <v>0</v>
      </c>
      <c r="R353" s="5">
        <v>380</v>
      </c>
      <c r="S353" s="5">
        <v>2</v>
      </c>
      <c r="T353" s="5"/>
      <c r="U353" s="5"/>
      <c r="V353" s="5"/>
    </row>
    <row r="354" ht="15" spans="13:22">
      <c r="M354" s="2">
        <v>41904</v>
      </c>
      <c r="N354" s="3">
        <v>475</v>
      </c>
      <c r="O354" s="3">
        <v>0</v>
      </c>
      <c r="P354" s="3">
        <v>430</v>
      </c>
      <c r="Q354" s="3">
        <v>0</v>
      </c>
      <c r="R354" s="3">
        <v>378</v>
      </c>
      <c r="S354" s="3">
        <v>0</v>
      </c>
      <c r="T354" s="3"/>
      <c r="U354" s="3"/>
      <c r="V354" s="3"/>
    </row>
    <row r="355" ht="15" spans="13:22">
      <c r="M355" s="4">
        <v>41897</v>
      </c>
      <c r="N355" s="5">
        <v>475</v>
      </c>
      <c r="O355" s="5">
        <v>0</v>
      </c>
      <c r="P355" s="5">
        <v>430</v>
      </c>
      <c r="Q355" s="5">
        <v>5</v>
      </c>
      <c r="R355" s="5">
        <v>378</v>
      </c>
      <c r="S355" s="5">
        <v>3</v>
      </c>
      <c r="T355" s="5"/>
      <c r="U355" s="5"/>
      <c r="V355" s="5"/>
    </row>
    <row r="356" ht="15" spans="13:22">
      <c r="M356" s="2">
        <v>41890</v>
      </c>
      <c r="N356" s="3">
        <v>475</v>
      </c>
      <c r="O356" s="3">
        <v>0</v>
      </c>
      <c r="P356" s="3">
        <v>425</v>
      </c>
      <c r="Q356" s="3">
        <v>0</v>
      </c>
      <c r="R356" s="3">
        <v>375</v>
      </c>
      <c r="S356" s="3">
        <v>0</v>
      </c>
      <c r="T356" s="3"/>
      <c r="U356" s="3"/>
      <c r="V356" s="3"/>
    </row>
    <row r="357" ht="15" spans="13:22">
      <c r="M357" s="6">
        <v>41883</v>
      </c>
      <c r="N357" s="7">
        <v>475</v>
      </c>
      <c r="O357" s="7">
        <v>0</v>
      </c>
      <c r="P357" s="7">
        <v>425</v>
      </c>
      <c r="Q357" s="7">
        <v>2</v>
      </c>
      <c r="R357" s="7">
        <v>375</v>
      </c>
      <c r="S357" s="7">
        <v>0</v>
      </c>
      <c r="T357" s="11"/>
      <c r="U357" s="11"/>
      <c r="V357" s="11"/>
    </row>
    <row r="358" ht="15" spans="13:22">
      <c r="M358" s="2">
        <v>41876</v>
      </c>
      <c r="N358" s="3">
        <v>475</v>
      </c>
      <c r="O358" s="3">
        <v>0</v>
      </c>
      <c r="P358" s="3">
        <v>423</v>
      </c>
      <c r="Q358" s="3">
        <v>3</v>
      </c>
      <c r="R358" s="3">
        <v>375</v>
      </c>
      <c r="S358" s="3">
        <v>5</v>
      </c>
      <c r="T358" s="3"/>
      <c r="U358" s="3"/>
      <c r="V358" s="3"/>
    </row>
    <row r="359" ht="15" spans="13:22">
      <c r="M359" s="4">
        <v>41869</v>
      </c>
      <c r="N359" s="5">
        <v>475</v>
      </c>
      <c r="O359" s="5">
        <v>0</v>
      </c>
      <c r="P359" s="5">
        <v>420</v>
      </c>
      <c r="Q359" s="5">
        <v>-3</v>
      </c>
      <c r="R359" s="5">
        <v>370</v>
      </c>
      <c r="S359" s="5">
        <v>-3</v>
      </c>
      <c r="T359" s="5"/>
      <c r="U359" s="5"/>
      <c r="V359" s="5"/>
    </row>
    <row r="360" ht="15" spans="13:22">
      <c r="M360" s="2">
        <v>41862</v>
      </c>
      <c r="N360" s="3">
        <v>475</v>
      </c>
      <c r="O360" s="3">
        <v>0</v>
      </c>
      <c r="P360" s="3">
        <v>423</v>
      </c>
      <c r="Q360" s="3">
        <v>0</v>
      </c>
      <c r="R360" s="3">
        <v>373</v>
      </c>
      <c r="S360" s="3">
        <v>0</v>
      </c>
      <c r="T360" s="3"/>
      <c r="U360" s="3"/>
      <c r="V360" s="3"/>
    </row>
    <row r="361" ht="15" spans="13:22">
      <c r="M361" s="4">
        <v>41855</v>
      </c>
      <c r="N361" s="5">
        <v>475</v>
      </c>
      <c r="O361" s="5">
        <v>-10</v>
      </c>
      <c r="P361" s="5">
        <v>423</v>
      </c>
      <c r="Q361" s="5">
        <v>-7</v>
      </c>
      <c r="R361" s="5">
        <v>373</v>
      </c>
      <c r="S361" s="5">
        <v>-2</v>
      </c>
      <c r="T361" s="5"/>
      <c r="U361" s="5"/>
      <c r="V361" s="5"/>
    </row>
    <row r="362" ht="15" spans="13:22">
      <c r="M362" s="2">
        <v>41848</v>
      </c>
      <c r="N362" s="3">
        <v>485</v>
      </c>
      <c r="O362" s="3">
        <v>-10</v>
      </c>
      <c r="P362" s="3">
        <v>430</v>
      </c>
      <c r="Q362" s="3">
        <v>-5</v>
      </c>
      <c r="R362" s="3">
        <v>375</v>
      </c>
      <c r="S362" s="3">
        <v>-13</v>
      </c>
      <c r="T362" s="3"/>
      <c r="U362" s="3"/>
      <c r="V362" s="3"/>
    </row>
    <row r="363" ht="15" spans="13:22">
      <c r="M363" s="4">
        <v>41841</v>
      </c>
      <c r="N363" s="5">
        <v>495</v>
      </c>
      <c r="O363" s="5">
        <v>-5</v>
      </c>
      <c r="P363" s="5">
        <v>435</v>
      </c>
      <c r="Q363" s="5">
        <v>-5</v>
      </c>
      <c r="R363" s="5">
        <v>388</v>
      </c>
      <c r="S363" s="5">
        <v>-10</v>
      </c>
      <c r="T363" s="5"/>
      <c r="U363" s="5"/>
      <c r="V363" s="5"/>
    </row>
    <row r="364" ht="15" spans="13:22">
      <c r="M364" s="2">
        <v>41834</v>
      </c>
      <c r="N364" s="3">
        <v>500</v>
      </c>
      <c r="O364" s="3">
        <v>-10</v>
      </c>
      <c r="P364" s="3">
        <v>440</v>
      </c>
      <c r="Q364" s="3">
        <v>-10</v>
      </c>
      <c r="R364" s="3">
        <v>398</v>
      </c>
      <c r="S364" s="3">
        <v>-12</v>
      </c>
      <c r="T364" s="3"/>
      <c r="U364" s="3"/>
      <c r="V364" s="3"/>
    </row>
    <row r="365" ht="15" spans="13:22">
      <c r="M365" s="4">
        <v>41827</v>
      </c>
      <c r="N365" s="5">
        <v>510</v>
      </c>
      <c r="O365" s="5">
        <v>-5</v>
      </c>
      <c r="P365" s="5">
        <v>450</v>
      </c>
      <c r="Q365" s="5">
        <v>-5</v>
      </c>
      <c r="R365" s="5">
        <v>410</v>
      </c>
      <c r="S365" s="5">
        <v>-3</v>
      </c>
      <c r="T365" s="5"/>
      <c r="U365" s="5"/>
      <c r="V365" s="5"/>
    </row>
    <row r="366" ht="15" spans="13:22">
      <c r="M366" s="2">
        <v>41820</v>
      </c>
      <c r="N366" s="3">
        <v>515</v>
      </c>
      <c r="O366" s="3">
        <v>-13</v>
      </c>
      <c r="P366" s="3">
        <v>455</v>
      </c>
      <c r="Q366" s="3">
        <v>0</v>
      </c>
      <c r="R366" s="3">
        <v>413</v>
      </c>
      <c r="S366" s="3">
        <v>-2</v>
      </c>
      <c r="T366" s="3"/>
      <c r="U366" s="3"/>
      <c r="V366" s="3"/>
    </row>
    <row r="367" ht="15" spans="13:22">
      <c r="M367" s="6">
        <v>41813</v>
      </c>
      <c r="N367" s="7">
        <v>528</v>
      </c>
      <c r="O367" s="7">
        <v>0</v>
      </c>
      <c r="P367" s="7">
        <v>455</v>
      </c>
      <c r="Q367" s="7">
        <v>-3</v>
      </c>
      <c r="R367" s="7">
        <v>415</v>
      </c>
      <c r="S367" s="7">
        <v>0</v>
      </c>
      <c r="T367" s="11"/>
      <c r="U367" s="11"/>
      <c r="V367" s="11"/>
    </row>
    <row r="368" ht="15" spans="13:22">
      <c r="M368" s="2">
        <v>41806</v>
      </c>
      <c r="N368" s="3">
        <v>528</v>
      </c>
      <c r="O368" s="3">
        <v>-2</v>
      </c>
      <c r="P368" s="3">
        <v>458</v>
      </c>
      <c r="Q368" s="3">
        <v>-2</v>
      </c>
      <c r="R368" s="3">
        <v>415</v>
      </c>
      <c r="S368" s="3">
        <v>0</v>
      </c>
      <c r="T368" s="3"/>
      <c r="U368" s="3"/>
      <c r="V368" s="3"/>
    </row>
    <row r="369" ht="15" spans="13:22">
      <c r="M369" s="4">
        <v>41799</v>
      </c>
      <c r="N369" s="5">
        <v>530</v>
      </c>
      <c r="O369" s="5">
        <v>-5</v>
      </c>
      <c r="P369" s="5">
        <v>460</v>
      </c>
      <c r="Q369" s="5">
        <v>-3</v>
      </c>
      <c r="R369" s="5">
        <v>415</v>
      </c>
      <c r="S369" s="5">
        <v>-5</v>
      </c>
      <c r="T369" s="5"/>
      <c r="U369" s="5"/>
      <c r="V369" s="5"/>
    </row>
    <row r="370" ht="15" spans="13:22">
      <c r="M370" s="2">
        <v>41792</v>
      </c>
      <c r="N370" s="3">
        <v>535</v>
      </c>
      <c r="O370" s="3">
        <v>0</v>
      </c>
      <c r="P370" s="3">
        <v>463</v>
      </c>
      <c r="Q370" s="3">
        <v>-2</v>
      </c>
      <c r="R370" s="3">
        <v>420</v>
      </c>
      <c r="S370" s="3">
        <v>0</v>
      </c>
      <c r="T370" s="3"/>
      <c r="U370" s="3"/>
      <c r="V370" s="3"/>
    </row>
    <row r="371" ht="15" spans="13:22">
      <c r="M371" s="4">
        <v>41785</v>
      </c>
      <c r="N371" s="5">
        <v>535</v>
      </c>
      <c r="O371" s="5">
        <v>0</v>
      </c>
      <c r="P371" s="5">
        <v>465</v>
      </c>
      <c r="Q371" s="5">
        <v>5</v>
      </c>
      <c r="R371" s="5">
        <v>420</v>
      </c>
      <c r="S371" s="5">
        <v>5</v>
      </c>
      <c r="T371" s="5"/>
      <c r="U371" s="5"/>
      <c r="V371" s="5"/>
    </row>
    <row r="372" ht="15" spans="13:22">
      <c r="M372" s="2">
        <v>41778</v>
      </c>
      <c r="N372" s="3">
        <v>535</v>
      </c>
      <c r="O372" s="3">
        <v>0</v>
      </c>
      <c r="P372" s="3">
        <v>460</v>
      </c>
      <c r="Q372" s="3">
        <v>0</v>
      </c>
      <c r="R372" s="3">
        <v>415</v>
      </c>
      <c r="S372" s="3">
        <v>-3</v>
      </c>
      <c r="T372" s="3"/>
      <c r="U372" s="3"/>
      <c r="V372" s="3"/>
    </row>
    <row r="373" ht="15" spans="13:22">
      <c r="M373" s="4">
        <v>41771</v>
      </c>
      <c r="N373" s="5">
        <v>535</v>
      </c>
      <c r="O373" s="5">
        <v>0</v>
      </c>
      <c r="P373" s="5">
        <v>460</v>
      </c>
      <c r="Q373" s="5">
        <v>0</v>
      </c>
      <c r="R373" s="5">
        <v>418</v>
      </c>
      <c r="S373" s="5">
        <v>0</v>
      </c>
      <c r="T373" s="5"/>
      <c r="U373" s="5"/>
      <c r="V373" s="5"/>
    </row>
    <row r="374" ht="15" spans="13:22">
      <c r="M374" s="2">
        <v>41764</v>
      </c>
      <c r="N374" s="3">
        <v>535</v>
      </c>
      <c r="O374" s="3">
        <v>0</v>
      </c>
      <c r="P374" s="3">
        <v>460</v>
      </c>
      <c r="Q374" s="3">
        <v>0</v>
      </c>
      <c r="R374" s="3">
        <v>418</v>
      </c>
      <c r="S374" s="3">
        <v>0</v>
      </c>
      <c r="T374" s="3"/>
      <c r="U374" s="3"/>
      <c r="V374" s="3"/>
    </row>
    <row r="375" ht="15" spans="13:22">
      <c r="M375" s="4">
        <v>41757</v>
      </c>
      <c r="N375" s="5">
        <v>535</v>
      </c>
      <c r="O375" s="5">
        <v>0</v>
      </c>
      <c r="P375" s="5">
        <v>460</v>
      </c>
      <c r="Q375" s="5">
        <v>0</v>
      </c>
      <c r="R375" s="5">
        <v>418</v>
      </c>
      <c r="S375" s="5">
        <v>-2</v>
      </c>
      <c r="T375" s="5"/>
      <c r="U375" s="5"/>
      <c r="V375" s="5"/>
    </row>
    <row r="376" ht="15" spans="13:22">
      <c r="M376" s="2">
        <v>41750</v>
      </c>
      <c r="N376" s="3">
        <v>535</v>
      </c>
      <c r="O376" s="3">
        <v>0</v>
      </c>
      <c r="P376" s="3">
        <v>460</v>
      </c>
      <c r="Q376" s="3">
        <v>0</v>
      </c>
      <c r="R376" s="3">
        <v>420</v>
      </c>
      <c r="S376" s="3">
        <v>0</v>
      </c>
      <c r="T376" s="3"/>
      <c r="U376" s="3"/>
      <c r="V376" s="3"/>
    </row>
    <row r="377" ht="15" spans="13:22">
      <c r="M377" s="6">
        <v>41743</v>
      </c>
      <c r="N377" s="7">
        <v>535</v>
      </c>
      <c r="O377" s="7">
        <v>5</v>
      </c>
      <c r="P377" s="7">
        <v>460</v>
      </c>
      <c r="Q377" s="7">
        <v>5</v>
      </c>
      <c r="R377" s="7">
        <v>420</v>
      </c>
      <c r="S377" s="7">
        <v>5</v>
      </c>
      <c r="T377" s="11"/>
      <c r="U377" s="11"/>
      <c r="V377" s="11"/>
    </row>
    <row r="378" ht="15" spans="13:22">
      <c r="M378" s="2">
        <v>41736</v>
      </c>
      <c r="N378" s="3">
        <v>530</v>
      </c>
      <c r="O378" s="3">
        <v>0</v>
      </c>
      <c r="P378" s="3">
        <v>455</v>
      </c>
      <c r="Q378" s="3">
        <v>0</v>
      </c>
      <c r="R378" s="3">
        <v>415</v>
      </c>
      <c r="S378" s="3">
        <v>5</v>
      </c>
      <c r="T378" s="3"/>
      <c r="U378" s="3"/>
      <c r="V378" s="3"/>
    </row>
    <row r="379" ht="15" spans="13:22">
      <c r="M379" s="4">
        <v>41729</v>
      </c>
      <c r="N379" s="5">
        <v>530</v>
      </c>
      <c r="O379" s="5">
        <v>0</v>
      </c>
      <c r="P379" s="5">
        <v>455</v>
      </c>
      <c r="Q379" s="5">
        <v>2</v>
      </c>
      <c r="R379" s="5">
        <v>410</v>
      </c>
      <c r="S379" s="5">
        <v>0</v>
      </c>
      <c r="T379" s="5"/>
      <c r="U379" s="5"/>
      <c r="V379" s="5"/>
    </row>
    <row r="380" ht="15" spans="13:22">
      <c r="M380" s="2">
        <v>41722</v>
      </c>
      <c r="N380" s="3">
        <v>530</v>
      </c>
      <c r="O380" s="3">
        <v>0</v>
      </c>
      <c r="P380" s="3">
        <v>453</v>
      </c>
      <c r="Q380" s="3">
        <v>-5</v>
      </c>
      <c r="R380" s="3">
        <v>410</v>
      </c>
      <c r="S380" s="3">
        <v>0</v>
      </c>
      <c r="T380" s="3"/>
      <c r="U380" s="3"/>
      <c r="V380" s="3"/>
    </row>
    <row r="381" ht="15" spans="13:22">
      <c r="M381" s="4">
        <v>41715</v>
      </c>
      <c r="N381" s="5">
        <v>530</v>
      </c>
      <c r="O381" s="5">
        <v>-5</v>
      </c>
      <c r="P381" s="5">
        <v>458</v>
      </c>
      <c r="Q381" s="5">
        <v>-2</v>
      </c>
      <c r="R381" s="5">
        <v>410</v>
      </c>
      <c r="S381" s="5">
        <v>5</v>
      </c>
      <c r="T381" s="5"/>
      <c r="U381" s="5"/>
      <c r="V381" s="5"/>
    </row>
    <row r="382" ht="15" spans="13:22">
      <c r="M382" s="2">
        <v>41708</v>
      </c>
      <c r="N382" s="3">
        <v>535</v>
      </c>
      <c r="O382" s="3">
        <v>-3</v>
      </c>
      <c r="P382" s="3">
        <v>460</v>
      </c>
      <c r="Q382" s="3">
        <v>-10</v>
      </c>
      <c r="R382" s="3">
        <v>405</v>
      </c>
      <c r="S382" s="3">
        <v>-5</v>
      </c>
      <c r="T382" s="3"/>
      <c r="U382" s="3"/>
      <c r="V382" s="3"/>
    </row>
    <row r="383" ht="15" spans="13:22">
      <c r="M383" s="4">
        <v>41701</v>
      </c>
      <c r="N383" s="5">
        <v>538</v>
      </c>
      <c r="O383" s="5">
        <v>-2</v>
      </c>
      <c r="P383" s="5">
        <v>470</v>
      </c>
      <c r="Q383" s="5">
        <v>-5</v>
      </c>
      <c r="R383" s="5">
        <v>410</v>
      </c>
      <c r="S383" s="5">
        <v>5</v>
      </c>
      <c r="T383" s="5"/>
      <c r="U383" s="5"/>
      <c r="V383" s="5"/>
    </row>
    <row r="384" ht="15" spans="13:22">
      <c r="M384" s="2">
        <v>41694</v>
      </c>
      <c r="N384" s="3">
        <v>540</v>
      </c>
      <c r="O384" s="3">
        <v>-5</v>
      </c>
      <c r="P384" s="3">
        <v>475</v>
      </c>
      <c r="Q384" s="3">
        <v>-13</v>
      </c>
      <c r="R384" s="3">
        <v>405</v>
      </c>
      <c r="S384" s="3">
        <v>2</v>
      </c>
      <c r="T384" s="3"/>
      <c r="U384" s="3"/>
      <c r="V384" s="3"/>
    </row>
    <row r="385" ht="15" spans="13:22">
      <c r="M385" s="4">
        <v>41687</v>
      </c>
      <c r="N385" s="5">
        <v>545</v>
      </c>
      <c r="O385" s="5">
        <v>-8</v>
      </c>
      <c r="P385" s="5">
        <v>488</v>
      </c>
      <c r="Q385" s="5">
        <v>-5</v>
      </c>
      <c r="R385" s="5">
        <v>403</v>
      </c>
      <c r="S385" s="5">
        <v>-5</v>
      </c>
      <c r="T385" s="5"/>
      <c r="U385" s="5"/>
      <c r="V385" s="5"/>
    </row>
    <row r="386" ht="15" spans="13:22">
      <c r="M386" s="2">
        <v>41680</v>
      </c>
      <c r="N386" s="3">
        <v>553</v>
      </c>
      <c r="O386" s="3">
        <v>-20</v>
      </c>
      <c r="P386" s="3">
        <v>493</v>
      </c>
      <c r="Q386" s="3">
        <v>-25</v>
      </c>
      <c r="R386" s="3">
        <v>408</v>
      </c>
      <c r="S386" s="3">
        <v>-25</v>
      </c>
      <c r="T386" s="3"/>
      <c r="U386" s="3"/>
      <c r="V386" s="3"/>
    </row>
    <row r="387" ht="15" spans="13:22">
      <c r="M387" s="6">
        <v>41666</v>
      </c>
      <c r="N387" s="7">
        <v>573</v>
      </c>
      <c r="O387" s="7">
        <v>-15</v>
      </c>
      <c r="P387" s="7">
        <v>518</v>
      </c>
      <c r="Q387" s="7">
        <v>-12</v>
      </c>
      <c r="R387" s="7">
        <v>433</v>
      </c>
      <c r="S387" s="7">
        <v>-17</v>
      </c>
      <c r="T387" s="11"/>
      <c r="U387" s="11"/>
      <c r="V387" s="11"/>
    </row>
    <row r="388" ht="15" spans="13:22">
      <c r="M388" s="2">
        <v>41659</v>
      </c>
      <c r="N388" s="3">
        <v>588</v>
      </c>
      <c r="O388" s="3">
        <v>0</v>
      </c>
      <c r="P388" s="3">
        <v>530</v>
      </c>
      <c r="Q388" s="3">
        <v>-23</v>
      </c>
      <c r="R388" s="3">
        <v>450</v>
      </c>
      <c r="S388" s="3">
        <v>-8</v>
      </c>
      <c r="T388" s="3"/>
      <c r="U388" s="3"/>
      <c r="V388" s="3"/>
    </row>
    <row r="389" ht="15" spans="13:22">
      <c r="M389" s="4">
        <v>41652</v>
      </c>
      <c r="N389" s="5">
        <v>588</v>
      </c>
      <c r="O389" s="5">
        <v>-12</v>
      </c>
      <c r="P389" s="5">
        <v>553</v>
      </c>
      <c r="Q389" s="5">
        <v>-20</v>
      </c>
      <c r="R389" s="5">
        <v>458</v>
      </c>
      <c r="S389" s="5">
        <v>-22</v>
      </c>
      <c r="T389" s="5"/>
      <c r="U389" s="5"/>
      <c r="V389" s="5"/>
    </row>
    <row r="390" ht="15" spans="13:22">
      <c r="M390" s="2">
        <v>41645</v>
      </c>
      <c r="N390" s="3">
        <v>600</v>
      </c>
      <c r="O390" s="3">
        <v>-5</v>
      </c>
      <c r="P390" s="3">
        <v>573</v>
      </c>
      <c r="Q390" s="3">
        <v>-7</v>
      </c>
      <c r="R390" s="3">
        <v>480</v>
      </c>
      <c r="S390" s="3">
        <v>-13</v>
      </c>
      <c r="T390" s="3"/>
      <c r="U390" s="3"/>
      <c r="V390" s="3"/>
    </row>
    <row r="391" ht="15" spans="13:22">
      <c r="M391" s="4">
        <v>41638</v>
      </c>
      <c r="N391" s="5">
        <v>605</v>
      </c>
      <c r="O391" s="5">
        <v>5</v>
      </c>
      <c r="P391" s="5">
        <v>580</v>
      </c>
      <c r="Q391" s="5">
        <v>0</v>
      </c>
      <c r="R391" s="5">
        <v>493</v>
      </c>
      <c r="S391" s="5">
        <v>0</v>
      </c>
      <c r="T391" s="5"/>
      <c r="U391" s="5"/>
      <c r="V391" s="5"/>
    </row>
    <row r="392" ht="15" spans="13:22">
      <c r="M392" s="2">
        <v>41631</v>
      </c>
      <c r="N392" s="3">
        <v>600</v>
      </c>
      <c r="O392" s="3">
        <v>2</v>
      </c>
      <c r="P392" s="3">
        <v>580</v>
      </c>
      <c r="Q392" s="3">
        <v>2</v>
      </c>
      <c r="R392" s="3">
        <v>493</v>
      </c>
      <c r="S392" s="3">
        <v>5</v>
      </c>
      <c r="T392" s="3"/>
      <c r="U392" s="3"/>
      <c r="V392" s="3"/>
    </row>
    <row r="393" ht="15" spans="13:22">
      <c r="M393" s="4">
        <v>41624</v>
      </c>
      <c r="N393" s="5">
        <v>598</v>
      </c>
      <c r="O393" s="5">
        <v>10</v>
      </c>
      <c r="P393" s="5">
        <v>578</v>
      </c>
      <c r="Q393" s="5">
        <v>5</v>
      </c>
      <c r="R393" s="5">
        <v>488</v>
      </c>
      <c r="S393" s="5">
        <v>0</v>
      </c>
      <c r="T393" s="5"/>
      <c r="U393" s="5"/>
      <c r="V393" s="5"/>
    </row>
    <row r="394" ht="15" spans="13:22">
      <c r="M394" s="2">
        <v>41617</v>
      </c>
      <c r="N394" s="3">
        <v>588</v>
      </c>
      <c r="O394" s="3">
        <v>13</v>
      </c>
      <c r="P394" s="3">
        <v>573</v>
      </c>
      <c r="Q394" s="3">
        <v>13</v>
      </c>
      <c r="R394" s="3">
        <v>488</v>
      </c>
      <c r="S394" s="3">
        <v>5</v>
      </c>
      <c r="T394" s="3"/>
      <c r="U394" s="3"/>
      <c r="V394" s="3"/>
    </row>
    <row r="395" ht="15" spans="13:22">
      <c r="M395" s="4">
        <v>41610</v>
      </c>
      <c r="N395" s="5">
        <v>575</v>
      </c>
      <c r="O395" s="5">
        <v>12</v>
      </c>
      <c r="P395" s="5">
        <v>560</v>
      </c>
      <c r="Q395" s="5">
        <v>15</v>
      </c>
      <c r="R395" s="5">
        <v>483</v>
      </c>
      <c r="S395" s="5">
        <v>10</v>
      </c>
      <c r="T395" s="5"/>
      <c r="U395" s="5"/>
      <c r="V395" s="5"/>
    </row>
    <row r="396" ht="15" spans="13:22">
      <c r="M396" s="2">
        <v>41603</v>
      </c>
      <c r="N396" s="3">
        <v>563</v>
      </c>
      <c r="O396" s="3">
        <v>8</v>
      </c>
      <c r="P396" s="3">
        <v>545</v>
      </c>
      <c r="Q396" s="3">
        <v>32</v>
      </c>
      <c r="R396" s="3">
        <v>473</v>
      </c>
      <c r="S396" s="3">
        <v>26</v>
      </c>
      <c r="T396" s="3"/>
      <c r="U396" s="3"/>
      <c r="V396" s="3"/>
    </row>
    <row r="397" ht="15" spans="13:22">
      <c r="M397" s="6">
        <v>41596</v>
      </c>
      <c r="N397" s="7">
        <v>555</v>
      </c>
      <c r="O397" s="7">
        <v>8</v>
      </c>
      <c r="P397" s="7">
        <v>513</v>
      </c>
      <c r="Q397" s="7">
        <v>10</v>
      </c>
      <c r="R397" s="7">
        <v>447</v>
      </c>
      <c r="S397" s="7">
        <v>12</v>
      </c>
      <c r="T397" s="11"/>
      <c r="U397" s="11"/>
      <c r="V397" s="11"/>
    </row>
    <row r="398" ht="15" spans="13:22">
      <c r="M398" s="2">
        <v>41589</v>
      </c>
      <c r="N398" s="3">
        <v>547</v>
      </c>
      <c r="O398" s="3">
        <v>7</v>
      </c>
      <c r="P398" s="3">
        <v>503</v>
      </c>
      <c r="Q398" s="3">
        <v>13</v>
      </c>
      <c r="R398" s="3">
        <v>435</v>
      </c>
      <c r="S398" s="3">
        <v>12</v>
      </c>
      <c r="T398" s="3"/>
      <c r="U398" s="3"/>
      <c r="V398" s="3"/>
    </row>
    <row r="399" ht="15" spans="13:22">
      <c r="M399" s="4">
        <v>41582</v>
      </c>
      <c r="N399" s="5">
        <v>540</v>
      </c>
      <c r="O399" s="5">
        <v>0</v>
      </c>
      <c r="P399" s="5">
        <v>490</v>
      </c>
      <c r="Q399" s="5">
        <v>5</v>
      </c>
      <c r="R399" s="5">
        <v>423</v>
      </c>
      <c r="S399" s="5">
        <v>5</v>
      </c>
      <c r="T399" s="5"/>
      <c r="U399" s="5"/>
      <c r="V399" s="5"/>
    </row>
    <row r="400" ht="15" spans="13:22">
      <c r="M400" s="2">
        <v>41575</v>
      </c>
      <c r="N400" s="3">
        <v>540</v>
      </c>
      <c r="O400" s="3">
        <v>5</v>
      </c>
      <c r="P400" s="3">
        <v>485</v>
      </c>
      <c r="Q400" s="3">
        <v>10</v>
      </c>
      <c r="R400" s="3">
        <v>418</v>
      </c>
      <c r="S400" s="3">
        <v>8</v>
      </c>
      <c r="T400" s="3"/>
      <c r="U400" s="3"/>
      <c r="V400" s="3"/>
    </row>
    <row r="401" ht="15" spans="13:22">
      <c r="M401" s="4">
        <v>41568</v>
      </c>
      <c r="N401" s="5">
        <v>535</v>
      </c>
      <c r="O401" s="5">
        <v>2</v>
      </c>
      <c r="P401" s="5">
        <v>475</v>
      </c>
      <c r="Q401" s="5">
        <v>12</v>
      </c>
      <c r="R401" s="5">
        <v>410</v>
      </c>
      <c r="S401" s="5">
        <v>7</v>
      </c>
      <c r="T401" s="5"/>
      <c r="U401" s="5"/>
      <c r="V401" s="5"/>
    </row>
    <row r="402" ht="15" spans="13:22">
      <c r="M402" s="2">
        <v>41561</v>
      </c>
      <c r="N402" s="3">
        <v>533</v>
      </c>
      <c r="O402" s="3">
        <v>0</v>
      </c>
      <c r="P402" s="3">
        <v>463</v>
      </c>
      <c r="Q402" s="3">
        <v>0</v>
      </c>
      <c r="R402" s="3">
        <v>403</v>
      </c>
      <c r="S402" s="3">
        <v>0</v>
      </c>
      <c r="T402" s="3"/>
      <c r="U402" s="3"/>
      <c r="V402" s="3"/>
    </row>
    <row r="403" ht="15" spans="13:22">
      <c r="M403" s="4">
        <v>41554</v>
      </c>
      <c r="N403" s="5">
        <v>533</v>
      </c>
      <c r="O403" s="5">
        <v>0</v>
      </c>
      <c r="P403" s="5">
        <v>463</v>
      </c>
      <c r="Q403" s="5">
        <v>8</v>
      </c>
      <c r="R403" s="5">
        <v>403</v>
      </c>
      <c r="S403" s="5">
        <v>5</v>
      </c>
      <c r="T403" s="5"/>
      <c r="U403" s="5"/>
      <c r="V403" s="5"/>
    </row>
    <row r="404" ht="15" spans="13:22">
      <c r="M404" s="2">
        <v>41547</v>
      </c>
      <c r="N404" s="3">
        <v>533</v>
      </c>
      <c r="O404" s="3">
        <v>0</v>
      </c>
      <c r="P404" s="3">
        <v>455</v>
      </c>
      <c r="Q404" s="3">
        <v>5</v>
      </c>
      <c r="R404" s="3">
        <v>398</v>
      </c>
      <c r="S404" s="3">
        <v>5</v>
      </c>
      <c r="T404" s="3"/>
      <c r="U404" s="3"/>
      <c r="V404" s="3"/>
    </row>
    <row r="405" ht="15" spans="13:22">
      <c r="M405" s="4">
        <v>41540</v>
      </c>
      <c r="N405" s="5">
        <v>533</v>
      </c>
      <c r="O405" s="5">
        <v>-2</v>
      </c>
      <c r="P405" s="5">
        <v>450</v>
      </c>
      <c r="Q405" s="5">
        <v>-3</v>
      </c>
      <c r="R405" s="5">
        <v>393</v>
      </c>
      <c r="S405" s="5">
        <v>3</v>
      </c>
      <c r="T405" s="5"/>
      <c r="U405" s="5"/>
      <c r="V405" s="5"/>
    </row>
    <row r="406" ht="15" spans="13:22">
      <c r="M406" s="2">
        <v>41533</v>
      </c>
      <c r="N406" s="3">
        <v>535</v>
      </c>
      <c r="O406" s="3">
        <v>-3</v>
      </c>
      <c r="P406" s="3">
        <v>453</v>
      </c>
      <c r="Q406" s="3">
        <v>-7</v>
      </c>
      <c r="R406" s="3">
        <v>390</v>
      </c>
      <c r="S406" s="3">
        <v>0</v>
      </c>
      <c r="T406" s="3"/>
      <c r="U406" s="3"/>
      <c r="V406" s="3"/>
    </row>
    <row r="407" ht="15" spans="13:22">
      <c r="M407" s="6">
        <v>41526</v>
      </c>
      <c r="N407" s="7">
        <v>538</v>
      </c>
      <c r="O407" s="7">
        <v>-5</v>
      </c>
      <c r="P407" s="7">
        <v>460</v>
      </c>
      <c r="Q407" s="7">
        <v>-3</v>
      </c>
      <c r="R407" s="7">
        <v>390</v>
      </c>
      <c r="S407" s="7">
        <v>-3</v>
      </c>
      <c r="T407" s="11"/>
      <c r="U407" s="11"/>
      <c r="V407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打印-表格（近5年）</vt:lpstr>
      <vt:lpstr>打印-表格（分月分季度)</vt:lpstr>
      <vt:lpstr>打印-走势图（4张18-22）</vt:lpstr>
      <vt:lpstr>打印-走势图（4张17-21)</vt:lpstr>
      <vt:lpstr>走势图 (近5年3张)</vt:lpstr>
      <vt:lpstr>走势图 (近5年1张)</vt:lpstr>
      <vt:lpstr>二铵、煤炭、硫磺、磷矿14年-22年</vt:lpstr>
      <vt:lpstr>走势图</vt:lpstr>
      <vt:lpstr>打印1张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无敌的皮卡丘</cp:lastModifiedBy>
  <dcterms:created xsi:type="dcterms:W3CDTF">2015-06-05T18:17:00Z</dcterms:created>
  <cp:lastPrinted>2022-09-16T08:46:00Z</cp:lastPrinted>
  <dcterms:modified xsi:type="dcterms:W3CDTF">2025-09-02T03:56:59Z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71D9727F4ECA4ED193A808665F599CBB</vt:lpwstr>
  </property>
  <property fmtid="{D5CDD505-2E9C-101B-9397-08002B2CF9AE}" pid="3" name="KSOProductBuildVer">
    <vt:lpwstr>2052-12.1.0.22529</vt:lpwstr>
  </property>
</Properties>
</file>